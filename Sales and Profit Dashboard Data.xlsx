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V:\KIR\"/>
    </mc:Choice>
  </mc:AlternateContent>
  <bookViews>
    <workbookView xWindow="0" yWindow="0" windowWidth="23040" windowHeight="9192"/>
  </bookViews>
  <sheets>
    <sheet name="Dashboard" sheetId="4" r:id="rId1"/>
    <sheet name="DATA_1" sheetId="1" r:id="rId2"/>
    <sheet name="Sheet2" sheetId="2" r:id="rId3"/>
    <sheet name="DATA_2" sheetId="3" r:id="rId4"/>
  </sheets>
  <definedNames>
    <definedName name="_xlnm._FilterDatabase" localSheetId="2" hidden="1">Sheet2!$E$11:$E$28</definedName>
    <definedName name="Slicer_Category">#N/A</definedName>
    <definedName name="Slicer_Month">#N/A</definedName>
    <definedName name="Slicer_Year">#N/A</definedName>
  </definedNames>
  <calcPr calcId="162913"/>
  <pivotCaches>
    <pivotCache cacheId="0" r:id="rId5"/>
    <pivotCache cacheId="1"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 l="1"/>
  <c r="A31" i="2"/>
  <c r="E13" i="2"/>
  <c r="A32" i="2"/>
  <c r="Q12" i="2" l="1"/>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11" i="2"/>
  <c r="D21" i="2"/>
  <c r="D25" i="2"/>
  <c r="D16" i="2"/>
  <c r="D19" i="2"/>
  <c r="D18" i="2"/>
  <c r="D24" i="2"/>
  <c r="D26" i="2"/>
  <c r="D20" i="2"/>
  <c r="D14" i="2"/>
  <c r="D28" i="2"/>
  <c r="D17" i="2"/>
  <c r="D27" i="2"/>
  <c r="D22" i="2"/>
  <c r="D13" i="2"/>
  <c r="D29" i="2"/>
  <c r="D23" i="2"/>
  <c r="R28" i="2"/>
  <c r="R53" i="2"/>
  <c r="R37" i="2"/>
  <c r="R32" i="2"/>
  <c r="R19" i="2"/>
  <c r="R21" i="2"/>
  <c r="R43" i="2"/>
  <c r="R18" i="2"/>
  <c r="R46" i="2"/>
  <c r="R50" i="2"/>
  <c r="R26" i="2"/>
  <c r="R41" i="2"/>
  <c r="R39" i="2"/>
  <c r="R54" i="2"/>
  <c r="R52" i="2"/>
  <c r="R44" i="2"/>
  <c r="R59" i="2"/>
  <c r="R23" i="2"/>
  <c r="R55" i="2"/>
  <c r="R36" i="2"/>
  <c r="R20" i="2"/>
  <c r="R33" i="2"/>
  <c r="R51" i="2"/>
  <c r="R14" i="2"/>
  <c r="R58" i="2"/>
  <c r="R22" i="2"/>
  <c r="R42" i="2"/>
  <c r="R57" i="2"/>
  <c r="R47" i="2"/>
  <c r="R29" i="2"/>
  <c r="R11" i="2"/>
  <c r="R34" i="2"/>
  <c r="R35" i="2"/>
  <c r="R45" i="2"/>
  <c r="R16" i="2"/>
  <c r="R17" i="2"/>
  <c r="R56" i="2"/>
  <c r="R27" i="2"/>
  <c r="R48" i="2"/>
  <c r="R25" i="2"/>
  <c r="R13" i="2"/>
  <c r="R12" i="2"/>
  <c r="R30" i="2"/>
  <c r="R38" i="2"/>
  <c r="R40" i="2"/>
  <c r="R31" i="2"/>
  <c r="R49" i="2"/>
  <c r="R24" i="2"/>
  <c r="R15" i="2"/>
</calcChain>
</file>

<file path=xl/sharedStrings.xml><?xml version="1.0" encoding="utf-8"?>
<sst xmlns="http://schemas.openxmlformats.org/spreadsheetml/2006/main" count="53084" uniqueCount="2729">
  <si>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</si>
  <si>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</si>
  <si>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</si>
  <si>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</si>
  <si>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</si>
  <si>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</si>
  <si>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</si>
  <si>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</si>
  <si>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</si>
  <si>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</si>
  <si>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</si>
  <si>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</si>
  <si>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</si>
  <si>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</si>
  <si>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</si>
  <si>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</si>
  <si>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</si>
  <si>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</si>
  <si>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</si>
  <si>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</si>
  <si>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</si>
  <si>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</si>
  <si>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</si>
  <si>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</si>
  <si>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</si>
  <si>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</si>
  <si>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</si>
  <si>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</si>
  <si>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</si>
  <si>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</si>
  <si>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</si>
  <si>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</si>
  <si>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</si>
  <si>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</si>
  <si>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</si>
  <si>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</si>
  <si>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</si>
  <si>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</si>
  <si>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</si>
  <si>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</si>
  <si>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</si>
  <si>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</si>
  <si>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</si>
  <si>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</si>
  <si>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</si>
  <si>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</si>
  <si>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</si>
  <si>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</si>
  <si>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</si>
  <si>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</si>
  <si>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</si>
  <si>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</si>
  <si>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</si>
  <si>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</si>
  <si>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</si>
  <si>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</si>
  <si>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</si>
  <si>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</si>
  <si>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</si>
  <si>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</si>
  <si>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</si>
  <si>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</si>
  <si>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</si>
  <si>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</si>
  <si>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</si>
  <si>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</si>
  <si>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</si>
  <si>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</si>
  <si>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</si>
  <si>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</si>
  <si>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</si>
  <si>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</si>
  <si>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</si>
  <si>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</si>
  <si>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</si>
  <si>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</si>
  <si>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</si>
  <si>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</si>
  <si>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</si>
  <si>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</si>
  <si>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</si>
  <si>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</si>
  <si>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</si>
  <si>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</si>
  <si>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</si>
  <si>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</si>
  <si>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</si>
  <si>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</si>
  <si>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</si>
  <si>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</si>
  <si>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</si>
  <si>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</si>
  <si>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</si>
  <si>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</si>
  <si>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</si>
  <si>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</si>
  <si>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</si>
  <si>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</si>
  <si>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</si>
  <si>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</si>
  <si>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</si>
  <si>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</si>
  <si>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</si>
  <si>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</si>
  <si>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</si>
  <si>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</si>
  <si>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</si>
  <si>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</si>
  <si>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</si>
  <si>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</si>
  <si>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</si>
  <si>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</si>
  <si>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</si>
  <si>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</si>
  <si>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</si>
  <si>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</si>
  <si>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</si>
  <si>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</si>
  <si>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</si>
  <si>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</si>
  <si>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</si>
  <si>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</si>
  <si>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</si>
  <si>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</si>
  <si>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</si>
  <si>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</si>
  <si>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</si>
  <si>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</si>
  <si>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</si>
  <si>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</si>
  <si>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</si>
  <si>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</si>
  <si>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</si>
  <si>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</si>
  <si>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</si>
  <si>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</si>
  <si>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</si>
  <si>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</si>
  <si>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</si>
  <si>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</si>
  <si>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</si>
  <si>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</si>
  <si>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</si>
  <si>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</si>
  <si>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</si>
  <si>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</si>
  <si>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</si>
  <si>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</si>
  <si>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</si>
  <si>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</si>
  <si>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</si>
  <si>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</si>
  <si>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</si>
  <si>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</si>
  <si>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</si>
  <si>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</si>
  <si>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</si>
  <si>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</si>
  <si>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</si>
  <si>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</si>
  <si>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</si>
  <si>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</si>
  <si>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</si>
  <si>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</si>
  <si>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</si>
  <si>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</si>
  <si>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</si>
  <si>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</si>
  <si>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</si>
  <si>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</si>
  <si>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</si>
  <si>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</si>
  <si>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</si>
  <si>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</si>
  <si>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</si>
  <si>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</si>
  <si>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</si>
  <si>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</si>
  <si>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</si>
  <si>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</si>
  <si>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</si>
  <si>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</si>
  <si>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</si>
  <si>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</si>
  <si>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</si>
  <si>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</si>
  <si>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</si>
  <si>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</si>
  <si>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</si>
  <si>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</si>
  <si>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</si>
  <si>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</si>
  <si>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</si>
  <si>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</si>
  <si>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</si>
  <si>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</si>
  <si>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</si>
  <si>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</si>
  <si>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</si>
  <si>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</si>
  <si>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</si>
  <si>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</si>
  <si>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</si>
  <si>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</si>
  <si>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</si>
  <si>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</si>
  <si>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</si>
  <si>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</si>
  <si>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</si>
  <si>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</si>
  <si>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</si>
  <si>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</si>
  <si>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</si>
  <si>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</si>
  <si>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</si>
  <si>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</si>
  <si>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</si>
  <si>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</si>
  <si>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</si>
  <si>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</si>
  <si>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</si>
  <si>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</si>
  <si>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</si>
  <si>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</si>
  <si>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</si>
  <si>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</si>
  <si>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</si>
  <si>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</si>
  <si>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</si>
  <si>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</si>
  <si>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</si>
  <si>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</si>
  <si>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</si>
  <si>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</si>
  <si>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</si>
  <si>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</si>
  <si>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</si>
  <si>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</si>
  <si>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</si>
  <si>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</si>
  <si>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</si>
  <si>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</si>
  <si>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</si>
  <si>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</si>
  <si>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</si>
  <si>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</si>
  <si>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</si>
  <si>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</si>
  <si>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</si>
  <si>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</si>
  <si>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</si>
  <si>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</si>
  <si>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</si>
  <si>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</si>
  <si>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</si>
  <si>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</si>
  <si>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</si>
  <si>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</si>
  <si>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</si>
  <si>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</si>
  <si>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</si>
  <si>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</si>
  <si>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</si>
  <si>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</si>
  <si>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</si>
  <si>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</si>
  <si>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</si>
  <si>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</si>
  <si>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</si>
  <si>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</si>
  <si>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</si>
  <si>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</si>
  <si>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</si>
  <si>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</si>
  <si>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</si>
  <si>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</si>
  <si>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</si>
  <si>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</si>
  <si>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</si>
  <si>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</si>
  <si>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</si>
  <si>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</si>
  <si>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</si>
  <si>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</si>
  <si>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</si>
  <si>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</si>
  <si>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</si>
  <si>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</si>
  <si>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</si>
  <si>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</si>
  <si>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</si>
  <si>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</si>
  <si>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</si>
  <si>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</si>
  <si>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</si>
  <si>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</si>
  <si>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</si>
  <si>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</si>
  <si>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</si>
  <si>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</si>
  <si>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</si>
  <si>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</si>
  <si>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</si>
  <si>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</si>
  <si>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</si>
  <si>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</si>
  <si>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</si>
  <si>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</si>
  <si>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</si>
  <si>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</si>
  <si>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</si>
  <si>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</si>
  <si>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</si>
  <si>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</si>
  <si>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</si>
  <si>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</si>
  <si>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</si>
  <si>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</si>
  <si>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</si>
  <si>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</si>
  <si>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</si>
  <si>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</si>
  <si>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</si>
  <si>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</si>
  <si>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</si>
  <si>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</si>
  <si>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</si>
  <si>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</si>
  <si>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</si>
  <si>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</si>
  <si>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</si>
  <si>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</si>
  <si>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</si>
  <si>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</si>
  <si>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</si>
  <si>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</si>
  <si>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</si>
  <si>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</si>
  <si>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</si>
  <si>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</si>
  <si>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</si>
  <si>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</si>
  <si>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</si>
  <si>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</si>
  <si>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</si>
  <si>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</si>
  <si>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</si>
  <si>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</si>
  <si>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</si>
  <si>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</si>
  <si>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</si>
  <si>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</si>
  <si>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</si>
  <si>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</si>
  <si>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</si>
  <si>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</si>
  <si>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</si>
  <si>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</si>
  <si>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</si>
  <si>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</si>
  <si>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</si>
  <si>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</si>
  <si>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</si>
  <si>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</si>
  <si>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</si>
  <si>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</si>
  <si>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</si>
  <si>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</si>
  <si>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</si>
  <si>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</si>
  <si>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</si>
  <si>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</si>
  <si>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</si>
  <si>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</si>
  <si>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</si>
  <si>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</si>
  <si>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</si>
  <si>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</si>
  <si>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</si>
  <si>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</si>
  <si>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</si>
  <si>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</si>
  <si>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</si>
  <si>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</si>
  <si>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</si>
  <si>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</si>
  <si>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</si>
  <si>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</si>
  <si>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</si>
  <si>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</si>
  <si>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</si>
  <si>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</si>
  <si>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</si>
  <si>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</si>
  <si>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</si>
  <si>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</si>
  <si>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</si>
  <si>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</si>
  <si>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</si>
  <si>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</si>
  <si>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</si>
  <si>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</si>
  <si>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</si>
  <si>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</si>
  <si>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</si>
  <si>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</si>
  <si>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</si>
  <si>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</si>
  <si>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</si>
  <si>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</si>
  <si>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</si>
  <si>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</si>
  <si>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</si>
  <si>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</si>
  <si>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</si>
  <si>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</si>
  <si>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</si>
  <si>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</si>
  <si>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</si>
  <si>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</si>
  <si>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</si>
  <si>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</si>
  <si>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</si>
  <si>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</si>
  <si>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</si>
  <si>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</si>
  <si>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</si>
  <si>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</si>
  <si>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</si>
  <si>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</si>
  <si>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</si>
  <si>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</si>
  <si>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</si>
  <si>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</si>
  <si>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</si>
  <si>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</si>
  <si>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</si>
  <si>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</si>
  <si>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</si>
  <si>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</si>
  <si>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</si>
  <si>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</si>
  <si>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</si>
  <si>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</si>
  <si>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</si>
  <si>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</si>
  <si>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</si>
  <si>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</si>
  <si>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</si>
  <si>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</si>
  <si>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</si>
  <si>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</si>
  <si>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</si>
  <si>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</si>
  <si>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</si>
  <si>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</si>
  <si>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</si>
  <si>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</si>
  <si>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</si>
  <si>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</si>
  <si>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</si>
  <si>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</si>
  <si>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</si>
  <si>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</si>
  <si>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</si>
  <si>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</si>
  <si>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</si>
  <si>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</si>
  <si>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</si>
  <si>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</si>
  <si>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</si>
  <si>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</si>
  <si>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</si>
  <si>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</si>
  <si>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</si>
  <si>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</si>
  <si>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</si>
  <si>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</si>
  <si>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</si>
  <si>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</si>
  <si>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</si>
  <si>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</si>
  <si>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</si>
  <si>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</si>
  <si>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</si>
  <si>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</si>
  <si>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</si>
  <si>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</si>
  <si>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</si>
  <si>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</si>
  <si>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</si>
  <si>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</si>
  <si>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</si>
  <si>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</si>
  <si>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</si>
  <si>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</si>
  <si>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</si>
  <si>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</si>
  <si>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</si>
  <si>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</si>
  <si>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</si>
  <si>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</si>
  <si>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</si>
  <si>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</si>
  <si>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</si>
  <si>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</si>
  <si>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</si>
  <si>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</si>
  <si>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</si>
  <si>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</si>
  <si>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</si>
  <si>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</si>
  <si>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</si>
  <si>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</si>
  <si>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</si>
  <si>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</si>
  <si>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</si>
  <si>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</si>
  <si>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</si>
  <si>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</si>
  <si>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</si>
  <si>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</si>
  <si>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</si>
  <si>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</si>
  <si>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</si>
  <si>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</si>
  <si>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</si>
  <si>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</si>
  <si>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</si>
  <si>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</si>
  <si>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</si>
  <si>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</si>
  <si>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</si>
  <si>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</si>
  <si>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</si>
  <si>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</si>
  <si>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</si>
  <si>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</si>
  <si>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</si>
  <si>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</si>
  <si>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</si>
  <si>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</si>
  <si>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</si>
  <si>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</si>
  <si>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</si>
  <si>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</si>
  <si>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</si>
  <si>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</si>
  <si>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</si>
  <si>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</si>
  <si>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</si>
  <si>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</si>
  <si>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</si>
  <si>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</si>
  <si>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</si>
  <si>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</si>
  <si>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</si>
  <si>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</si>
  <si>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</si>
  <si>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</si>
  <si>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</si>
  <si>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</si>
  <si>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</si>
  <si>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</si>
  <si>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</si>
  <si>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</si>
  <si>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</si>
  <si>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</si>
  <si>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</si>
  <si>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</si>
  <si>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</si>
  <si>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</si>
  <si>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</si>
  <si>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</si>
  <si>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</si>
  <si>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</si>
  <si>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</si>
  <si>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</si>
  <si>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</si>
  <si>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</si>
  <si>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</si>
  <si>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</si>
  <si>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</si>
  <si>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</si>
  <si>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</si>
  <si>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</si>
  <si>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</si>
  <si>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</si>
  <si>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</si>
  <si>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</si>
  <si>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</si>
  <si>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</si>
  <si>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</si>
  <si>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</si>
  <si>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</si>
  <si>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</si>
  <si>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</si>
  <si>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</si>
  <si>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</si>
  <si>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</si>
  <si>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</si>
  <si>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</si>
  <si>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</si>
  <si>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</si>
  <si>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</si>
  <si>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</si>
  <si>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</si>
  <si>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</si>
  <si>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</si>
  <si>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</si>
  <si>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</si>
  <si>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</si>
  <si>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</si>
  <si>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</si>
  <si>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</si>
  <si>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</si>
  <si>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</si>
  <si>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</si>
  <si>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</si>
  <si>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</si>
  <si>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</si>
  <si>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</si>
  <si>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</si>
  <si>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</si>
  <si>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</si>
  <si>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</si>
  <si>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</si>
  <si>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</si>
  <si>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</si>
  <si>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</si>
  <si>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</si>
  <si>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</si>
  <si>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</si>
  <si>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</si>
  <si>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</si>
  <si>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</si>
  <si>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</si>
  <si>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</si>
  <si>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</si>
  <si>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</si>
  <si>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</si>
  <si>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</si>
  <si>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</si>
  <si>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</si>
  <si>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</si>
  <si>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</si>
  <si>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</si>
  <si>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</si>
  <si>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</si>
  <si>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</si>
  <si>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</si>
  <si>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</si>
  <si>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</si>
  <si>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</si>
  <si>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</si>
  <si>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</si>
  <si>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</si>
  <si>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</si>
  <si>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</si>
  <si>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</si>
  <si>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</si>
  <si>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</si>
  <si>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</si>
  <si>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</si>
  <si>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</si>
  <si>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</si>
  <si>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</si>
  <si>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</si>
  <si>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</si>
  <si>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</si>
  <si>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</si>
  <si>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</si>
  <si>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</si>
  <si>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</si>
  <si>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</si>
  <si>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</si>
  <si>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</si>
  <si>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</si>
  <si>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</si>
  <si>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</si>
  <si>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</si>
  <si>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</si>
  <si>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</si>
  <si>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</si>
  <si>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</si>
  <si>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</si>
  <si>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</si>
  <si>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</si>
  <si>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</si>
  <si>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</si>
  <si>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</si>
  <si>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</si>
  <si>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</si>
  <si>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</si>
  <si>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</si>
  <si>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</si>
  <si>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</si>
  <si>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</si>
  <si>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</si>
  <si>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</si>
  <si>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</si>
  <si>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</si>
  <si>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</si>
  <si>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</si>
  <si>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</si>
  <si>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</si>
  <si>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</si>
  <si>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</si>
  <si>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</si>
  <si>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</si>
  <si>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</si>
  <si>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</si>
  <si>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</si>
  <si>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</si>
  <si>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</si>
  <si>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</si>
  <si>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</si>
  <si>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</si>
  <si>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</si>
  <si>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</si>
  <si>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</si>
  <si>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</si>
  <si>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</si>
  <si>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</si>
  <si>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</si>
  <si>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</si>
  <si>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</si>
  <si>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</si>
  <si>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</si>
  <si>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</si>
  <si>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</si>
  <si>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</si>
  <si>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</si>
  <si>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</si>
  <si>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</si>
  <si>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</si>
  <si>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</si>
  <si>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</si>
  <si>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</si>
  <si>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</si>
  <si>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</si>
  <si>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</si>
  <si>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</si>
  <si>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</si>
  <si>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</si>
  <si>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</si>
  <si>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</si>
  <si>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</si>
  <si>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</si>
  <si>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</si>
  <si>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</si>
  <si>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</si>
  <si>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</si>
  <si>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</si>
  <si>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</si>
  <si>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</si>
  <si>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</si>
  <si>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</si>
  <si>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</si>
  <si>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</si>
  <si>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</si>
  <si>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</si>
  <si>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</si>
  <si>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</si>
  <si>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</si>
  <si>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</si>
  <si>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</si>
  <si>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</si>
  <si>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</si>
  <si>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</si>
  <si>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</si>
  <si>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</si>
  <si>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</si>
  <si>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</si>
  <si>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</si>
  <si>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</si>
  <si>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</si>
  <si>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</si>
  <si>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</si>
  <si>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</si>
  <si>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</si>
  <si>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</si>
  <si>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</si>
  <si>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</si>
  <si>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</si>
  <si>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</si>
  <si>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</si>
  <si>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</si>
  <si>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</si>
  <si>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</si>
  <si>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</si>
  <si>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</si>
  <si>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</si>
  <si>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</si>
  <si>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</si>
  <si>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</si>
  <si>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</si>
  <si>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</si>
  <si>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</si>
  <si>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</si>
  <si>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</si>
  <si>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</si>
  <si>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</si>
  <si>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</si>
  <si>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</si>
  <si>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</si>
  <si>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</si>
  <si>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</si>
  <si>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</si>
  <si>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</si>
  <si>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</si>
  <si>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</si>
  <si>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</si>
  <si>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</si>
  <si>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</si>
  <si>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</si>
  <si>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</si>
  <si>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</si>
  <si>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</si>
  <si>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</si>
  <si>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</si>
  <si>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</si>
  <si>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</si>
  <si>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</si>
  <si>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</si>
  <si>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</si>
  <si>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</si>
  <si>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</si>
  <si>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</si>
  <si>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</si>
  <si>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</si>
  <si>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</si>
  <si>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</si>
  <si>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</si>
  <si>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</si>
  <si>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</si>
  <si>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</si>
  <si>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</si>
  <si>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</si>
  <si>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</si>
  <si>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</si>
  <si>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</si>
  <si>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</si>
  <si>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</si>
  <si>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</si>
  <si>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</si>
  <si>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</si>
  <si>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</si>
  <si>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</si>
  <si>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</si>
  <si>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</si>
  <si>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</si>
  <si>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</si>
  <si>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</si>
  <si>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</si>
  <si>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</si>
  <si>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</si>
  <si>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</si>
  <si>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</si>
  <si>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</si>
  <si>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</si>
  <si>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</si>
  <si>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</si>
  <si>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</si>
  <si>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</si>
  <si>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</si>
  <si>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</si>
  <si>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</si>
  <si>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</si>
  <si>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</si>
  <si>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</si>
  <si>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</si>
  <si>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</si>
  <si>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</si>
  <si>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</si>
  <si>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</si>
  <si>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</si>
  <si>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</si>
  <si>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</si>
  <si>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</si>
  <si>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</si>
  <si>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</si>
  <si>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</si>
  <si>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</si>
  <si>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</si>
  <si>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</si>
  <si>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</si>
  <si>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</si>
  <si>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</si>
  <si>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</si>
  <si>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</si>
  <si>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</si>
  <si>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</si>
  <si>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</si>
  <si>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</si>
  <si>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</si>
  <si>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</si>
  <si>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</si>
  <si>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</si>
  <si>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</si>
  <si>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</si>
  <si>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</si>
  <si>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</si>
  <si>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</si>
  <si>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</si>
  <si>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</si>
  <si>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</si>
  <si>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</si>
  <si>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</si>
  <si>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</si>
  <si>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</si>
  <si>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</si>
  <si>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</si>
  <si>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</si>
  <si>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</si>
  <si>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</si>
  <si>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</si>
  <si>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</si>
  <si>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</si>
  <si>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</si>
  <si>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</si>
  <si>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</si>
  <si>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</si>
  <si>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</si>
  <si>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</si>
  <si>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</si>
  <si>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</si>
  <si>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</si>
  <si>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</si>
  <si>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</si>
  <si>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</si>
  <si>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</si>
  <si>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</si>
  <si>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</si>
  <si>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</si>
  <si>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</si>
  <si>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</si>
  <si>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</si>
  <si>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</si>
  <si>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</si>
  <si>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</si>
  <si>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</si>
  <si>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</si>
  <si>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</si>
  <si>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</si>
  <si>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</si>
  <si>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</si>
  <si>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</si>
  <si>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</si>
  <si>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</si>
  <si>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</si>
  <si>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</si>
  <si>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</si>
  <si>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</si>
  <si>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</si>
  <si>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</si>
  <si>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</si>
  <si>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</si>
  <si>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</si>
  <si>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</si>
  <si>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</si>
  <si>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</si>
  <si>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</si>
  <si>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</si>
  <si>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</si>
  <si>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</si>
  <si>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</si>
  <si>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</si>
  <si>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</si>
  <si>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</si>
  <si>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</si>
  <si>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</si>
  <si>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</si>
  <si>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</si>
  <si>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</si>
  <si>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</si>
  <si>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</si>
  <si>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</si>
  <si>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</si>
  <si>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</si>
  <si>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</si>
  <si>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</si>
  <si>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</si>
  <si>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</si>
  <si>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</si>
  <si>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</si>
  <si>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</si>
  <si>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</si>
  <si>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</si>
  <si>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</si>
  <si>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</si>
  <si>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</si>
  <si>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</si>
  <si>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</si>
  <si>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</si>
  <si>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</si>
  <si>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</si>
  <si>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</si>
  <si>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</si>
  <si>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</si>
  <si>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</si>
  <si>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</si>
  <si>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</si>
  <si>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</si>
  <si>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</si>
  <si>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</si>
  <si>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</si>
  <si>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</si>
  <si>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</si>
  <si>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</si>
  <si>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</si>
  <si>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</si>
  <si>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</si>
  <si>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</si>
  <si>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</si>
  <si>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</si>
  <si>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</si>
  <si>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</si>
  <si>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</si>
  <si>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</si>
  <si>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</si>
  <si>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</si>
  <si>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</si>
  <si>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</si>
  <si>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</si>
  <si>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</si>
  <si>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</si>
  <si>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</si>
  <si>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</si>
  <si>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</si>
  <si>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</si>
  <si>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</si>
  <si>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</si>
  <si>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</si>
  <si>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</si>
  <si>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</si>
  <si>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</si>
  <si>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</si>
  <si>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</si>
  <si>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</si>
  <si>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</si>
  <si>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</si>
  <si>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</si>
  <si>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</si>
  <si>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</si>
  <si>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</si>
  <si>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</si>
  <si>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</si>
  <si>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</si>
  <si>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</si>
  <si>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</si>
  <si>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</si>
  <si>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</si>
  <si>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</si>
  <si>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</si>
  <si>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</si>
  <si>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</si>
  <si>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</si>
  <si>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</si>
  <si>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</si>
  <si>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</si>
  <si>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</si>
  <si>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</si>
  <si>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</si>
  <si>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</si>
  <si>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</si>
  <si>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</si>
  <si>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</si>
  <si>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</si>
  <si>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</si>
  <si>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</si>
  <si>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</si>
  <si>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</si>
  <si>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</si>
  <si>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</si>
  <si>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</si>
  <si>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</si>
  <si>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</si>
  <si>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</si>
  <si>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</si>
  <si>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</si>
  <si>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</si>
  <si>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</si>
  <si>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</si>
  <si>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</si>
  <si>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</si>
  <si>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</si>
  <si>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</si>
  <si>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</si>
  <si>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</si>
  <si>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</si>
  <si>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</si>
  <si>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</si>
  <si>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</si>
  <si>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</si>
  <si>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</si>
  <si>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</si>
  <si>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</si>
  <si>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</si>
  <si>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</si>
  <si>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</si>
  <si>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</si>
  <si>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</si>
  <si>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</si>
  <si>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</si>
  <si>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</si>
  <si>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</si>
  <si>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</si>
  <si>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</si>
  <si>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</si>
  <si>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</si>
  <si>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</si>
  <si>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</si>
  <si>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</si>
  <si>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</si>
  <si>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</si>
  <si>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</si>
  <si>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</si>
  <si>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</si>
  <si>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</si>
  <si>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</si>
  <si>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</si>
  <si>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</si>
  <si>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</si>
  <si>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</si>
  <si>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</si>
  <si>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</si>
  <si>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</si>
  <si>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</si>
  <si>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</si>
  <si>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</si>
  <si>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</si>
  <si>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</si>
  <si>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</si>
  <si>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</si>
  <si>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</si>
  <si>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</si>
  <si>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</si>
  <si>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</si>
  <si>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</si>
  <si>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</si>
  <si>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</si>
  <si>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</si>
  <si>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</si>
  <si>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</si>
  <si>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</si>
  <si>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</si>
  <si>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</si>
  <si>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</si>
  <si>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</si>
  <si>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</si>
  <si>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</si>
  <si>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</si>
  <si>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</si>
  <si>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</si>
  <si>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</si>
  <si>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</si>
  <si>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</si>
  <si>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</si>
  <si>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</si>
  <si>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</si>
  <si>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</si>
  <si>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</si>
  <si>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</si>
  <si>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</si>
  <si>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</si>
  <si>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</si>
  <si>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</si>
  <si>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</si>
  <si>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</si>
  <si>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</si>
  <si>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</si>
  <si>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</si>
  <si>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</si>
  <si>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</si>
  <si>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</si>
  <si>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</si>
  <si>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</si>
  <si>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</si>
  <si>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</si>
  <si>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</si>
  <si>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</si>
  <si>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</si>
  <si>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</si>
  <si>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</si>
  <si>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</si>
  <si>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</si>
  <si>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</si>
  <si>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</si>
  <si>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</si>
  <si>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</si>
  <si>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</si>
  <si>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</si>
  <si>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</si>
  <si>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</si>
  <si>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</si>
  <si>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</si>
  <si>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</si>
  <si>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</si>
  <si>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</si>
  <si>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</si>
  <si>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</si>
  <si>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</si>
  <si>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</si>
  <si>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</si>
  <si>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</si>
  <si>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</si>
  <si>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</si>
  <si>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</si>
  <si>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</si>
  <si>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</si>
  <si>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</si>
  <si>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</si>
  <si>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</si>
  <si>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</si>
  <si>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</si>
  <si>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</si>
  <si>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</si>
  <si>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</si>
  <si>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</si>
  <si>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</si>
  <si>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</si>
  <si>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</si>
  <si>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</si>
  <si>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</si>
  <si>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</si>
  <si>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</si>
  <si>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</si>
  <si>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</si>
  <si>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</si>
  <si>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</si>
  <si>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</si>
  <si>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</si>
  <si>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</si>
  <si>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</si>
  <si>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</si>
  <si>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</si>
  <si>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</si>
  <si>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</si>
  <si>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</si>
  <si>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</si>
  <si>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</si>
  <si>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</si>
  <si>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</si>
  <si>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</si>
  <si>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</si>
  <si>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</si>
  <si>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</si>
  <si>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</si>
  <si>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</si>
  <si>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</si>
  <si>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</si>
  <si>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</si>
  <si>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</si>
  <si>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</si>
  <si>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</si>
  <si>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</si>
  <si>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</si>
  <si>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</si>
  <si>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</si>
  <si>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</si>
  <si>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</si>
  <si>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</si>
  <si>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</si>
  <si>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</si>
  <si>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</si>
  <si>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</si>
  <si>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</si>
  <si>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</si>
  <si>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</si>
  <si>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</si>
  <si>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</si>
  <si>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</si>
  <si>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</si>
  <si>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</si>
  <si>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</si>
  <si>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</si>
  <si>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</si>
  <si>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</si>
  <si>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</si>
  <si>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</si>
  <si>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</si>
  <si>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</si>
  <si>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</si>
  <si>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</si>
  <si>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</si>
  <si>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</si>
  <si>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</si>
  <si>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</si>
  <si>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</si>
  <si>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</si>
  <si>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</si>
  <si>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</si>
  <si>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</si>
  <si>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</si>
  <si>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</si>
  <si>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</si>
  <si>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</si>
  <si>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</si>
  <si>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</si>
  <si>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</si>
  <si>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</si>
  <si>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</si>
  <si>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</si>
  <si>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</si>
  <si>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</si>
  <si>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</si>
  <si>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</si>
  <si>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</si>
  <si>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</si>
  <si>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</si>
  <si>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</si>
  <si>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</si>
  <si>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</si>
  <si>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</si>
  <si>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</si>
  <si>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</si>
  <si>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</si>
  <si>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</si>
  <si>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</si>
  <si>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</si>
  <si>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</si>
  <si>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</si>
  <si>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</si>
  <si>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</si>
  <si>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</si>
  <si>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</si>
  <si>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</si>
  <si>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</si>
  <si>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</si>
  <si>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</si>
  <si>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</si>
  <si>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</si>
  <si>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</si>
  <si>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</si>
  <si>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</si>
  <si>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</si>
  <si>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</si>
  <si>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</si>
  <si>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</si>
  <si>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</si>
  <si>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</si>
  <si>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</si>
  <si>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</si>
  <si>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</si>
  <si>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</si>
  <si>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</si>
  <si>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</si>
  <si>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</si>
  <si>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</si>
  <si>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</si>
  <si>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</si>
  <si>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</si>
  <si>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</si>
  <si>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</si>
  <si>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</si>
  <si>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</si>
  <si>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</si>
  <si>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</si>
  <si>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</si>
  <si>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</si>
  <si>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</si>
  <si>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</si>
  <si>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</si>
  <si>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</si>
  <si>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</si>
  <si>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</si>
  <si>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</si>
  <si>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</si>
  <si>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</si>
  <si>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</si>
  <si>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</si>
  <si>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</si>
  <si>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</si>
  <si>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</si>
  <si>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</si>
  <si>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</si>
  <si>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</si>
  <si>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</si>
  <si>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</si>
  <si>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</si>
  <si>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</si>
  <si>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</si>
  <si>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</si>
  <si>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</si>
  <si>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</si>
  <si>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</si>
  <si>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</si>
  <si>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</si>
  <si>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</si>
  <si>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</si>
  <si>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</si>
  <si>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</si>
  <si>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</si>
  <si>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</si>
  <si>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</si>
  <si>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</si>
  <si>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</si>
  <si>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</si>
  <si>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</si>
  <si>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</si>
  <si>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</si>
  <si>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</si>
  <si>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</si>
  <si>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</si>
  <si>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</si>
  <si>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</si>
  <si>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</si>
  <si>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</si>
  <si>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</si>
  <si>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</si>
  <si>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</si>
  <si>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</si>
  <si>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</si>
  <si>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</si>
  <si>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</si>
  <si>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</si>
  <si>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</si>
  <si>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</si>
  <si>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</si>
  <si>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</si>
  <si>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</si>
  <si>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</si>
  <si>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</si>
  <si>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</si>
  <si>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</si>
  <si>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</si>
  <si>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</si>
  <si>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</si>
  <si>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</si>
  <si>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</si>
  <si>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</si>
  <si>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</si>
  <si>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</si>
  <si>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</si>
  <si>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</si>
  <si>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</si>
  <si>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</si>
  <si>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</si>
  <si>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</si>
  <si>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</si>
  <si>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</si>
  <si>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</si>
  <si>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</si>
  <si>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</si>
  <si>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</si>
  <si>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</si>
  <si>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</si>
  <si>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</si>
  <si>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</si>
  <si>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</si>
  <si>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</si>
  <si>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</si>
  <si>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</si>
  <si>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</si>
  <si>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</si>
  <si>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</si>
  <si>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</si>
  <si>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</si>
  <si>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</si>
  <si>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</si>
  <si>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</si>
  <si>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</si>
  <si>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</si>
  <si>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</si>
  <si>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</si>
  <si>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</si>
  <si>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</si>
  <si>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</si>
  <si>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</si>
  <si>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</si>
  <si>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</si>
  <si>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</si>
  <si>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</si>
  <si>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</si>
  <si>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</si>
  <si>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</si>
  <si>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</si>
  <si>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</si>
  <si>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</si>
  <si>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</si>
  <si>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</si>
  <si>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</si>
  <si>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</si>
  <si>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</si>
  <si>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</si>
  <si>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</si>
  <si>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</si>
  <si>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</si>
  <si>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</si>
  <si>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</si>
  <si>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</si>
  <si>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</si>
  <si>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</si>
  <si>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</si>
  <si>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</si>
  <si>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</si>
  <si>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</si>
  <si>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</si>
  <si>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</si>
  <si>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</si>
  <si>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</si>
  <si>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</si>
  <si>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</si>
  <si>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</si>
  <si>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</si>
  <si>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</si>
  <si>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</si>
  <si>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</si>
  <si>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</si>
  <si>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</si>
  <si>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</si>
  <si>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</si>
  <si>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</si>
  <si>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</si>
  <si>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</si>
  <si>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</si>
  <si>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</si>
  <si>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</si>
  <si>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</si>
  <si>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</si>
  <si>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</si>
  <si>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</si>
  <si>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</si>
  <si>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</si>
  <si>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</si>
  <si>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</si>
  <si>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</si>
  <si>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</si>
  <si>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</si>
  <si>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</si>
  <si>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</si>
  <si>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</si>
  <si>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</si>
  <si>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</si>
  <si>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</si>
  <si>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</si>
  <si>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</si>
  <si>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</si>
  <si>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</si>
  <si>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</si>
  <si>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</si>
  <si>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</si>
  <si>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</si>
  <si>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</si>
  <si>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</si>
  <si>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</si>
  <si>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</si>
  <si>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</si>
  <si>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</si>
  <si>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</si>
  <si>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</si>
  <si>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</si>
  <si>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</si>
  <si>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</si>
  <si>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</si>
  <si>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</si>
  <si>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</si>
  <si>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</si>
  <si>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</si>
  <si>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</si>
  <si>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</si>
  <si>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</si>
  <si>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</si>
  <si>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</si>
  <si>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</si>
  <si>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</si>
  <si>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</si>
  <si>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</si>
  <si>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</si>
  <si>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</si>
  <si>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</si>
  <si>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</si>
  <si>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</si>
  <si>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</si>
  <si>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</si>
  <si>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</si>
  <si>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</si>
  <si>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</si>
  <si>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</si>
  <si>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</si>
  <si>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</si>
  <si>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</si>
  <si>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</si>
  <si>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</si>
  <si>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</si>
  <si>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</si>
  <si>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</si>
  <si>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</si>
  <si>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</si>
  <si>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</si>
  <si>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</si>
  <si>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</si>
  <si>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</si>
  <si>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</si>
  <si>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</si>
  <si>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</si>
  <si>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</si>
  <si>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</si>
  <si>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</si>
  <si>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</si>
  <si>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</si>
  <si>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</si>
  <si>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</si>
  <si>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</si>
  <si>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</si>
  <si>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</si>
  <si>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</si>
  <si>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</si>
  <si>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</si>
  <si>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</si>
  <si>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</si>
  <si>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</si>
  <si>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</si>
  <si>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</si>
  <si>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</si>
  <si>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</si>
  <si>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</si>
  <si>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</si>
  <si>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</si>
  <si>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</si>
  <si>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</si>
  <si>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</si>
  <si>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</si>
  <si>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</si>
  <si>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</si>
  <si>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</si>
  <si>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</si>
  <si>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</si>
  <si>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</si>
  <si>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</si>
  <si>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</si>
  <si>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</si>
  <si>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</si>
  <si>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</si>
  <si>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</si>
  <si>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</si>
  <si>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</si>
  <si>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</si>
  <si>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</si>
  <si>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</si>
  <si>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</si>
  <si>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</si>
  <si>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</si>
  <si>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</si>
  <si>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</si>
  <si>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</si>
  <si>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</si>
  <si>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</si>
  <si>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</si>
  <si>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</si>
  <si>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</si>
  <si>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</si>
  <si>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</si>
  <si>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</si>
  <si>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</si>
  <si>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</si>
  <si>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</si>
  <si>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</si>
  <si>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</si>
  <si>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</si>
  <si>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</si>
  <si>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</si>
  <si>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</si>
  <si>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</si>
  <si>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</si>
  <si>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</si>
  <si>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</si>
  <si>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</si>
  <si>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</si>
  <si>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</si>
  <si>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</si>
  <si>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</si>
  <si>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</si>
  <si>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</si>
  <si>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</si>
  <si>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</si>
  <si>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</si>
  <si>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</si>
  <si>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</si>
  <si>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</si>
  <si>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</si>
  <si>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</si>
  <si>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</si>
  <si>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</si>
  <si>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</si>
  <si>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</si>
  <si>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</si>
  <si>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</si>
  <si>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</si>
  <si>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</si>
  <si>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</si>
  <si>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</si>
  <si>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</si>
  <si>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</si>
  <si>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</si>
  <si>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</si>
  <si>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</si>
  <si>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</si>
  <si>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</si>
  <si>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</si>
  <si>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</si>
  <si>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</si>
  <si>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</si>
  <si>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</si>
  <si>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</si>
  <si>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</si>
  <si>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</si>
  <si>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</si>
  <si>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</si>
  <si>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</si>
  <si>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</si>
  <si>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</si>
  <si>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</si>
  <si>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</si>
  <si>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</si>
  <si>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</si>
  <si>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</si>
  <si>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</si>
  <si>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</si>
  <si>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</si>
  <si>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</si>
  <si>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</si>
  <si>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</si>
  <si>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</si>
  <si>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</si>
  <si>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</si>
  <si>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</si>
  <si>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</si>
  <si>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</si>
  <si>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</si>
  <si>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</si>
  <si>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</si>
  <si>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</si>
  <si>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</si>
  <si>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</si>
  <si>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</si>
  <si>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</si>
  <si>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</si>
  <si>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</si>
  <si>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</si>
  <si>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</si>
  <si>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</si>
  <si>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</si>
  <si>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</si>
  <si>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</si>
  <si>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</si>
  <si>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</si>
  <si>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</si>
  <si>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</si>
  <si>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</si>
  <si>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</si>
  <si>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</si>
  <si>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</si>
  <si>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</si>
  <si>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</si>
  <si>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</si>
  <si>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</si>
  <si>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</si>
  <si>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</si>
  <si>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</si>
  <si>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</si>
  <si>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</si>
  <si>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</si>
  <si>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</si>
  <si>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</si>
  <si>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</si>
  <si>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</si>
  <si>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</si>
  <si>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</si>
  <si>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</si>
  <si>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</si>
  <si>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</si>
  <si>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</si>
  <si>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</si>
  <si>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</si>
  <si>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</si>
  <si>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</si>
  <si>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</si>
  <si>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</si>
  <si>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</si>
  <si>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</si>
  <si>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</si>
  <si>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</si>
  <si>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</si>
  <si>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</si>
  <si>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</si>
  <si>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</si>
  <si>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</si>
  <si>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</si>
  <si>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</si>
  <si>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</si>
  <si>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</si>
  <si>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</si>
  <si>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</si>
  <si>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</si>
  <si>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</si>
  <si>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</si>
  <si>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</si>
  <si>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</si>
  <si>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</si>
  <si>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</si>
  <si>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</si>
  <si>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</si>
  <si>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</si>
  <si>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</si>
  <si>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</si>
  <si>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</si>
  <si>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</si>
  <si>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</si>
  <si>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</si>
  <si>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</si>
  <si>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</si>
  <si>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</si>
  <si>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</si>
  <si>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</si>
  <si>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</si>
  <si>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</si>
  <si>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</si>
  <si>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</si>
  <si>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</si>
  <si>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</si>
  <si>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</si>
  <si>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</si>
  <si>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</si>
  <si>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</si>
  <si>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</si>
  <si>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</si>
  <si>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</si>
  <si>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</si>
  <si>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</si>
  <si>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</si>
  <si>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</si>
  <si>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</si>
  <si>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</si>
  <si>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</si>
  <si>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</si>
  <si>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</si>
  <si>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</si>
  <si>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</si>
  <si>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</si>
  <si>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</si>
  <si>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</si>
  <si>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</si>
  <si>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</si>
  <si>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</si>
  <si>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</si>
  <si>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</si>
  <si>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</si>
  <si>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</si>
  <si>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</si>
  <si>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</si>
  <si>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</si>
  <si>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</si>
  <si>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</si>
  <si>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</si>
  <si>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</si>
  <si>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</si>
  <si>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</si>
  <si>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</si>
  <si>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</si>
  <si>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</si>
  <si>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</si>
  <si>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</si>
  <si>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</si>
  <si>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</si>
  <si>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</si>
  <si>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</si>
  <si>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</si>
  <si>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</si>
  <si>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</si>
  <si>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</si>
  <si>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</si>
  <si>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</si>
  <si>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</si>
  <si>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</si>
  <si>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</si>
  <si>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</si>
  <si>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</si>
  <si>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</si>
  <si>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</si>
  <si>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</si>
  <si>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</si>
  <si>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</si>
  <si>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</si>
  <si>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</si>
  <si>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</si>
  <si>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</si>
  <si>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</si>
  <si>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</si>
  <si>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</si>
  <si>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</si>
  <si>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</si>
  <si>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</si>
  <si>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</si>
  <si>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</si>
  <si>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</si>
  <si>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</si>
  <si>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</si>
  <si>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</si>
  <si>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</si>
  <si>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</si>
  <si>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</si>
  <si>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</si>
  <si>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</si>
  <si>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</si>
  <si>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</si>
  <si>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</si>
  <si>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</si>
  <si>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</si>
  <si>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</si>
  <si>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</si>
  <si>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</si>
  <si>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</si>
  <si>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</si>
  <si>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</si>
  <si>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</si>
  <si>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</si>
  <si>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</si>
  <si>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</si>
  <si>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</si>
  <si>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</si>
  <si>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</si>
  <si>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</si>
  <si>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</si>
  <si>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</si>
  <si>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</si>
  <si>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</si>
  <si>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</si>
  <si>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</si>
  <si>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</si>
  <si>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</si>
  <si>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</si>
  <si>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</si>
  <si>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</si>
  <si>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</si>
  <si>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</si>
  <si>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</si>
  <si>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</si>
  <si>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</si>
  <si>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</si>
  <si>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</si>
  <si>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</si>
  <si>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</si>
  <si>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</si>
  <si>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</si>
  <si>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</si>
  <si>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</si>
  <si>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</si>
  <si>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</si>
  <si>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</si>
  <si>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</si>
  <si>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</si>
  <si>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</si>
  <si>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</si>
  <si>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</si>
  <si>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</si>
  <si>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</si>
  <si>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</si>
  <si>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</si>
  <si>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</si>
  <si>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</si>
  <si>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</si>
  <si>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</si>
  <si>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</si>
  <si>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</si>
  <si>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</si>
  <si>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</si>
  <si>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</si>
  <si>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</si>
  <si>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</si>
  <si>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</si>
  <si>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</si>
  <si>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</si>
  <si>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</si>
  <si>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</si>
  <si>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</si>
  <si>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</si>
  <si>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</si>
  <si>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</si>
  <si>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</si>
  <si>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</si>
  <si>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</si>
  <si>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</si>
  <si>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</si>
  <si>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</si>
  <si>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</si>
  <si>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</si>
  <si>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</si>
  <si>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</si>
  <si>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</si>
  <si>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</si>
  <si>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</si>
  <si>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</si>
  <si>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</si>
  <si>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</si>
  <si>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</si>
  <si>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</si>
  <si>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</si>
  <si>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</si>
  <si>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</si>
  <si>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</si>
  <si>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</si>
  <si>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</si>
  <si>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</si>
  <si>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</si>
  <si>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</si>
  <si>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</si>
  <si>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</si>
  <si>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</si>
  <si>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</si>
  <si>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</si>
  <si>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</si>
  <si>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</si>
  <si>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</si>
  <si>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</si>
  <si>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</si>
  <si>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</si>
  <si>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</si>
  <si>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</si>
  <si>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</si>
  <si>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</si>
  <si>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</si>
  <si>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</si>
  <si>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</si>
  <si>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</si>
  <si>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</si>
  <si>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</si>
  <si>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</si>
  <si>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</si>
  <si>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</si>
  <si>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</si>
  <si>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</si>
  <si>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</si>
  <si>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</si>
  <si>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</si>
  <si>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</si>
  <si>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</si>
  <si>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</si>
  <si>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</si>
  <si>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</si>
  <si>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</si>
  <si>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</si>
  <si>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</si>
  <si>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</si>
  <si>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</si>
  <si>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</si>
  <si>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</si>
  <si>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</si>
  <si>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</si>
  <si>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</si>
  <si>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</si>
  <si>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</si>
  <si>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</si>
  <si>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</si>
  <si>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</si>
  <si>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</si>
  <si>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</si>
  <si>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</si>
  <si>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</si>
  <si>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</si>
  <si>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</si>
  <si>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</si>
  <si>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</si>
  <si>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</si>
  <si>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</si>
  <si>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</si>
  <si>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</si>
  <si>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</si>
  <si>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</si>
  <si>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</si>
  <si>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</si>
  <si>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</si>
  <si>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</si>
  <si>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</si>
  <si>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</si>
  <si>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</si>
  <si>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</si>
  <si>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</si>
  <si>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</si>
  <si>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</si>
  <si>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</si>
  <si>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</si>
  <si>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</si>
  <si>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</si>
  <si>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</si>
  <si>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</si>
  <si>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</si>
  <si>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</si>
  <si>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</si>
  <si>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</si>
  <si>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</si>
  <si>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</si>
  <si>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</si>
  <si>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</si>
  <si>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</si>
  <si>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</si>
  <si>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</si>
  <si>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</si>
  <si>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</si>
  <si>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</si>
  <si>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</si>
  <si>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</si>
  <si>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</si>
  <si>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</si>
  <si>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</si>
  <si>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</si>
  <si>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</si>
  <si>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</si>
  <si>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</si>
  <si>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</si>
  <si>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</si>
  <si>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</si>
  <si>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</si>
  <si>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</si>
  <si>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</si>
  <si>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</si>
  <si>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</si>
  <si>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</si>
  <si>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</si>
  <si>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</si>
  <si>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</si>
  <si>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</si>
  <si>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</si>
  <si>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</si>
  <si>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</si>
  <si>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</si>
  <si>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</si>
  <si>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</si>
  <si>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</si>
  <si>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</si>
  <si>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</si>
  <si>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</si>
  <si>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</si>
  <si>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</si>
  <si>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</si>
  <si>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</si>
  <si>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</si>
  <si>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</si>
  <si>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</si>
  <si>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</si>
  <si>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</si>
  <si>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</si>
  <si>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</si>
  <si>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</si>
  <si>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</si>
  <si>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</si>
  <si>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</si>
  <si>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</si>
  <si>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</si>
  <si>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</si>
  <si>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</si>
  <si>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</si>
  <si>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</si>
  <si>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</si>
  <si>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</si>
  <si>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</si>
  <si>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</si>
  <si>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</si>
  <si>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</si>
  <si>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</si>
  <si>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</si>
  <si>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</si>
  <si>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</si>
  <si>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</si>
  <si>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</si>
  <si>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</si>
  <si>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</si>
  <si>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</si>
  <si>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</si>
  <si>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</si>
  <si>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</si>
  <si>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</si>
  <si>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</si>
  <si>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</si>
  <si>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</si>
  <si>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</si>
  <si>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</si>
  <si>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</si>
  <si>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</si>
  <si>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</si>
  <si>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</si>
  <si>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</si>
  <si>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</si>
  <si>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</si>
  <si>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</si>
  <si>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</si>
  <si>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</si>
  <si>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</si>
  <si>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</si>
  <si>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</si>
  <si>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</si>
  <si>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</si>
  <si>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</si>
  <si>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</si>
  <si>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</si>
  <si>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</si>
  <si>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</si>
  <si>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</si>
  <si>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</si>
  <si>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</si>
  <si>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</si>
  <si>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</si>
  <si>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</si>
  <si>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</si>
  <si>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</si>
  <si>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</si>
  <si>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</si>
  <si>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</si>
  <si>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</si>
  <si>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</si>
  <si>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</si>
  <si>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</si>
  <si>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</si>
  <si>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</si>
  <si>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</si>
  <si>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</si>
  <si>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</si>
  <si>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</si>
  <si>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</si>
  <si>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</si>
  <si>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</si>
  <si>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</si>
  <si>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</si>
  <si>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</si>
  <si>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</si>
  <si>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</si>
  <si>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</si>
  <si>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</si>
  <si>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</si>
  <si>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</si>
  <si>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</si>
  <si>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</si>
  <si>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</si>
  <si>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</si>
  <si>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</si>
  <si>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</si>
  <si>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</si>
  <si>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</si>
  <si>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</si>
  <si>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</si>
  <si>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</si>
  <si>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</si>
  <si>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</si>
  <si>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</si>
  <si>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</si>
  <si>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</si>
  <si>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</si>
  <si>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</si>
  <si>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</si>
  <si>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</si>
  <si>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</si>
  <si>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</si>
  <si>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</si>
  <si>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</si>
  <si>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</si>
  <si>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</si>
  <si>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</si>
  <si>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</si>
  <si>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</si>
  <si>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</si>
  <si>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</si>
  <si>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</si>
  <si>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</si>
  <si>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</si>
  <si>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</si>
  <si>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</si>
  <si>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</si>
  <si>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</si>
  <si>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</si>
  <si>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</si>
  <si>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</si>
  <si>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</si>
  <si>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</si>
  <si>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</si>
  <si>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</si>
  <si>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</si>
  <si>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</si>
  <si>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</si>
  <si>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</si>
  <si>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</si>
  <si>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</si>
  <si>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</si>
  <si>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</si>
  <si>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</si>
  <si>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</si>
  <si>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</si>
  <si>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</si>
  <si>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</si>
  <si>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</si>
  <si>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</si>
  <si>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</si>
  <si>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</si>
  <si>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</si>
  <si>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</si>
  <si>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</si>
  <si>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</si>
  <si>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</si>
  <si>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</si>
  <si>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</si>
  <si>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</si>
  <si>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</si>
  <si>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</si>
  <si>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</si>
  <si>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</si>
  <si>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</si>
  <si>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</si>
  <si>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</si>
  <si>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</si>
  <si>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</si>
  <si>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</si>
  <si>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</si>
  <si>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</si>
  <si>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</si>
  <si>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</si>
  <si>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</si>
  <si>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</si>
  <si>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</si>
  <si>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</si>
  <si>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</si>
  <si>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</si>
  <si>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</si>
  <si>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</si>
  <si>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</si>
  <si>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</si>
  <si>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</si>
  <si>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</si>
  <si>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</si>
  <si>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</si>
  <si>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</si>
  <si>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</si>
  <si>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</si>
  <si>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</si>
  <si>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</si>
  <si>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</si>
  <si>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</si>
  <si>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</si>
  <si>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</si>
  <si>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</si>
  <si>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</si>
  <si>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</si>
  <si>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</si>
  <si>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</si>
  <si>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</si>
  <si>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</si>
  <si>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</si>
  <si>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</si>
  <si>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</si>
  <si>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</si>
  <si>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</si>
  <si>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</si>
  <si>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</si>
  <si>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</si>
  <si>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</si>
  <si>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</si>
  <si>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</si>
  <si>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</si>
  <si>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</si>
  <si>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</si>
  <si>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</si>
  <si>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</si>
  <si>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</si>
  <si>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</si>
  <si>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</si>
  <si>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</si>
  <si>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</si>
  <si>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</si>
  <si>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</si>
  <si>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</si>
  <si>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</si>
  <si>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</si>
  <si>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</si>
  <si>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</si>
  <si>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</si>
  <si>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</si>
  <si>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</si>
  <si>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</si>
  <si>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</si>
  <si>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</si>
  <si>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</si>
  <si>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</si>
  <si>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</si>
  <si>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</si>
  <si>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</si>
  <si>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</si>
  <si>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</si>
  <si>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</si>
  <si>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</si>
  <si>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</si>
  <si>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</si>
  <si>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</si>
  <si>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</si>
  <si>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</si>
  <si>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</si>
  <si>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</si>
  <si>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</si>
  <si>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</si>
  <si>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</si>
  <si>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</si>
  <si>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</si>
  <si>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</si>
  <si>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</si>
  <si>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</si>
  <si>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</si>
  <si>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</si>
  <si>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</si>
  <si>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</si>
  <si>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</si>
  <si>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</si>
  <si>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</si>
  <si>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</si>
  <si>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</si>
  <si>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</si>
  <si>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</si>
  <si>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</si>
  <si>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</si>
  <si>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</si>
  <si>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</si>
  <si>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</si>
  <si>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</si>
  <si>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</si>
  <si>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</si>
  <si>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</si>
  <si>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</si>
  <si>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</si>
  <si>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</si>
  <si>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</si>
  <si>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</si>
  <si>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</si>
  <si>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</si>
  <si>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</si>
  <si>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</si>
  <si>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</si>
  <si>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</si>
  <si>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</si>
  <si>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</si>
  <si>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</si>
  <si>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</si>
  <si>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</si>
  <si>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</si>
  <si>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</si>
  <si>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</si>
  <si>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</si>
  <si>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</si>
  <si>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</si>
  <si>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</si>
  <si>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</si>
  <si>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</si>
  <si>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</si>
  <si>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</si>
  <si>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</si>
  <si>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</si>
  <si>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</si>
  <si>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</si>
  <si>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</si>
  <si>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</si>
  <si>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</si>
  <si>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</si>
  <si>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</si>
  <si>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</si>
  <si>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</si>
  <si>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</si>
  <si>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</si>
  <si>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</si>
  <si>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</si>
  <si>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</si>
  <si>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</si>
  <si>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</si>
  <si>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</si>
  <si>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</si>
  <si>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</si>
  <si>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</si>
  <si>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</si>
  <si>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</si>
  <si>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</si>
  <si>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</si>
  <si>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</si>
  <si>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</si>
  <si>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</si>
  <si>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</si>
  <si>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</si>
  <si>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</si>
  <si>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</si>
  <si>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</si>
  <si>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</si>
  <si>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</si>
  <si>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</si>
  <si>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</si>
  <si>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</si>
  <si>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</si>
  <si>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</si>
  <si>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</si>
  <si>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</si>
  <si>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</si>
  <si>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</si>
  <si>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</si>
  <si>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</si>
  <si>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</si>
  <si>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</si>
  <si>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</si>
  <si>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</si>
  <si>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</si>
  <si>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</si>
  <si>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</si>
  <si>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</si>
  <si>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</si>
  <si>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</si>
  <si>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</si>
  <si>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</si>
  <si>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</si>
  <si>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</si>
  <si>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</si>
  <si>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</si>
  <si>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</si>
  <si>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</si>
  <si>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</si>
  <si>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</si>
  <si>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</si>
  <si>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</si>
  <si>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</si>
  <si>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</si>
  <si>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</si>
  <si>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</si>
  <si>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</si>
  <si>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</si>
  <si>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</si>
  <si>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</si>
  <si>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</si>
  <si>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</si>
  <si>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</si>
  <si>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</si>
  <si>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</si>
  <si>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</si>
  <si>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</si>
  <si>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</si>
  <si>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</si>
  <si>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</si>
  <si>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</si>
  <si>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</si>
  <si>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</si>
  <si>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</si>
  <si>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</si>
  <si>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</si>
  <si>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</si>
  <si>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</si>
  <si>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</si>
  <si>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</si>
  <si>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</si>
  <si>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</si>
  <si>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</si>
  <si>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</si>
  <si>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</si>
  <si>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</si>
  <si>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</si>
  <si>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</si>
  <si>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</si>
  <si>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</si>
  <si>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</si>
  <si>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</si>
  <si>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</si>
  <si>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</si>
  <si>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</si>
  <si>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</si>
  <si>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</si>
  <si>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</si>
  <si>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</si>
  <si>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</si>
  <si>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</si>
  <si>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</si>
  <si>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</si>
  <si>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</si>
  <si>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</si>
  <si>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</si>
  <si>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</si>
  <si>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</si>
  <si>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</si>
  <si>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</si>
  <si>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</si>
  <si>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</si>
  <si>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</si>
  <si>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</si>
  <si>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</si>
  <si>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</si>
  <si>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</si>
  <si>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</si>
  <si>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</si>
  <si>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</si>
  <si>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</si>
  <si>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</si>
  <si>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</si>
  <si>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</si>
  <si>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</si>
  <si>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</si>
  <si>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</si>
  <si>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</si>
  <si>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</si>
  <si>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</si>
  <si>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</si>
  <si>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</si>
  <si>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</si>
  <si>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</si>
  <si>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</si>
  <si>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</si>
  <si>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</si>
  <si>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</si>
  <si>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</si>
  <si>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</si>
  <si>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</si>
  <si>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</si>
  <si>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</si>
  <si>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</si>
  <si>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</si>
  <si>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</si>
  <si>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</si>
  <si>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</si>
  <si>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</si>
  <si>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</si>
  <si>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</si>
  <si>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</si>
  <si>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</si>
  <si>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</si>
  <si>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</si>
  <si>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</si>
  <si>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</si>
  <si>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</si>
  <si>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</si>
  <si>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</si>
  <si>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</si>
  <si>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</si>
  <si>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</si>
  <si>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</si>
  <si>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</si>
  <si>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</si>
  <si>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</si>
  <si>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</si>
  <si>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</si>
  <si>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</si>
  <si>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</si>
  <si>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</si>
  <si>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</si>
  <si>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</si>
  <si>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</si>
  <si>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</si>
  <si>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</si>
  <si>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</si>
  <si>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</si>
  <si>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</si>
  <si>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</si>
  <si>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</si>
  <si>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</si>
  <si>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</si>
  <si>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</si>
  <si>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</si>
  <si>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</si>
  <si>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</si>
  <si>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</si>
  <si>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</si>
  <si>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</si>
  <si>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</si>
  <si>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</si>
  <si>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</si>
  <si>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</si>
  <si>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</si>
  <si>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</si>
  <si>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</si>
  <si>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</si>
  <si>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</si>
  <si>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</si>
  <si>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</si>
  <si>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</si>
  <si>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</si>
  <si>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</si>
  <si>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</si>
  <si>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</si>
  <si>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</si>
  <si>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</si>
  <si>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</si>
  <si>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</si>
  <si>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</si>
  <si>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</si>
  <si>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</si>
  <si>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</si>
  <si>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</si>
  <si>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</si>
  <si>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</si>
  <si>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</si>
  <si>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</si>
  <si>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</si>
  <si>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</si>
  <si>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</si>
  <si>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</si>
  <si>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</si>
  <si>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</si>
  <si>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</si>
  <si>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</si>
  <si>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</si>
  <si>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</si>
  <si>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</si>
  <si>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</si>
  <si>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</si>
  <si>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</si>
  <si>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</si>
  <si>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</si>
  <si>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</si>
  <si>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</si>
  <si>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</si>
  <si>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</si>
  <si>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</si>
  <si>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</si>
  <si>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</si>
  <si>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</si>
  <si>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Row Labels</t>
  </si>
  <si>
    <t>Grand Total</t>
  </si>
  <si>
    <t>Sum of Profit</t>
  </si>
  <si>
    <t>Sum of Year</t>
  </si>
  <si>
    <t>Count of Customer Name</t>
  </si>
  <si>
    <t xml:space="preserve">State </t>
  </si>
  <si>
    <t xml:space="preserve">Sales of Month </t>
  </si>
  <si>
    <t>Sales by sub-Category</t>
  </si>
  <si>
    <t>Customer New Year</t>
  </si>
  <si>
    <t>Customer Count By Year</t>
  </si>
  <si>
    <t>Sales by State</t>
  </si>
  <si>
    <t>Top 5 Customer Profit</t>
  </si>
  <si>
    <t>Total Profit</t>
  </si>
  <si>
    <t>Total Sales</t>
  </si>
  <si>
    <t>Profit  by Year</t>
  </si>
  <si>
    <t>Column Labels</t>
  </si>
  <si>
    <t>sub-Category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</si>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</sst>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65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11"/>
        <color theme="2"/>
        <name val="Calibri"/>
      </font>
      <fill>
        <patternFill>
          <fgColor theme="4"/>
          <bgColor theme="7" tint="-0.24994659260841701"/>
        </patternFill>
      </fill>
      <border diagonalUp="0" diagonalDown="0">
        <left/>
        <right/>
        <top/>
        <bottom/>
        <vertical/>
        <horizontal/>
      </border>
    </dxf>
    <dxf>
      <font>
        <b/>
        <i val="0"/>
        <sz val="11"/>
        <color theme="2"/>
        <name val="Calibri"/>
        <scheme val="none"/>
      </font>
      <fill>
        <patternFill>
          <fgColor theme="4"/>
          <bgColor theme="7" tint="-0.24994659260841701"/>
        </patternFill>
      </fill>
      <border diagonalUp="0" diagonalDown="0">
        <left/>
        <right/>
        <top/>
        <bottom/>
        <vertical/>
        <horizontal/>
      </border>
    </dxf>
  </dxfs>
  <tableStyles count="1" defaultTableStyle="TableStyleMedium2" defaultPivotStyle="PivotStyleLight16">
    <tableStyle name="SlicerStyleDark1 2" pivot="0" table="0" count="10">
      <tableStyleElement type="wholeTable" dxfId="1"/>
      <tableStyleElement type="headerRow" dxfId="0"/>
    </tableStyle>
  </tableStyles>
  <colors>
    <mruColors>
      <color rgb="FF000000"/>
    </mruColors>
  </colors>
  <extLst>
    <ext xmlns:x14="http://schemas.microsoft.com/office/spreadsheetml/2009/9/main" uri="{46F421CA-312F-682f-3DD2-61675219B42D}">
      <x14:dxfs count="8">
        <dxf>
          <font>
            <color rgb="FF000000"/>
          </font>
          <fill>
            <patternFill patternType="solid">
              <fgColor theme="4"/>
              <bgColor theme="7" tint="-0.499984740745262"/>
            </patternFill>
          </fill>
          <border>
            <left style="thin">
              <color rgb="FF999999"/>
            </left>
            <right style="thin">
              <color rgb="FF999999"/>
            </right>
            <top style="thin">
              <color rgb="FF999999"/>
            </top>
            <bottom style="thin">
              <color rgb="FF999999"/>
            </bottom>
            <vertical/>
            <horizontal/>
          </border>
        </dxf>
        <dxf>
          <font>
            <b/>
            <i val="0"/>
            <sz val="11"/>
            <color theme="2"/>
            <name val="Calibri"/>
          </font>
          <fill>
            <patternFill patternType="solid">
              <fgColor theme="4"/>
              <bgColor theme="7" tint="-0.499984740745262"/>
            </patternFill>
          </fill>
          <border>
            <left style="thin">
              <color rgb="FF999999"/>
            </left>
            <right style="thin">
              <color rgb="FF999999"/>
            </right>
            <top style="thin">
              <color rgb="FF999999"/>
            </top>
            <bottom style="thin">
              <color rgb="FF999999"/>
            </bottom>
            <vertical/>
            <horizontal/>
          </border>
        </dxf>
        <dxf>
          <font>
            <b/>
            <i val="0"/>
            <sz val="11"/>
            <color theme="2"/>
            <name val="Calibri"/>
          </font>
          <fill>
            <patternFill patternType="solid">
              <fgColor theme="4"/>
              <bgColor theme="7" tint="-0.499984740745262"/>
            </patternFill>
          </fill>
          <border diagonalUp="0" diagonalDown="0">
            <left/>
            <right/>
            <top/>
            <bottom/>
            <vertical/>
            <horizontal/>
          </border>
        </dxf>
        <dxf>
          <font>
            <b/>
            <i val="0"/>
            <sz val="11"/>
            <color theme="2"/>
            <name val="Calibri"/>
          </font>
          <fill>
            <patternFill patternType="solid">
              <fgColor theme="4"/>
              <bgColor theme="7" tint="-0.499984740745262"/>
            </patternFill>
          </fill>
          <border diagonalUp="0" diagonalDown="0">
            <left/>
            <right/>
            <top/>
            <bottom/>
            <vertical/>
            <horizontal/>
          </border>
        </dxf>
        <dxf>
          <font>
            <b/>
            <i val="0"/>
            <sz val="11"/>
            <color theme="2"/>
            <name val="Calibri"/>
            <scheme val="none"/>
          </font>
          <fill>
            <patternFill patternType="solid">
              <fgColor theme="7" tint="-0.24994659260841701"/>
              <bgColor theme="7" tint="-0.499984740745262"/>
            </patternFill>
          </fill>
          <border diagonalUp="0" diagonalDown="0">
            <left/>
            <right/>
            <top/>
            <bottom/>
            <vertical/>
            <horizontal/>
          </border>
        </dxf>
        <dxf>
          <font>
            <b/>
            <i val="0"/>
            <sz val="11"/>
            <color theme="2"/>
            <name val="Calibri"/>
            <scheme val="none"/>
          </font>
          <fill>
            <patternFill patternType="solid">
              <fgColor theme="4"/>
              <bgColor theme="7" tint="-0.499984740745262"/>
            </patternFill>
          </fill>
          <border diagonalUp="0" diagonalDown="0">
            <left/>
            <right/>
            <top/>
            <bottom/>
            <vertical/>
            <horizontal/>
          </border>
        </dxf>
        <dxf>
          <font>
            <b/>
            <i val="0"/>
            <sz val="11"/>
            <color theme="2"/>
            <name val="Calibri"/>
          </font>
          <fill>
            <patternFill patternType="solid">
              <fgColor theme="4"/>
              <bgColor theme="7" tint="-0.499984740745262"/>
            </patternFill>
          </fill>
          <border diagonalUp="0" diagonalDown="0">
            <left/>
            <right/>
            <top/>
            <bottom/>
            <vertical/>
            <horizontal/>
          </border>
        </dxf>
        <dxf>
          <font>
            <b/>
            <i val="0"/>
            <sz val="11"/>
            <color theme="2"/>
            <name val="Calibri"/>
          </font>
          <fill>
            <patternFill patternType="solid">
              <fgColor theme="4"/>
              <bgColor theme="7"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Data.xlsx]Sheet2!PivotTable3</c:name>
    <c:fmtId val="5"/>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200" b="1">
                <a:solidFill>
                  <a:schemeClr val="tx1"/>
                </a:solidFill>
              </a:rPr>
              <a:t>Profit  by Year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rgbClr val="084F6A"/>
          </a:solidFill>
          <a:ln>
            <a:noFill/>
          </a:ln>
          <a:effectLst>
            <a:outerShdw blurRad="50800" dist="38100" dir="2700000" algn="tl" rotWithShape="0">
              <a:prstClr val="black">
                <a:alpha val="40000"/>
              </a:prstClr>
            </a:outerShdw>
          </a:effectLst>
        </c:spPr>
        <c:marker>
          <c:symbol val="none"/>
        </c:marker>
        <c:dLbl>
          <c:idx val="0"/>
          <c:layout/>
          <c:numFmt formatCode="&quot;$&quot;#,##0" sourceLinked="0"/>
          <c:spPr>
            <a:noFill/>
            <a:ln>
              <a:noFill/>
            </a:ln>
            <a:effectLst/>
          </c:spPr>
          <c:txPr>
            <a:bodyPr rot="-5400000" spcFirstLastPara="1" vertOverflow="ellipsis"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B76A0"/>
          </a:solidFill>
          <a:ln>
            <a:noFill/>
          </a:ln>
          <a:effectLst>
            <a:outerShdw blurRad="50800" dist="38100" dir="2700000" algn="tl" rotWithShape="0">
              <a:prstClr val="black">
                <a:alpha val="40000"/>
              </a:prstClr>
            </a:outerShdw>
          </a:effectLst>
        </c:spPr>
        <c:marker>
          <c:symbol val="none"/>
        </c:marker>
        <c:dLbl>
          <c:idx val="0"/>
          <c:layout/>
          <c:numFmt formatCode="&quot;$&quot;#,##0" sourceLinked="0"/>
          <c:spPr>
            <a:noFill/>
            <a:ln>
              <a:noFill/>
            </a:ln>
            <a:effectLst/>
          </c:spPr>
          <c:txPr>
            <a:bodyPr rot="-5400000" spcFirstLastPara="1" vertOverflow="ellipsis"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0F9ED5"/>
          </a:solidFill>
          <a:ln>
            <a:noFill/>
          </a:ln>
          <a:effectLst>
            <a:outerShdw blurRad="50800" dist="38100" dir="2700000" algn="tl" rotWithShape="0">
              <a:prstClr val="black">
                <a:alpha val="40000"/>
              </a:prstClr>
            </a:outerShdw>
          </a:effectLst>
        </c:spPr>
        <c:marker>
          <c:symbol val="none"/>
        </c:marker>
        <c:dLbl>
          <c:idx val="0"/>
          <c:layout/>
          <c:numFmt formatCode="&quot;$&quot;#,##0" sourceLinked="0"/>
          <c:spPr>
            <a:noFill/>
            <a:ln>
              <a:noFill/>
            </a:ln>
            <a:effectLst/>
          </c:spPr>
          <c:txPr>
            <a:bodyPr rot="-5400000" spcFirstLastPara="1" vertOverflow="ellipsis"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5339227622784479E-2"/>
          <c:y val="0.34728207759877272"/>
          <c:w val="0.95398231713164661"/>
          <c:h val="0.37176057606743351"/>
        </c:manualLayout>
      </c:layout>
      <c:barChart>
        <c:barDir val="col"/>
        <c:grouping val="clustered"/>
        <c:varyColors val="0"/>
        <c:ser>
          <c:idx val="0"/>
          <c:order val="0"/>
          <c:tx>
            <c:strRef>
              <c:f>Sheet2!$D$3:$D$4</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numFmt formatCode="&quot;$&quot;#,##0" sourceLinked="0"/>
            <c:spPr>
              <a:noFill/>
              <a:ln>
                <a:noFill/>
              </a:ln>
              <a:effectLst/>
            </c:spPr>
            <c:txPr>
              <a:bodyPr rot="-5400000" spcFirstLastPara="1" vertOverflow="ellipsis"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Sheet2!$C$5:$C$9</c:f>
              <c:strCache>
                <c:ptCount val="4"/>
                <c:pt idx="0">
                  <c:v>2021</c:v>
                </c:pt>
                <c:pt idx="1">
                  <c:v>2022</c:v>
                </c:pt>
                <c:pt idx="2">
                  <c:v>2023</c:v>
                </c:pt>
                <c:pt idx="3">
                  <c:v>2024</c:v>
                </c:pt>
              </c:strCache>
            </c:strRef>
          </c:cat>
          <c:val>
            <c:numRef>
              <c:f>Sheet2!$D$5:$D$9</c:f>
              <c:numCache>
                <c:formatCode>General</c:formatCode>
                <c:ptCount val="4"/>
                <c:pt idx="0">
                  <c:v>6477.73</c:v>
                </c:pt>
                <c:pt idx="1">
                  <c:v>1165.2099999999996</c:v>
                </c:pt>
                <c:pt idx="2">
                  <c:v>7138.1699999999964</c:v>
                </c:pt>
                <c:pt idx="3">
                  <c:v>1642.0199999999993</c:v>
                </c:pt>
              </c:numCache>
            </c:numRef>
          </c:val>
          <c:extLst>
            <c:ext xmlns:c16="http://schemas.microsoft.com/office/drawing/2014/chart" uri="{C3380CC4-5D6E-409C-BE32-E72D297353CC}">
              <c16:uniqueId val="{00000000-F36A-4EC1-8BDD-F6E9EDF19860}"/>
            </c:ext>
          </c:extLst>
        </c:ser>
        <c:ser>
          <c:idx val="1"/>
          <c:order val="1"/>
          <c:tx>
            <c:strRef>
              <c:f>Sheet2!$E$3:$E$4</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Lbls>
            <c:numFmt formatCode="&quot;$&quot;#,##0" sourceLinked="0"/>
            <c:spPr>
              <a:noFill/>
              <a:ln>
                <a:noFill/>
              </a:ln>
              <a:effectLst/>
            </c:spPr>
            <c:txPr>
              <a:bodyPr rot="-5400000" spcFirstLastPara="1" vertOverflow="ellipsis"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Sheet2!$C$5:$C$9</c:f>
              <c:strCache>
                <c:ptCount val="4"/>
                <c:pt idx="0">
                  <c:v>2021</c:v>
                </c:pt>
                <c:pt idx="1">
                  <c:v>2022</c:v>
                </c:pt>
                <c:pt idx="2">
                  <c:v>2023</c:v>
                </c:pt>
                <c:pt idx="3">
                  <c:v>2024</c:v>
                </c:pt>
              </c:strCache>
            </c:strRef>
          </c:cat>
          <c:val>
            <c:numRef>
              <c:f>Sheet2!$E$5:$E$9</c:f>
              <c:numCache>
                <c:formatCode>General</c:formatCode>
                <c:ptCount val="4"/>
                <c:pt idx="0">
                  <c:v>21146.929999999978</c:v>
                </c:pt>
                <c:pt idx="1">
                  <c:v>17877.649999999991</c:v>
                </c:pt>
                <c:pt idx="2">
                  <c:v>32669.840000000018</c:v>
                </c:pt>
                <c:pt idx="3">
                  <c:v>21795.039999999983</c:v>
                </c:pt>
              </c:numCache>
            </c:numRef>
          </c:val>
          <c:extLst>
            <c:ext xmlns:c16="http://schemas.microsoft.com/office/drawing/2014/chart" uri="{C3380CC4-5D6E-409C-BE32-E72D297353CC}">
              <c16:uniqueId val="{00000000-B451-45F8-BB5C-AE1C0DDBB1FF}"/>
            </c:ext>
          </c:extLst>
        </c:ser>
        <c:ser>
          <c:idx val="2"/>
          <c:order val="2"/>
          <c:tx>
            <c:strRef>
              <c:f>Sheet2!$F$3:$F$4</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numFmt formatCode="&quot;$&quot;#,##0" sourceLinked="0"/>
            <c:spPr>
              <a:noFill/>
              <a:ln>
                <a:noFill/>
              </a:ln>
              <a:effectLst/>
            </c:spPr>
            <c:txPr>
              <a:bodyPr rot="-5400000" spcFirstLastPara="1" vertOverflow="ellipsis"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Sheet2!$C$5:$C$9</c:f>
              <c:strCache>
                <c:ptCount val="4"/>
                <c:pt idx="0">
                  <c:v>2021</c:v>
                </c:pt>
                <c:pt idx="1">
                  <c:v>2022</c:v>
                </c:pt>
                <c:pt idx="2">
                  <c:v>2023</c:v>
                </c:pt>
                <c:pt idx="3">
                  <c:v>2024</c:v>
                </c:pt>
              </c:strCache>
            </c:strRef>
          </c:cat>
          <c:val>
            <c:numRef>
              <c:f>Sheet2!$F$5:$F$9</c:f>
              <c:numCache>
                <c:formatCode>General</c:formatCode>
                <c:ptCount val="4"/>
                <c:pt idx="0">
                  <c:v>20570.440000000013</c:v>
                </c:pt>
                <c:pt idx="1">
                  <c:v>30029.920000000002</c:v>
                </c:pt>
                <c:pt idx="2">
                  <c:v>33370.690000000024</c:v>
                </c:pt>
                <c:pt idx="3">
                  <c:v>15196.499999999998</c:v>
                </c:pt>
              </c:numCache>
            </c:numRef>
          </c:val>
          <c:extLst>
            <c:ext xmlns:c16="http://schemas.microsoft.com/office/drawing/2014/chart" uri="{C3380CC4-5D6E-409C-BE32-E72D297353CC}">
              <c16:uniqueId val="{00000001-B451-45F8-BB5C-AE1C0DDBB1FF}"/>
            </c:ext>
          </c:extLst>
        </c:ser>
        <c:dLbls>
          <c:dLblPos val="outEnd"/>
          <c:showLegendKey val="0"/>
          <c:showVal val="1"/>
          <c:showCatName val="0"/>
          <c:showSerName val="0"/>
          <c:showPercent val="0"/>
          <c:showBubbleSize val="0"/>
        </c:dLbls>
        <c:gapWidth val="150"/>
        <c:axId val="2000066944"/>
        <c:axId val="2000069856"/>
      </c:barChart>
      <c:catAx>
        <c:axId val="200006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2000069856"/>
        <c:crosses val="autoZero"/>
        <c:auto val="1"/>
        <c:lblAlgn val="ctr"/>
        <c:lblOffset val="100"/>
        <c:noMultiLvlLbl val="0"/>
      </c:catAx>
      <c:valAx>
        <c:axId val="2000069856"/>
        <c:scaling>
          <c:orientation val="minMax"/>
        </c:scaling>
        <c:delete val="1"/>
        <c:axPos val="l"/>
        <c:numFmt formatCode="General" sourceLinked="1"/>
        <c:majorTickMark val="none"/>
        <c:minorTickMark val="none"/>
        <c:tickLblPos val="nextTo"/>
        <c:crossAx val="2000066944"/>
        <c:crosses val="autoZero"/>
        <c:crossBetween val="between"/>
      </c:valAx>
      <c:spPr>
        <a:noFill/>
        <a:ln>
          <a:noFill/>
        </a:ln>
        <a:effectLst/>
      </c:spPr>
    </c:plotArea>
    <c:legend>
      <c:legendPos val="b"/>
      <c:layout>
        <c:manualLayout>
          <c:xMode val="edge"/>
          <c:yMode val="edge"/>
          <c:x val="0.17256679388160484"/>
          <c:y val="0.83167856948274621"/>
          <c:w val="0.59141564450894857"/>
          <c:h val="0.12092122071110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900">
          <a:solidFill>
            <a:schemeClr val="tx1"/>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200" b="1"/>
              <a:t>Sales by Category</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lotArea>
      <c:layout>
        <c:manualLayout>
          <c:layoutTarget val="inner"/>
          <c:xMode val="edge"/>
          <c:yMode val="edge"/>
          <c:x val="4.4135813195249632E-2"/>
          <c:y val="0.19640564434748492"/>
          <c:w val="0.91172837360950076"/>
          <c:h val="0.52867805449241023"/>
        </c:manualLayout>
      </c:layout>
      <c:barChart>
        <c:barDir val="col"/>
        <c:grouping val="clustered"/>
        <c:varyColors val="0"/>
        <c:ser>
          <c:idx val="0"/>
          <c:order val="0"/>
          <c:tx>
            <c:strRef>
              <c:f>Sheet2!$E$12</c:f>
              <c:strCache>
                <c:ptCount val="1"/>
                <c:pt idx="0">
                  <c:v>Sales</c:v>
                </c:pt>
              </c:strCache>
            </c:strRef>
          </c:tx>
          <c:spPr>
            <a:solidFill>
              <a:schemeClr val="accent1"/>
            </a:solidFill>
            <a:ln>
              <a:noFill/>
            </a:ln>
            <a:effectLst>
              <a:outerShdw blurRad="50800" dist="38100" dir="2700000" algn="tl" rotWithShape="0">
                <a:prstClr val="black">
                  <a:alpha val="40000"/>
                </a:prstClr>
              </a:outerShdw>
            </a:effectLst>
          </c:spPr>
          <c:invertIfNegative val="0"/>
          <c:dLbls>
            <c:numFmt formatCode="&quot;$&quot;#,##0" sourceLinked="0"/>
            <c:spPr>
              <a:noFill/>
              <a:ln>
                <a:noFill/>
              </a:ln>
              <a:effectLst/>
            </c:spPr>
            <c:txPr>
              <a:bodyPr rot="-5400000" spcFirstLastPara="1" vertOverflow="ellipsis"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Sheet2!$D$13:$D$29</c:f>
              <c:strCache>
                <c:ptCount val="17"/>
                <c:pt idx="0">
                  <c:v>Chairs</c:v>
                </c:pt>
                <c:pt idx="1">
                  <c:v>Phones</c:v>
                </c:pt>
                <c:pt idx="2">
                  <c:v>Storage</c:v>
                </c:pt>
                <c:pt idx="3">
                  <c:v>Binders</c:v>
                </c:pt>
                <c:pt idx="4">
                  <c:v>Tables</c:v>
                </c:pt>
                <c:pt idx="5">
                  <c:v>Accessories</c:v>
                </c:pt>
                <c:pt idx="6">
                  <c:v>Machines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Sheet2!$E$13:$E$29</c:f>
              <c:numCache>
                <c:formatCode>General</c:formatCode>
                <c:ptCount val="17"/>
                <c:pt idx="0">
                  <c:v>242036.89000000028</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8F84-4B98-8EC2-6C140BFB57AC}"/>
            </c:ext>
          </c:extLst>
        </c:ser>
        <c:dLbls>
          <c:showLegendKey val="0"/>
          <c:showVal val="0"/>
          <c:showCatName val="0"/>
          <c:showSerName val="0"/>
          <c:showPercent val="0"/>
          <c:showBubbleSize val="0"/>
        </c:dLbls>
        <c:gapWidth val="29"/>
        <c:axId val="361521968"/>
        <c:axId val="361504496"/>
      </c:barChart>
      <c:catAx>
        <c:axId val="36152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361504496"/>
        <c:crosses val="autoZero"/>
        <c:auto val="1"/>
        <c:lblAlgn val="ctr"/>
        <c:lblOffset val="100"/>
        <c:noMultiLvlLbl val="0"/>
      </c:catAx>
      <c:valAx>
        <c:axId val="361504496"/>
        <c:scaling>
          <c:orientation val="minMax"/>
        </c:scaling>
        <c:delete val="1"/>
        <c:axPos val="l"/>
        <c:numFmt formatCode="General" sourceLinked="1"/>
        <c:majorTickMark val="none"/>
        <c:minorTickMark val="none"/>
        <c:tickLblPos val="nextTo"/>
        <c:crossAx val="36152196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tx1"/>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Data.xlsx]Sheet2!PivotTable6</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200" b="1"/>
              <a:t>Customer Count</a:t>
            </a:r>
          </a:p>
        </c:rich>
      </c:tx>
      <c:layout>
        <c:manualLayout>
          <c:xMode val="edge"/>
          <c:yMode val="edge"/>
          <c:x val="0.35263622219526269"/>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4"/>
          </a:solidFill>
          <a:ln w="19050">
            <a:noFill/>
          </a:ln>
          <a:effectLst>
            <a:outerShdw blurRad="50800" dist="38100" dir="2700000" algn="tl" rotWithShape="0">
              <a:prstClr val="black">
                <a:alpha val="40000"/>
              </a:prstClr>
            </a:outerShdw>
          </a:effectLst>
        </c:spPr>
      </c:pivotFmt>
      <c:pivotFmt>
        <c:idx val="8"/>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fld id="{27CD8046-4D12-4779-96F9-CF0CE32191B9}"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0"/>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33062454534295249"/>
          <c:y val="0.16828100059734233"/>
          <c:w val="0.34127355328101755"/>
          <c:h val="0.78508223249346354"/>
        </c:manualLayout>
      </c:layout>
      <c:doughnutChart>
        <c:varyColors val="1"/>
        <c:ser>
          <c:idx val="0"/>
          <c:order val="0"/>
          <c:tx>
            <c:strRef>
              <c:f>Sheet2!$O$3</c:f>
              <c:strCache>
                <c:ptCount val="1"/>
                <c:pt idx="0">
                  <c:v>Total</c:v>
                </c:pt>
              </c:strCache>
            </c:strRef>
          </c:tx>
          <c:spPr>
            <a:ln>
              <a:noFill/>
            </a:ln>
            <a:effectLst>
              <a:outerShdw blurRad="50800" dist="38100" dir="2700000" algn="tl" rotWithShape="0">
                <a:prstClr val="black">
                  <a:alpha val="40000"/>
                </a:prstClr>
              </a:outerShdw>
            </a:effectLst>
          </c:spPr>
          <c:explosion val="6"/>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B55-414C-B226-80238747018F}"/>
              </c:ext>
            </c:extLst>
          </c:dPt>
          <c:dPt>
            <c:idx val="1"/>
            <c:bubble3D val="0"/>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B55-414C-B226-80238747018F}"/>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B55-414C-B226-80238747018F}"/>
              </c:ext>
            </c:extLst>
          </c:dPt>
          <c:dPt>
            <c:idx val="3"/>
            <c:bubble3D val="0"/>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B55-414C-B226-80238747018F}"/>
              </c:ext>
            </c:extLst>
          </c:dPt>
          <c:dLbls>
            <c:dLbl>
              <c:idx val="2"/>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fld id="{27CD8046-4D12-4779-96F9-CF0CE32191B9}"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7B55-414C-B226-8023874701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Sheet2!$N$4:$N$8</c:f>
              <c:strCache>
                <c:ptCount val="4"/>
                <c:pt idx="0">
                  <c:v>2021</c:v>
                </c:pt>
                <c:pt idx="1">
                  <c:v>2022</c:v>
                </c:pt>
                <c:pt idx="2">
                  <c:v>2023</c:v>
                </c:pt>
                <c:pt idx="3">
                  <c:v>2024</c:v>
                </c:pt>
              </c:strCache>
            </c:strRef>
          </c:cat>
          <c:val>
            <c:numRef>
              <c:f>Sheet2!$O$4:$O$8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7B55-414C-B226-80238747018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tx1"/>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Data.xlsx]Sheet2!PivotTable7</c:name>
    <c:fmtId val="3"/>
  </c:pivotSource>
  <c:chart>
    <c:title>
      <c:tx>
        <c:rich>
          <a:bodyPr rot="0" spcFirstLastPara="1" vertOverflow="ellipsis" vert="horz" wrap="square" anchor="ctr" anchorCtr="1"/>
          <a:lstStyle/>
          <a:p>
            <a:pPr>
              <a:defRPr sz="1200" b="0"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200" b="1"/>
              <a:t>Sales by State</a:t>
            </a:r>
          </a:p>
        </c:rich>
      </c:tx>
      <c:layout>
        <c:manualLayout>
          <c:xMode val="edge"/>
          <c:yMode val="edge"/>
          <c:x val="0.3593508365192255"/>
          <c:y val="5.321638897169654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a:outerShdw blurRad="50800" dist="38100" dir="5400000" algn="t" rotWithShape="0">
              <a:prstClr val="black">
                <a:alpha val="40000"/>
              </a:prstClr>
            </a:outerShdw>
          </a:effectLst>
        </c:spPr>
        <c:marker>
          <c:symbol val="none"/>
        </c:marker>
        <c:dLbl>
          <c:idx val="0"/>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9489605365611765E-2"/>
          <c:y val="0.281970838137175"/>
          <c:w val="0.93446754363197382"/>
          <c:h val="0.54166801353815353"/>
        </c:manualLayout>
      </c:layout>
      <c:lineChart>
        <c:grouping val="stacked"/>
        <c:varyColors val="0"/>
        <c:ser>
          <c:idx val="0"/>
          <c:order val="0"/>
          <c:tx>
            <c:strRef>
              <c:f>Sheet2!$O$13</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Sheet2!$N$14:$N$19</c:f>
              <c:strCache>
                <c:ptCount val="5"/>
                <c:pt idx="0">
                  <c:v>California</c:v>
                </c:pt>
                <c:pt idx="1">
                  <c:v>New York</c:v>
                </c:pt>
                <c:pt idx="2">
                  <c:v>Pennsylvania</c:v>
                </c:pt>
                <c:pt idx="3">
                  <c:v>Texas</c:v>
                </c:pt>
                <c:pt idx="4">
                  <c:v>Washington</c:v>
                </c:pt>
              </c:strCache>
            </c:strRef>
          </c:cat>
          <c:val>
            <c:numRef>
              <c:f>Sheet2!$O$14:$O$19</c:f>
              <c:numCache>
                <c:formatCode>General</c:formatCode>
                <c:ptCount val="5"/>
                <c:pt idx="0">
                  <c:v>338406.93000000116</c:v>
                </c:pt>
                <c:pt idx="1">
                  <c:v>222542.68000000034</c:v>
                </c:pt>
                <c:pt idx="2">
                  <c:v>88118.789999999964</c:v>
                </c:pt>
                <c:pt idx="3">
                  <c:v>127230.67000000003</c:v>
                </c:pt>
                <c:pt idx="4">
                  <c:v>86596.900000000009</c:v>
                </c:pt>
              </c:numCache>
            </c:numRef>
          </c:val>
          <c:smooth val="0"/>
          <c:extLst>
            <c:ext xmlns:c16="http://schemas.microsoft.com/office/drawing/2014/chart" uri="{C3380CC4-5D6E-409C-BE32-E72D297353CC}">
              <c16:uniqueId val="{00000000-0A2B-4654-9413-5E2C4C136AFD}"/>
            </c:ext>
          </c:extLst>
        </c:ser>
        <c:dLbls>
          <c:dLblPos val="t"/>
          <c:showLegendKey val="0"/>
          <c:showVal val="1"/>
          <c:showCatName val="0"/>
          <c:showSerName val="0"/>
          <c:showPercent val="0"/>
          <c:showBubbleSize val="0"/>
        </c:dLbls>
        <c:smooth val="0"/>
        <c:axId val="104042816"/>
        <c:axId val="104035328"/>
      </c:lineChart>
      <c:catAx>
        <c:axId val="1040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04035328"/>
        <c:crosses val="autoZero"/>
        <c:auto val="1"/>
        <c:lblAlgn val="ctr"/>
        <c:lblOffset val="100"/>
        <c:noMultiLvlLbl val="0"/>
      </c:catAx>
      <c:valAx>
        <c:axId val="104035328"/>
        <c:scaling>
          <c:orientation val="minMax"/>
        </c:scaling>
        <c:delete val="1"/>
        <c:axPos val="l"/>
        <c:numFmt formatCode="General" sourceLinked="1"/>
        <c:majorTickMark val="none"/>
        <c:minorTickMark val="none"/>
        <c:tickLblPos val="nextTo"/>
        <c:crossAx val="104042816"/>
        <c:crosses val="autoZero"/>
        <c:crossBetween val="between"/>
      </c:valAx>
      <c:spPr>
        <a:noFill/>
        <a:ln>
          <a:noFill/>
        </a:ln>
        <a:effectLst/>
      </c:spPr>
    </c:plotArea>
    <c:plotVisOnly val="1"/>
    <c:dispBlanksAs val="zero"/>
    <c:showDLblsOverMax val="0"/>
  </c:chart>
  <c:spPr>
    <a:noFill/>
    <a:ln w="9525" cap="flat" cmpd="sng" algn="ctr">
      <a:solidFill>
        <a:schemeClr val="tx1">
          <a:lumMod val="15000"/>
          <a:lumOff val="85000"/>
        </a:schemeClr>
      </a:solidFill>
      <a:round/>
    </a:ln>
    <a:effectLst/>
  </c:spPr>
  <c:txPr>
    <a:bodyPr/>
    <a:lstStyle/>
    <a:p>
      <a:pPr>
        <a:defRPr>
          <a:solidFill>
            <a:schemeClr val="tx1"/>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Data.xlsx]Sheet2!PivotTable8</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200" b="1"/>
              <a:t>Top 5 Customer Profit</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F9ED5"/>
          </a:solidFill>
          <a:ln>
            <a:noFill/>
          </a:ln>
          <a:effectLst>
            <a:outerShdw blurRad="50800" dist="38100" dir="2700000" algn="tl" rotWithShape="0">
              <a:prstClr val="black">
                <a:alpha val="40000"/>
              </a:prstClr>
            </a:outerShdw>
          </a:effectLst>
        </c:spPr>
        <c:marker>
          <c:symbol val="none"/>
        </c:marker>
        <c:dLbl>
          <c:idx val="0"/>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904773385162226"/>
          <c:y val="0.16093470871829443"/>
          <c:w val="0.74896840844579204"/>
          <c:h val="0.77121240527552548"/>
        </c:manualLayout>
      </c:layout>
      <c:barChart>
        <c:barDir val="bar"/>
        <c:grouping val="clustered"/>
        <c:varyColors val="0"/>
        <c:ser>
          <c:idx val="0"/>
          <c:order val="0"/>
          <c:tx>
            <c:strRef>
              <c:f>Sheet2!$U$4</c:f>
              <c:strCache>
                <c:ptCount val="1"/>
                <c:pt idx="0">
                  <c:v>Total</c:v>
                </c:pt>
              </c:strCache>
            </c:strRef>
          </c:tx>
          <c:spPr>
            <a:solidFill>
              <a:srgbClr val="0F9ED5"/>
            </a:solidFill>
            <a:ln>
              <a:noFill/>
            </a:ln>
            <a:effectLst>
              <a:outerShdw blurRad="50800" dist="38100" dir="2700000" algn="tl" rotWithShape="0">
                <a:prstClr val="black">
                  <a:alpha val="40000"/>
                </a:prstClr>
              </a:outerShd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Sheet2!$T$5:$T$10</c:f>
              <c:strCache>
                <c:ptCount val="5"/>
                <c:pt idx="0">
                  <c:v>Daniel Raglin</c:v>
                </c:pt>
                <c:pt idx="1">
                  <c:v>Keith Dawkins</c:v>
                </c:pt>
                <c:pt idx="2">
                  <c:v>Adrian Barton</c:v>
                </c:pt>
                <c:pt idx="3">
                  <c:v>Sanjit Chand</c:v>
                </c:pt>
                <c:pt idx="4">
                  <c:v>Tamara Chand</c:v>
                </c:pt>
              </c:strCache>
            </c:strRef>
          </c:cat>
          <c:val>
            <c:numRef>
              <c:f>Sheet2!$U$5:$U$10</c:f>
              <c:numCache>
                <c:formatCode>General</c:formatCode>
                <c:ptCount val="5"/>
                <c:pt idx="0">
                  <c:v>2964.1000000000004</c:v>
                </c:pt>
                <c:pt idx="1">
                  <c:v>3014.61</c:v>
                </c:pt>
                <c:pt idx="2">
                  <c:v>5196.9399999999996</c:v>
                </c:pt>
                <c:pt idx="3">
                  <c:v>5779.38</c:v>
                </c:pt>
                <c:pt idx="4">
                  <c:v>8981.32</c:v>
                </c:pt>
              </c:numCache>
            </c:numRef>
          </c:val>
          <c:extLst>
            <c:ext xmlns:c16="http://schemas.microsoft.com/office/drawing/2014/chart" uri="{C3380CC4-5D6E-409C-BE32-E72D297353CC}">
              <c16:uniqueId val="{00000000-F3AB-4FC9-AC96-C61172354EF4}"/>
            </c:ext>
          </c:extLst>
        </c:ser>
        <c:dLbls>
          <c:showLegendKey val="0"/>
          <c:showVal val="0"/>
          <c:showCatName val="0"/>
          <c:showSerName val="0"/>
          <c:showPercent val="0"/>
          <c:showBubbleSize val="0"/>
        </c:dLbls>
        <c:gapWidth val="50"/>
        <c:axId val="361512400"/>
        <c:axId val="361525712"/>
      </c:barChart>
      <c:catAx>
        <c:axId val="36151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361525712"/>
        <c:crosses val="autoZero"/>
        <c:auto val="1"/>
        <c:lblAlgn val="ctr"/>
        <c:lblOffset val="100"/>
        <c:noMultiLvlLbl val="0"/>
      </c:catAx>
      <c:valAx>
        <c:axId val="361525712"/>
        <c:scaling>
          <c:orientation val="minMax"/>
        </c:scaling>
        <c:delete val="1"/>
        <c:axPos val="b"/>
        <c:numFmt formatCode="General" sourceLinked="1"/>
        <c:majorTickMark val="none"/>
        <c:minorTickMark val="none"/>
        <c:tickLblPos val="nextTo"/>
        <c:crossAx val="36151240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tx1"/>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Data.xlsx]Sheet2!PivotTable9</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200" b="1"/>
              <a:t>Sales of Month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0049070710503474E-2"/>
          <c:y val="0.1554583114747406"/>
          <c:w val="0.95990185857899302"/>
          <c:h val="0.66503130881637018"/>
        </c:manualLayout>
      </c:layout>
      <c:barChart>
        <c:barDir val="col"/>
        <c:grouping val="clustered"/>
        <c:varyColors val="0"/>
        <c:ser>
          <c:idx val="0"/>
          <c:order val="0"/>
          <c:tx>
            <c:strRef>
              <c:f>Sheet2!$X$4</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Sheet2!$W$5:$W$15</c:f>
              <c:strCache>
                <c:ptCount val="10"/>
                <c:pt idx="0">
                  <c:v>Jan</c:v>
                </c:pt>
                <c:pt idx="1">
                  <c:v>Apr</c:v>
                </c:pt>
                <c:pt idx="2">
                  <c:v>May</c:v>
                </c:pt>
                <c:pt idx="3">
                  <c:v>Jun</c:v>
                </c:pt>
                <c:pt idx="4">
                  <c:v>Jul</c:v>
                </c:pt>
                <c:pt idx="5">
                  <c:v>Aug</c:v>
                </c:pt>
                <c:pt idx="6">
                  <c:v>Sep</c:v>
                </c:pt>
                <c:pt idx="7">
                  <c:v>Oct</c:v>
                </c:pt>
                <c:pt idx="8">
                  <c:v>Nov</c:v>
                </c:pt>
                <c:pt idx="9">
                  <c:v>Dec</c:v>
                </c:pt>
              </c:strCache>
            </c:strRef>
          </c:cat>
          <c:val>
            <c:numRef>
              <c:f>Sheet2!$X$5:$X$15</c:f>
              <c:numCache>
                <c:formatCode>General</c:formatCode>
                <c:ptCount val="10"/>
                <c:pt idx="0">
                  <c:v>94924.87</c:v>
                </c:pt>
                <c:pt idx="1">
                  <c:v>137480.79</c:v>
                </c:pt>
                <c:pt idx="2">
                  <c:v>155028.82999999999</c:v>
                </c:pt>
                <c:pt idx="3">
                  <c:v>152718.71999999986</c:v>
                </c:pt>
                <c:pt idx="4">
                  <c:v>147238.11000000019</c:v>
                </c:pt>
                <c:pt idx="5">
                  <c:v>159043.99000000005</c:v>
                </c:pt>
                <c:pt idx="6">
                  <c:v>219783.30000000057</c:v>
                </c:pt>
                <c:pt idx="7">
                  <c:v>122546.06999999989</c:v>
                </c:pt>
                <c:pt idx="8">
                  <c:v>234013.28000000012</c:v>
                </c:pt>
                <c:pt idx="9">
                  <c:v>241464.23000000027</c:v>
                </c:pt>
              </c:numCache>
            </c:numRef>
          </c:val>
          <c:extLst>
            <c:ext xmlns:c16="http://schemas.microsoft.com/office/drawing/2014/chart" uri="{C3380CC4-5D6E-409C-BE32-E72D297353CC}">
              <c16:uniqueId val="{00000000-D4E8-49CD-BDC5-6A97D4A8F2D5}"/>
            </c:ext>
          </c:extLst>
        </c:ser>
        <c:dLbls>
          <c:dLblPos val="outEnd"/>
          <c:showLegendKey val="0"/>
          <c:showVal val="1"/>
          <c:showCatName val="0"/>
          <c:showSerName val="0"/>
          <c:showPercent val="0"/>
          <c:showBubbleSize val="0"/>
        </c:dLbls>
        <c:gapWidth val="40"/>
        <c:overlap val="-27"/>
        <c:axId val="372380576"/>
        <c:axId val="372381408"/>
      </c:barChart>
      <c:catAx>
        <c:axId val="37238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372381408"/>
        <c:crosses val="autoZero"/>
        <c:auto val="1"/>
        <c:lblAlgn val="ctr"/>
        <c:lblOffset val="100"/>
        <c:noMultiLvlLbl val="0"/>
      </c:catAx>
      <c:valAx>
        <c:axId val="372381408"/>
        <c:scaling>
          <c:orientation val="minMax"/>
        </c:scaling>
        <c:delete val="1"/>
        <c:axPos val="l"/>
        <c:numFmt formatCode="General" sourceLinked="1"/>
        <c:majorTickMark val="none"/>
        <c:minorTickMark val="none"/>
        <c:tickLblPos val="nextTo"/>
        <c:crossAx val="37238057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tx1"/>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Sheet2!$D$3:$D$4</c:f>
              <c:strCache>
                <c:ptCount val="1"/>
                <c:pt idx="0">
                  <c:v>Furniture</c:v>
                </c:pt>
              </c:strCache>
            </c:strRef>
          </c:tx>
          <c:spPr>
            <a:solidFill>
              <a:schemeClr val="accent1"/>
            </a:solidFill>
            <a:ln>
              <a:noFill/>
            </a:ln>
            <a:effectLst/>
          </c:spPr>
          <c:invertIfNegative val="0"/>
          <c:cat>
            <c:strRef>
              <c:f>Sheet2!$C$5:$C$9</c:f>
              <c:strCache>
                <c:ptCount val="4"/>
                <c:pt idx="0">
                  <c:v>2021</c:v>
                </c:pt>
                <c:pt idx="1">
                  <c:v>2022</c:v>
                </c:pt>
                <c:pt idx="2">
                  <c:v>2023</c:v>
                </c:pt>
                <c:pt idx="3">
                  <c:v>2024</c:v>
                </c:pt>
              </c:strCache>
            </c:strRef>
          </c:cat>
          <c:val>
            <c:numRef>
              <c:f>Sheet2!$D$5:$D$9</c:f>
              <c:numCache>
                <c:formatCode>General</c:formatCode>
                <c:ptCount val="4"/>
                <c:pt idx="0">
                  <c:v>6477.73</c:v>
                </c:pt>
                <c:pt idx="1">
                  <c:v>1165.2099999999996</c:v>
                </c:pt>
                <c:pt idx="2">
                  <c:v>7138.1699999999964</c:v>
                </c:pt>
                <c:pt idx="3">
                  <c:v>1642.0199999999993</c:v>
                </c:pt>
              </c:numCache>
            </c:numRef>
          </c:val>
          <c:extLst>
            <c:ext xmlns:c16="http://schemas.microsoft.com/office/drawing/2014/chart" uri="{C3380CC4-5D6E-409C-BE32-E72D297353CC}">
              <c16:uniqueId val="{00000000-43F9-4804-A43C-7CEA748CFC9B}"/>
            </c:ext>
          </c:extLst>
        </c:ser>
        <c:ser>
          <c:idx val="1"/>
          <c:order val="1"/>
          <c:tx>
            <c:strRef>
              <c:f>Sheet2!$E$3:$E$4</c:f>
              <c:strCache>
                <c:ptCount val="1"/>
                <c:pt idx="0">
                  <c:v>Office Supplies</c:v>
                </c:pt>
              </c:strCache>
            </c:strRef>
          </c:tx>
          <c:spPr>
            <a:solidFill>
              <a:schemeClr val="accent2"/>
            </a:solidFill>
            <a:ln>
              <a:noFill/>
            </a:ln>
            <a:effectLst/>
          </c:spPr>
          <c:invertIfNegative val="0"/>
          <c:cat>
            <c:strRef>
              <c:f>Sheet2!$C$5:$C$9</c:f>
              <c:strCache>
                <c:ptCount val="4"/>
                <c:pt idx="0">
                  <c:v>2021</c:v>
                </c:pt>
                <c:pt idx="1">
                  <c:v>2022</c:v>
                </c:pt>
                <c:pt idx="2">
                  <c:v>2023</c:v>
                </c:pt>
                <c:pt idx="3">
                  <c:v>2024</c:v>
                </c:pt>
              </c:strCache>
            </c:strRef>
          </c:cat>
          <c:val>
            <c:numRef>
              <c:f>Sheet2!$E$5:$E$9</c:f>
              <c:numCache>
                <c:formatCode>General</c:formatCode>
                <c:ptCount val="4"/>
                <c:pt idx="0">
                  <c:v>21146.929999999978</c:v>
                </c:pt>
                <c:pt idx="1">
                  <c:v>17877.649999999991</c:v>
                </c:pt>
                <c:pt idx="2">
                  <c:v>32669.840000000018</c:v>
                </c:pt>
                <c:pt idx="3">
                  <c:v>21795.039999999983</c:v>
                </c:pt>
              </c:numCache>
            </c:numRef>
          </c:val>
          <c:extLst>
            <c:ext xmlns:c16="http://schemas.microsoft.com/office/drawing/2014/chart" uri="{C3380CC4-5D6E-409C-BE32-E72D297353CC}">
              <c16:uniqueId val="{00000000-6925-43EE-A034-8A0D72BF2F77}"/>
            </c:ext>
          </c:extLst>
        </c:ser>
        <c:ser>
          <c:idx val="2"/>
          <c:order val="2"/>
          <c:tx>
            <c:strRef>
              <c:f>Sheet2!$F$3:$F$4</c:f>
              <c:strCache>
                <c:ptCount val="1"/>
                <c:pt idx="0">
                  <c:v>Technology</c:v>
                </c:pt>
              </c:strCache>
            </c:strRef>
          </c:tx>
          <c:spPr>
            <a:solidFill>
              <a:schemeClr val="accent3"/>
            </a:solidFill>
            <a:ln>
              <a:noFill/>
            </a:ln>
            <a:effectLst/>
          </c:spPr>
          <c:invertIfNegative val="0"/>
          <c:cat>
            <c:strRef>
              <c:f>Sheet2!$C$5:$C$9</c:f>
              <c:strCache>
                <c:ptCount val="4"/>
                <c:pt idx="0">
                  <c:v>2021</c:v>
                </c:pt>
                <c:pt idx="1">
                  <c:v>2022</c:v>
                </c:pt>
                <c:pt idx="2">
                  <c:v>2023</c:v>
                </c:pt>
                <c:pt idx="3">
                  <c:v>2024</c:v>
                </c:pt>
              </c:strCache>
            </c:strRef>
          </c:cat>
          <c:val>
            <c:numRef>
              <c:f>Sheet2!$F$5:$F$9</c:f>
              <c:numCache>
                <c:formatCode>General</c:formatCode>
                <c:ptCount val="4"/>
                <c:pt idx="0">
                  <c:v>20570.440000000013</c:v>
                </c:pt>
                <c:pt idx="1">
                  <c:v>30029.920000000002</c:v>
                </c:pt>
                <c:pt idx="2">
                  <c:v>33370.690000000024</c:v>
                </c:pt>
                <c:pt idx="3">
                  <c:v>15196.499999999998</c:v>
                </c:pt>
              </c:numCache>
            </c:numRef>
          </c:val>
          <c:extLst>
            <c:ext xmlns:c16="http://schemas.microsoft.com/office/drawing/2014/chart" uri="{C3380CC4-5D6E-409C-BE32-E72D297353CC}">
              <c16:uniqueId val="{00000001-6925-43EE-A034-8A0D72BF2F77}"/>
            </c:ext>
          </c:extLst>
        </c:ser>
        <c:dLbls>
          <c:showLegendKey val="0"/>
          <c:showVal val="0"/>
          <c:showCatName val="0"/>
          <c:showSerName val="0"/>
          <c:showPercent val="0"/>
          <c:showBubbleSize val="0"/>
        </c:dLbls>
        <c:gapWidth val="219"/>
        <c:overlap val="-27"/>
        <c:axId val="2000066944"/>
        <c:axId val="2000069856"/>
      </c:barChart>
      <c:catAx>
        <c:axId val="200006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69856"/>
        <c:crosses val="autoZero"/>
        <c:auto val="1"/>
        <c:lblAlgn val="ctr"/>
        <c:lblOffset val="100"/>
        <c:noMultiLvlLbl val="0"/>
      </c:catAx>
      <c:valAx>
        <c:axId val="200006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6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Sheet2!$E$12</c:f>
              <c:strCache>
                <c:ptCount val="1"/>
                <c:pt idx="0">
                  <c:v>Sales</c:v>
                </c:pt>
              </c:strCache>
            </c:strRef>
          </c:tx>
          <c:spPr>
            <a:solidFill>
              <a:schemeClr val="accent1"/>
            </a:solidFill>
            <a:ln>
              <a:noFill/>
            </a:ln>
            <a:effectLst/>
          </c:spPr>
          <c:invertIfNegative val="0"/>
          <c:cat>
            <c:strRef>
              <c:f>Sheet2!$D$13:$D$29</c:f>
              <c:strCache>
                <c:ptCount val="17"/>
                <c:pt idx="0">
                  <c:v>Chairs</c:v>
                </c:pt>
                <c:pt idx="1">
                  <c:v>Phones</c:v>
                </c:pt>
                <c:pt idx="2">
                  <c:v>Storage</c:v>
                </c:pt>
                <c:pt idx="3">
                  <c:v>Binders</c:v>
                </c:pt>
                <c:pt idx="4">
                  <c:v>Tables</c:v>
                </c:pt>
                <c:pt idx="5">
                  <c:v>Accessories</c:v>
                </c:pt>
                <c:pt idx="6">
                  <c:v>Machines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Sheet2!$E$13:$E$29</c:f>
              <c:numCache>
                <c:formatCode>General</c:formatCode>
                <c:ptCount val="17"/>
                <c:pt idx="0">
                  <c:v>242036.89000000028</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4A31-4422-9B03-E897120FE44D}"/>
            </c:ext>
          </c:extLst>
        </c:ser>
        <c:dLbls>
          <c:showLegendKey val="0"/>
          <c:showVal val="0"/>
          <c:showCatName val="0"/>
          <c:showSerName val="0"/>
          <c:showPercent val="0"/>
          <c:showBubbleSize val="0"/>
        </c:dLbls>
        <c:gapWidth val="182"/>
        <c:axId val="99678608"/>
        <c:axId val="99676528"/>
      </c:barChart>
      <c:catAx>
        <c:axId val="9967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76528"/>
        <c:crosses val="autoZero"/>
        <c:auto val="1"/>
        <c:lblAlgn val="ctr"/>
        <c:lblOffset val="100"/>
        <c:noMultiLvlLbl val="0"/>
      </c:catAx>
      <c:valAx>
        <c:axId val="9967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7860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07-47BD-9862-40B85E1CB0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07-47BD-9862-40B85E1CB0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07-47BD-9862-40B85E1CB0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07-47BD-9862-40B85E1CB0A9}"/>
              </c:ext>
            </c:extLst>
          </c:dPt>
          <c:cat>
            <c:strRef>
              <c:f>Sheet2!$N$4:$N$8</c:f>
              <c:strCache>
                <c:ptCount val="4"/>
                <c:pt idx="0">
                  <c:v>2021</c:v>
                </c:pt>
                <c:pt idx="1">
                  <c:v>2022</c:v>
                </c:pt>
                <c:pt idx="2">
                  <c:v>2023</c:v>
                </c:pt>
                <c:pt idx="3">
                  <c:v>2024</c:v>
                </c:pt>
              </c:strCache>
            </c:strRef>
          </c:cat>
          <c:val>
            <c:numRef>
              <c:f>Sheet2!$O$4:$O$8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9974-461C-81A4-B4C5761587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Sheet2!$O$13</c:f>
              <c:strCache>
                <c:ptCount val="1"/>
                <c:pt idx="0">
                  <c:v>Total</c:v>
                </c:pt>
              </c:strCache>
            </c:strRef>
          </c:tx>
          <c:spPr>
            <a:ln w="28575" cap="rnd">
              <a:solidFill>
                <a:schemeClr val="accent1"/>
              </a:solidFill>
              <a:round/>
            </a:ln>
            <a:effectLst/>
          </c:spPr>
          <c:marker>
            <c:symbol val="none"/>
          </c:marker>
          <c:cat>
            <c:strRef>
              <c:f>Sheet2!$N$14:$N$19</c:f>
              <c:strCache>
                <c:ptCount val="5"/>
                <c:pt idx="0">
                  <c:v>California</c:v>
                </c:pt>
                <c:pt idx="1">
                  <c:v>New York</c:v>
                </c:pt>
                <c:pt idx="2">
                  <c:v>Pennsylvania</c:v>
                </c:pt>
                <c:pt idx="3">
                  <c:v>Texas</c:v>
                </c:pt>
                <c:pt idx="4">
                  <c:v>Washington</c:v>
                </c:pt>
              </c:strCache>
            </c:strRef>
          </c:cat>
          <c:val>
            <c:numRef>
              <c:f>Sheet2!$O$14:$O$19</c:f>
              <c:numCache>
                <c:formatCode>General</c:formatCode>
                <c:ptCount val="5"/>
                <c:pt idx="0">
                  <c:v>338406.93000000116</c:v>
                </c:pt>
                <c:pt idx="1">
                  <c:v>222542.68000000034</c:v>
                </c:pt>
                <c:pt idx="2">
                  <c:v>88118.789999999964</c:v>
                </c:pt>
                <c:pt idx="3">
                  <c:v>127230.67000000003</c:v>
                </c:pt>
                <c:pt idx="4">
                  <c:v>86596.900000000009</c:v>
                </c:pt>
              </c:numCache>
            </c:numRef>
          </c:val>
          <c:smooth val="0"/>
          <c:extLst>
            <c:ext xmlns:c16="http://schemas.microsoft.com/office/drawing/2014/chart" uri="{C3380CC4-5D6E-409C-BE32-E72D297353CC}">
              <c16:uniqueId val="{00000000-D0D9-42CF-B7CA-F4770721D23E}"/>
            </c:ext>
          </c:extLst>
        </c:ser>
        <c:dLbls>
          <c:showLegendKey val="0"/>
          <c:showVal val="0"/>
          <c:showCatName val="0"/>
          <c:showSerName val="0"/>
          <c:showPercent val="0"/>
          <c:showBubbleSize val="0"/>
        </c:dLbls>
        <c:smooth val="0"/>
        <c:axId val="104042816"/>
        <c:axId val="104035328"/>
      </c:lineChart>
      <c:catAx>
        <c:axId val="1040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5328"/>
        <c:crosses val="autoZero"/>
        <c:auto val="1"/>
        <c:lblAlgn val="ctr"/>
        <c:lblOffset val="100"/>
        <c:noMultiLvlLbl val="0"/>
      </c:catAx>
      <c:valAx>
        <c:axId val="1040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2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46805096237970256"/>
          <c:y val="0.1927755905511811"/>
          <c:w val="0.28478237095363079"/>
          <c:h val="0.64196157771945173"/>
        </c:manualLayout>
      </c:layout>
      <c:barChart>
        <c:barDir val="bar"/>
        <c:grouping val="clustered"/>
        <c:varyColors val="0"/>
        <c:ser>
          <c:idx val="0"/>
          <c:order val="0"/>
          <c:tx>
            <c:strRef>
              <c:f>Sheet2!$U$4</c:f>
              <c:strCache>
                <c:ptCount val="1"/>
                <c:pt idx="0">
                  <c:v>Total</c:v>
                </c:pt>
              </c:strCache>
            </c:strRef>
          </c:tx>
          <c:spPr>
            <a:solidFill>
              <a:schemeClr val="accent1"/>
            </a:solidFill>
            <a:ln>
              <a:noFill/>
            </a:ln>
            <a:effectLst/>
          </c:spPr>
          <c:invertIfNegative val="0"/>
          <c:cat>
            <c:strRef>
              <c:f>Sheet2!$T$5:$T$10</c:f>
              <c:strCache>
                <c:ptCount val="5"/>
                <c:pt idx="0">
                  <c:v>Daniel Raglin</c:v>
                </c:pt>
                <c:pt idx="1">
                  <c:v>Keith Dawkins</c:v>
                </c:pt>
                <c:pt idx="2">
                  <c:v>Adrian Barton</c:v>
                </c:pt>
                <c:pt idx="3">
                  <c:v>Sanjit Chand</c:v>
                </c:pt>
                <c:pt idx="4">
                  <c:v>Tamara Chand</c:v>
                </c:pt>
              </c:strCache>
            </c:strRef>
          </c:cat>
          <c:val>
            <c:numRef>
              <c:f>Sheet2!$U$5:$U$10</c:f>
              <c:numCache>
                <c:formatCode>General</c:formatCode>
                <c:ptCount val="5"/>
                <c:pt idx="0">
                  <c:v>2964.1000000000004</c:v>
                </c:pt>
                <c:pt idx="1">
                  <c:v>3014.61</c:v>
                </c:pt>
                <c:pt idx="2">
                  <c:v>5196.9399999999996</c:v>
                </c:pt>
                <c:pt idx="3">
                  <c:v>5779.38</c:v>
                </c:pt>
                <c:pt idx="4">
                  <c:v>8981.32</c:v>
                </c:pt>
              </c:numCache>
            </c:numRef>
          </c:val>
          <c:extLst>
            <c:ext xmlns:c16="http://schemas.microsoft.com/office/drawing/2014/chart" uri="{C3380CC4-5D6E-409C-BE32-E72D297353CC}">
              <c16:uniqueId val="{00000000-D82E-4B83-B4B5-930DEBEFFA55}"/>
            </c:ext>
          </c:extLst>
        </c:ser>
        <c:dLbls>
          <c:showLegendKey val="0"/>
          <c:showVal val="0"/>
          <c:showCatName val="0"/>
          <c:showSerName val="0"/>
          <c:showPercent val="0"/>
          <c:showBubbleSize val="0"/>
        </c:dLbls>
        <c:gapWidth val="182"/>
        <c:axId val="361512400"/>
        <c:axId val="361525712"/>
      </c:barChart>
      <c:catAx>
        <c:axId val="36151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25712"/>
        <c:crosses val="autoZero"/>
        <c:auto val="1"/>
        <c:lblAlgn val="ctr"/>
        <c:lblOffset val="100"/>
        <c:noMultiLvlLbl val="0"/>
      </c:catAx>
      <c:valAx>
        <c:axId val="361525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12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Sheet2!$X$4</c:f>
              <c:strCache>
                <c:ptCount val="1"/>
                <c:pt idx="0">
                  <c:v>Total</c:v>
                </c:pt>
              </c:strCache>
            </c:strRef>
          </c:tx>
          <c:spPr>
            <a:solidFill>
              <a:schemeClr val="accent1"/>
            </a:solidFill>
            <a:ln>
              <a:noFill/>
            </a:ln>
            <a:effectLst/>
          </c:spPr>
          <c:invertIfNegative val="0"/>
          <c:cat>
            <c:strRef>
              <c:f>Sheet2!$W$5:$W$15</c:f>
              <c:strCache>
                <c:ptCount val="10"/>
                <c:pt idx="0">
                  <c:v>Jan</c:v>
                </c:pt>
                <c:pt idx="1">
                  <c:v>Apr</c:v>
                </c:pt>
                <c:pt idx="2">
                  <c:v>May</c:v>
                </c:pt>
                <c:pt idx="3">
                  <c:v>Jun</c:v>
                </c:pt>
                <c:pt idx="4">
                  <c:v>Jul</c:v>
                </c:pt>
                <c:pt idx="5">
                  <c:v>Aug</c:v>
                </c:pt>
                <c:pt idx="6">
                  <c:v>Sep</c:v>
                </c:pt>
                <c:pt idx="7">
                  <c:v>Oct</c:v>
                </c:pt>
                <c:pt idx="8">
                  <c:v>Nov</c:v>
                </c:pt>
                <c:pt idx="9">
                  <c:v>Dec</c:v>
                </c:pt>
              </c:strCache>
            </c:strRef>
          </c:cat>
          <c:val>
            <c:numRef>
              <c:f>Sheet2!$X$5:$X$15</c:f>
              <c:numCache>
                <c:formatCode>General</c:formatCode>
                <c:ptCount val="10"/>
                <c:pt idx="0">
                  <c:v>94924.87</c:v>
                </c:pt>
                <c:pt idx="1">
                  <c:v>137480.79</c:v>
                </c:pt>
                <c:pt idx="2">
                  <c:v>155028.82999999999</c:v>
                </c:pt>
                <c:pt idx="3">
                  <c:v>152718.71999999986</c:v>
                </c:pt>
                <c:pt idx="4">
                  <c:v>147238.11000000019</c:v>
                </c:pt>
                <c:pt idx="5">
                  <c:v>159043.99000000005</c:v>
                </c:pt>
                <c:pt idx="6">
                  <c:v>219783.30000000057</c:v>
                </c:pt>
                <c:pt idx="7">
                  <c:v>122546.06999999989</c:v>
                </c:pt>
                <c:pt idx="8">
                  <c:v>234013.28000000012</c:v>
                </c:pt>
                <c:pt idx="9">
                  <c:v>241464.23000000027</c:v>
                </c:pt>
              </c:numCache>
            </c:numRef>
          </c:val>
          <c:extLst>
            <c:ext xmlns:c16="http://schemas.microsoft.com/office/drawing/2014/chart" uri="{C3380CC4-5D6E-409C-BE32-E72D297353CC}">
              <c16:uniqueId val="{00000000-C95F-4382-A359-105AAC62BFFB}"/>
            </c:ext>
          </c:extLst>
        </c:ser>
        <c:dLbls>
          <c:showLegendKey val="0"/>
          <c:showVal val="0"/>
          <c:showCatName val="0"/>
          <c:showSerName val="0"/>
          <c:showPercent val="0"/>
          <c:showBubbleSize val="0"/>
        </c:dLbls>
        <c:gapWidth val="219"/>
        <c:overlap val="-27"/>
        <c:axId val="372380576"/>
        <c:axId val="372381408"/>
      </c:barChart>
      <c:catAx>
        <c:axId val="37238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81408"/>
        <c:crosses val="autoZero"/>
        <c:auto val="1"/>
        <c:lblAlgn val="ctr"/>
        <c:lblOffset val="100"/>
        <c:noMultiLvlLbl val="0"/>
      </c:catAx>
      <c:valAx>
        <c:axId val="3723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80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6.jpeg"/><Relationship Id="rId3" Type="http://schemas.openxmlformats.org/officeDocument/2006/relationships/image" Target="../media/image3.jpeg"/><Relationship Id="rId7" Type="http://schemas.openxmlformats.org/officeDocument/2006/relationships/chart" Target="../charts/chart4.xml"/><Relationship Id="rId12" Type="http://schemas.openxmlformats.org/officeDocument/2006/relationships/image" Target="../media/image5.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3.xml"/><Relationship Id="rId11" Type="http://schemas.microsoft.com/office/2007/relationships/hdphoto" Target="../media/hdphoto1.wdp"/><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59270</xdr:colOff>
      <xdr:row>0</xdr:row>
      <xdr:rowOff>76203</xdr:rowOff>
    </xdr:from>
    <xdr:to>
      <xdr:col>19</xdr:col>
      <xdr:colOff>278424</xdr:colOff>
      <xdr:row>34</xdr:row>
      <xdr:rowOff>151003</xdr:rowOff>
    </xdr:to>
    <xdr:sp macro="" textlink="">
      <xdr:nvSpPr>
        <xdr:cNvPr id="2" name="Rounded Rectangle 1"/>
        <xdr:cNvSpPr/>
      </xdr:nvSpPr>
      <xdr:spPr>
        <a:xfrm>
          <a:off x="59270" y="76203"/>
          <a:ext cx="13026616" cy="6053569"/>
        </a:xfrm>
        <a:prstGeom prst="roundRect">
          <a:avLst>
            <a:gd name="adj" fmla="val 75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152403</xdr:colOff>
      <xdr:row>0</xdr:row>
      <xdr:rowOff>160869</xdr:rowOff>
    </xdr:from>
    <xdr:to>
      <xdr:col>2</xdr:col>
      <xdr:colOff>153528</xdr:colOff>
      <xdr:row>5</xdr:row>
      <xdr:rowOff>143069</xdr:rowOff>
    </xdr:to>
    <xdr:sp macro="" textlink="">
      <xdr:nvSpPr>
        <xdr:cNvPr id="3" name="Rounded Rectangle 2"/>
        <xdr:cNvSpPr/>
      </xdr:nvSpPr>
      <xdr:spPr>
        <a:xfrm>
          <a:off x="152403" y="160869"/>
          <a:ext cx="1340398" cy="867352"/>
        </a:xfrm>
        <a:prstGeom prst="roundRect">
          <a:avLst>
            <a:gd name="adj" fmla="val 7553"/>
          </a:avLst>
        </a:prstGeom>
        <a:gradFill flip="none" rotWithShape="1">
          <a:gsLst>
            <a:gs pos="0">
              <a:srgbClr val="084F6A"/>
            </a:gs>
            <a:gs pos="89000">
              <a:schemeClr val="accent1">
                <a:lumMod val="95000"/>
                <a:lumOff val="5000"/>
              </a:schemeClr>
            </a:gs>
            <a:gs pos="100000">
              <a:srgbClr val="084F6A"/>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235025</xdr:colOff>
      <xdr:row>0</xdr:row>
      <xdr:rowOff>160869</xdr:rowOff>
    </xdr:from>
    <xdr:to>
      <xdr:col>19</xdr:col>
      <xdr:colOff>192689</xdr:colOff>
      <xdr:row>5</xdr:row>
      <xdr:rowOff>143069</xdr:rowOff>
    </xdr:to>
    <xdr:sp macro="" textlink="">
      <xdr:nvSpPr>
        <xdr:cNvPr id="4" name="Rounded Rectangle 3"/>
        <xdr:cNvSpPr/>
      </xdr:nvSpPr>
      <xdr:spPr>
        <a:xfrm>
          <a:off x="1583853" y="160869"/>
          <a:ext cx="11422698" cy="858062"/>
        </a:xfrm>
        <a:prstGeom prst="roundRect">
          <a:avLst>
            <a:gd name="adj" fmla="val 7553"/>
          </a:avLst>
        </a:prstGeom>
        <a:gradFill flip="none" rotWithShape="1">
          <a:gsLst>
            <a:gs pos="0">
              <a:srgbClr val="084F6A"/>
            </a:gs>
            <a:gs pos="89000">
              <a:schemeClr val="accent1">
                <a:lumMod val="95000"/>
                <a:lumOff val="5000"/>
              </a:schemeClr>
            </a:gs>
            <a:gs pos="100000">
              <a:srgbClr val="084F6A"/>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152402</xdr:colOff>
      <xdr:row>6</xdr:row>
      <xdr:rowOff>59268</xdr:rowOff>
    </xdr:from>
    <xdr:to>
      <xdr:col>2</xdr:col>
      <xdr:colOff>153939</xdr:colOff>
      <xdr:row>34</xdr:row>
      <xdr:rowOff>43793</xdr:rowOff>
    </xdr:to>
    <xdr:sp macro="" textlink="">
      <xdr:nvSpPr>
        <xdr:cNvPr id="6" name="Rectangle 5"/>
        <xdr:cNvSpPr/>
      </xdr:nvSpPr>
      <xdr:spPr>
        <a:xfrm>
          <a:off x="152402" y="1121450"/>
          <a:ext cx="1340810" cy="4941373"/>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235025</xdr:colOff>
      <xdr:row>6</xdr:row>
      <xdr:rowOff>59268</xdr:rowOff>
    </xdr:from>
    <xdr:to>
      <xdr:col>5</xdr:col>
      <xdr:colOff>198984</xdr:colOff>
      <xdr:row>11</xdr:row>
      <xdr:rowOff>11405</xdr:rowOff>
    </xdr:to>
    <xdr:sp macro="" textlink="">
      <xdr:nvSpPr>
        <xdr:cNvPr id="7" name="Rounded Rectangle 6"/>
        <xdr:cNvSpPr/>
      </xdr:nvSpPr>
      <xdr:spPr>
        <a:xfrm>
          <a:off x="1583853" y="1110302"/>
          <a:ext cx="1987200" cy="828000"/>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458953</xdr:colOff>
      <xdr:row>6</xdr:row>
      <xdr:rowOff>59268</xdr:rowOff>
    </xdr:from>
    <xdr:to>
      <xdr:col>8</xdr:col>
      <xdr:colOff>422912</xdr:colOff>
      <xdr:row>11</xdr:row>
      <xdr:rowOff>11405</xdr:rowOff>
    </xdr:to>
    <xdr:sp macro="" textlink="">
      <xdr:nvSpPr>
        <xdr:cNvPr id="8" name="Rounded Rectangle 7"/>
        <xdr:cNvSpPr/>
      </xdr:nvSpPr>
      <xdr:spPr>
        <a:xfrm>
          <a:off x="3816016" y="1114345"/>
          <a:ext cx="1978197" cy="831368"/>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235025</xdr:colOff>
      <xdr:row>11</xdr:row>
      <xdr:rowOff>155611</xdr:rowOff>
    </xdr:from>
    <xdr:to>
      <xdr:col>8</xdr:col>
      <xdr:colOff>397935</xdr:colOff>
      <xdr:row>22</xdr:row>
      <xdr:rowOff>105104</xdr:rowOff>
    </xdr:to>
    <xdr:sp macro="" textlink="">
      <xdr:nvSpPr>
        <xdr:cNvPr id="9" name="Rounded Rectangle 8"/>
        <xdr:cNvSpPr/>
      </xdr:nvSpPr>
      <xdr:spPr>
        <a:xfrm>
          <a:off x="1583853" y="2082508"/>
          <a:ext cx="4209392" cy="1876389"/>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235025</xdr:colOff>
      <xdr:row>23</xdr:row>
      <xdr:rowOff>35034</xdr:rowOff>
    </xdr:from>
    <xdr:to>
      <xdr:col>8</xdr:col>
      <xdr:colOff>397935</xdr:colOff>
      <xdr:row>34</xdr:row>
      <xdr:rowOff>78827</xdr:rowOff>
    </xdr:to>
    <xdr:sp macro="" textlink="">
      <xdr:nvSpPr>
        <xdr:cNvPr id="10" name="Rounded Rectangle 9"/>
        <xdr:cNvSpPr/>
      </xdr:nvSpPr>
      <xdr:spPr>
        <a:xfrm>
          <a:off x="1583853" y="4064000"/>
          <a:ext cx="4209392" cy="1970689"/>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599090</xdr:colOff>
      <xdr:row>6</xdr:row>
      <xdr:rowOff>59268</xdr:rowOff>
    </xdr:from>
    <xdr:to>
      <xdr:col>13</xdr:col>
      <xdr:colOff>341587</xdr:colOff>
      <xdr:row>25</xdr:row>
      <xdr:rowOff>8760</xdr:rowOff>
    </xdr:to>
    <xdr:sp macro="" textlink="">
      <xdr:nvSpPr>
        <xdr:cNvPr id="11" name="Rounded Rectangle 10"/>
        <xdr:cNvSpPr/>
      </xdr:nvSpPr>
      <xdr:spPr>
        <a:xfrm>
          <a:off x="5994400" y="1110302"/>
          <a:ext cx="3114566" cy="3277768"/>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616608</xdr:colOff>
      <xdr:row>25</xdr:row>
      <xdr:rowOff>52552</xdr:rowOff>
    </xdr:from>
    <xdr:to>
      <xdr:col>19</xdr:col>
      <xdr:colOff>192689</xdr:colOff>
      <xdr:row>34</xdr:row>
      <xdr:rowOff>78827</xdr:rowOff>
    </xdr:to>
    <xdr:sp macro="" textlink="">
      <xdr:nvSpPr>
        <xdr:cNvPr id="14" name="Rounded Rectangle 13"/>
        <xdr:cNvSpPr/>
      </xdr:nvSpPr>
      <xdr:spPr>
        <a:xfrm>
          <a:off x="6011918" y="4431862"/>
          <a:ext cx="6994633" cy="1602827"/>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429173</xdr:colOff>
      <xdr:row>6</xdr:row>
      <xdr:rowOff>59268</xdr:rowOff>
    </xdr:from>
    <xdr:to>
      <xdr:col>19</xdr:col>
      <xdr:colOff>192689</xdr:colOff>
      <xdr:row>15</xdr:row>
      <xdr:rowOff>84716</xdr:rowOff>
    </xdr:to>
    <xdr:sp macro="" textlink="">
      <xdr:nvSpPr>
        <xdr:cNvPr id="16" name="Rounded Rectangle 15"/>
        <xdr:cNvSpPr/>
      </xdr:nvSpPr>
      <xdr:spPr>
        <a:xfrm>
          <a:off x="9196552" y="1110302"/>
          <a:ext cx="3809999" cy="1602000"/>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429173</xdr:colOff>
      <xdr:row>15</xdr:row>
      <xdr:rowOff>138331</xdr:rowOff>
    </xdr:from>
    <xdr:to>
      <xdr:col>19</xdr:col>
      <xdr:colOff>192689</xdr:colOff>
      <xdr:row>24</xdr:row>
      <xdr:rowOff>163779</xdr:rowOff>
    </xdr:to>
    <xdr:sp macro="" textlink="">
      <xdr:nvSpPr>
        <xdr:cNvPr id="17" name="Rounded Rectangle 16"/>
        <xdr:cNvSpPr/>
      </xdr:nvSpPr>
      <xdr:spPr>
        <a:xfrm>
          <a:off x="9196552" y="2765917"/>
          <a:ext cx="3809999" cy="1602000"/>
        </a:xfrm>
        <a:prstGeom prst="roundRect">
          <a:avLst>
            <a:gd name="adj" fmla="val 7553"/>
          </a:avLst>
        </a:prstGeom>
        <a:gradFill flip="none" rotWithShape="1">
          <a:gsLst>
            <a:gs pos="0">
              <a:srgbClr val="084F6A"/>
            </a:gs>
            <a:gs pos="100000">
              <a:schemeClr val="accent4">
                <a:lumMod val="40000"/>
                <a:lumOff val="60000"/>
              </a:schemeClr>
            </a:gs>
            <a:gs pos="89000">
              <a:schemeClr val="accent4">
                <a:lumMod val="40000"/>
                <a:lumOff val="60000"/>
              </a:schemeClr>
            </a:gs>
            <a:gs pos="80000">
              <a:schemeClr val="accent4">
                <a:lumMod val="40000"/>
                <a:lumOff val="60000"/>
              </a:schemeClr>
            </a:gs>
            <a:gs pos="0">
              <a:srgbClr val="F0F8FD"/>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20</xdr:col>
      <xdr:colOff>0</xdr:colOff>
      <xdr:row>27</xdr:row>
      <xdr:rowOff>0</xdr:rowOff>
    </xdr:from>
    <xdr:to>
      <xdr:col>20</xdr:col>
      <xdr:colOff>304800</xdr:colOff>
      <xdr:row>28</xdr:row>
      <xdr:rowOff>129540</xdr:rowOff>
    </xdr:to>
    <xdr:sp macro="" textlink="">
      <xdr:nvSpPr>
        <xdr:cNvPr id="4098" name="AutoShape 2" descr="White Face Logos"/>
        <xdr:cNvSpPr>
          <a:spLocks noChangeAspect="1" noChangeArrowheads="1"/>
        </xdr:cNvSpPr>
      </xdr:nvSpPr>
      <xdr:spPr bwMode="auto">
        <a:xfrm>
          <a:off x="13411200" y="473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27</xdr:row>
      <xdr:rowOff>0</xdr:rowOff>
    </xdr:from>
    <xdr:to>
      <xdr:col>20</xdr:col>
      <xdr:colOff>304800</xdr:colOff>
      <xdr:row>28</xdr:row>
      <xdr:rowOff>129540</xdr:rowOff>
    </xdr:to>
    <xdr:sp macro="" textlink="">
      <xdr:nvSpPr>
        <xdr:cNvPr id="4099" name="AutoShape 3" descr="White Logo PNG Transparent Images Free ..."/>
        <xdr:cNvSpPr>
          <a:spLocks noChangeAspect="1" noChangeArrowheads="1"/>
        </xdr:cNvSpPr>
      </xdr:nvSpPr>
      <xdr:spPr bwMode="auto">
        <a:xfrm>
          <a:off x="13411200" y="473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27</xdr:row>
      <xdr:rowOff>0</xdr:rowOff>
    </xdr:from>
    <xdr:to>
      <xdr:col>20</xdr:col>
      <xdr:colOff>304800</xdr:colOff>
      <xdr:row>28</xdr:row>
      <xdr:rowOff>129540</xdr:rowOff>
    </xdr:to>
    <xdr:sp macro="" textlink="">
      <xdr:nvSpPr>
        <xdr:cNvPr id="4100" name="AutoShape 4" descr="White Logo PNG Transparent Images Free ..."/>
        <xdr:cNvSpPr>
          <a:spLocks noChangeAspect="1" noChangeArrowheads="1"/>
        </xdr:cNvSpPr>
      </xdr:nvSpPr>
      <xdr:spPr bwMode="auto">
        <a:xfrm>
          <a:off x="13411200" y="473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27</xdr:row>
      <xdr:rowOff>0</xdr:rowOff>
    </xdr:from>
    <xdr:to>
      <xdr:col>20</xdr:col>
      <xdr:colOff>304800</xdr:colOff>
      <xdr:row>28</xdr:row>
      <xdr:rowOff>129540</xdr:rowOff>
    </xdr:to>
    <xdr:sp macro="" textlink="">
      <xdr:nvSpPr>
        <xdr:cNvPr id="4101" name="AutoShape 5" descr="White Logo PNG Transparent Images Free ..."/>
        <xdr:cNvSpPr>
          <a:spLocks noChangeAspect="1" noChangeArrowheads="1"/>
        </xdr:cNvSpPr>
      </xdr:nvSpPr>
      <xdr:spPr bwMode="auto">
        <a:xfrm>
          <a:off x="13411200" y="473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27</xdr:row>
      <xdr:rowOff>0</xdr:rowOff>
    </xdr:from>
    <xdr:to>
      <xdr:col>20</xdr:col>
      <xdr:colOff>304800</xdr:colOff>
      <xdr:row>28</xdr:row>
      <xdr:rowOff>129540</xdr:rowOff>
    </xdr:to>
    <xdr:sp macro="" textlink="">
      <xdr:nvSpPr>
        <xdr:cNvPr id="4102" name="AutoShape 6" descr="White Logo PNG Transparent Images Free ..."/>
        <xdr:cNvSpPr>
          <a:spLocks noChangeAspect="1" noChangeArrowheads="1"/>
        </xdr:cNvSpPr>
      </xdr:nvSpPr>
      <xdr:spPr bwMode="auto">
        <a:xfrm>
          <a:off x="13411200" y="4732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343557</xdr:colOff>
      <xdr:row>1</xdr:row>
      <xdr:rowOff>334</xdr:rowOff>
    </xdr:from>
    <xdr:to>
      <xdr:col>1</xdr:col>
      <xdr:colOff>525345</xdr:colOff>
      <xdr:row>5</xdr:row>
      <xdr:rowOff>146344</xdr:rowOff>
    </xdr:to>
    <xdr:pic>
      <xdr:nvPicPr>
        <xdr:cNvPr id="27" name="Picture 26" descr="9 Background wallpaper for photoshop ideas | background wallpaper for  photoshop, background images for quotes, photo background editor"/>
        <xdr:cNvPicPr>
          <a:picLocks noChangeAspect="1" noChangeArrowheads="1"/>
        </xdr:cNvPicPr>
      </xdr:nvPicPr>
      <xdr:blipFill rotWithShape="1">
        <a:blip xmlns:r="http://schemas.openxmlformats.org/officeDocument/2006/relationships" r:embed="rId1">
          <a:clrChange>
            <a:clrFrom>
              <a:srgbClr val="010101"/>
            </a:clrFrom>
            <a:clrTo>
              <a:srgbClr val="010101">
                <a:alpha val="0"/>
              </a:srgbClr>
            </a:clrTo>
          </a:clrChange>
          <a:extLst>
            <a:ext uri="{28A0092B-C50C-407E-A947-70E740481C1C}">
              <a14:useLocalDpi xmlns:a14="http://schemas.microsoft.com/office/drawing/2010/main" val="0"/>
            </a:ext>
          </a:extLst>
        </a:blip>
        <a:srcRect l="9312" t="8992" r="8312" b="8633"/>
        <a:stretch/>
      </xdr:blipFill>
      <xdr:spPr bwMode="auto">
        <a:xfrm>
          <a:off x="343557" y="170781"/>
          <a:ext cx="853551" cy="82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278471</xdr:colOff>
      <xdr:row>1</xdr:row>
      <xdr:rowOff>86292</xdr:rowOff>
    </xdr:from>
    <xdr:ext cx="5823133" cy="655885"/>
    <xdr:sp macro="" textlink="">
      <xdr:nvSpPr>
        <xdr:cNvPr id="20" name="TextBox 19"/>
        <xdr:cNvSpPr txBox="1"/>
      </xdr:nvSpPr>
      <xdr:spPr>
        <a:xfrm>
          <a:off x="2965524" y="256739"/>
          <a:ext cx="5823133" cy="655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en-US" sz="3600" b="1">
              <a:solidFill>
                <a:schemeClr val="bg1"/>
              </a:solidFill>
              <a:latin typeface="Calibri" panose="020F0502020204030204" pitchFamily="34" charset="0"/>
              <a:cs typeface="Calibri" panose="020F0502020204030204" pitchFamily="34" charset="0"/>
            </a:rPr>
            <a:t>SALES</a:t>
          </a:r>
          <a:r>
            <a:rPr lang="en-US" sz="3600" b="1" baseline="0">
              <a:solidFill>
                <a:schemeClr val="bg1"/>
              </a:solidFill>
              <a:latin typeface="Calibri" panose="020F0502020204030204" pitchFamily="34" charset="0"/>
              <a:cs typeface="Calibri" panose="020F0502020204030204" pitchFamily="34" charset="0"/>
            </a:rPr>
            <a:t> &amp; PROFIT DASHBOARD</a:t>
          </a:r>
          <a:endParaRPr lang="en-US" sz="3600" b="1">
            <a:solidFill>
              <a:schemeClr val="bg1"/>
            </a:solidFill>
            <a:latin typeface="Calibri" panose="020F0502020204030204" pitchFamily="34" charset="0"/>
            <a:cs typeface="Calibri" panose="020F0502020204030204" pitchFamily="34" charset="0"/>
          </a:endParaRPr>
        </a:p>
      </xdr:txBody>
    </xdr:sp>
    <xdr:clientData/>
  </xdr:oneCellAnchor>
  <xdr:twoCellAnchor editAs="oneCell">
    <xdr:from>
      <xdr:col>2</xdr:col>
      <xdr:colOff>470560</xdr:colOff>
      <xdr:row>1</xdr:row>
      <xdr:rowOff>85060</xdr:rowOff>
    </xdr:from>
    <xdr:to>
      <xdr:col>3</xdr:col>
      <xdr:colOff>621635</xdr:colOff>
      <xdr:row>5</xdr:row>
      <xdr:rowOff>61618</xdr:rowOff>
    </xdr:to>
    <xdr:pic>
      <xdr:nvPicPr>
        <xdr:cNvPr id="32" name="Picture 31" descr="Simple Line Profit Icon For Use In Templates Web Design And Infographics  Vector, Graphic, Symbol, Care Illustration Background And Wallpaper For  Free Download - Pngtree"/>
        <xdr:cNvPicPr>
          <a:picLocks noChangeAspect="1" noChangeArrowheads="1"/>
        </xdr:cNvPicPr>
      </xdr:nvPicPr>
      <xdr:blipFill rotWithShape="1">
        <a:blip xmlns:r="http://schemas.openxmlformats.org/officeDocument/2006/relationships" r:embed="rId2">
          <a:clrChange>
            <a:clrFrom>
              <a:srgbClr val="FFFFFF"/>
            </a:clrFrom>
            <a:clrTo>
              <a:srgbClr val="FFFFFF">
                <a:alpha val="0"/>
              </a:srgbClr>
            </a:clrTo>
          </a:clrChange>
          <a:lum bright="70000" contrast="-70000"/>
          <a:extLst>
            <a:ext uri="{28A0092B-C50C-407E-A947-70E740481C1C}">
              <a14:useLocalDpi xmlns:a14="http://schemas.microsoft.com/office/drawing/2010/main" val="0"/>
            </a:ext>
          </a:extLst>
        </a:blip>
        <a:srcRect l="25463" t="29543" r="25872" b="30531"/>
        <a:stretch/>
      </xdr:blipFill>
      <xdr:spPr bwMode="auto">
        <a:xfrm>
          <a:off x="1814086" y="255507"/>
          <a:ext cx="822838" cy="658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273517</xdr:colOff>
      <xdr:row>6</xdr:row>
      <xdr:rowOff>172261</xdr:rowOff>
    </xdr:from>
    <xdr:to>
      <xdr:col>3</xdr:col>
      <xdr:colOff>327710</xdr:colOff>
      <xdr:row>10</xdr:row>
      <xdr:rowOff>74259</xdr:rowOff>
    </xdr:to>
    <xdr:pic>
      <xdr:nvPicPr>
        <xdr:cNvPr id="26" name="Picture 25" descr="Pallet Vector Icon Design Illustration 7606711 Vector Art at Vecteezy"/>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616342" y="1227338"/>
          <a:ext cx="725606" cy="605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265682</xdr:colOff>
      <xdr:row>6</xdr:row>
      <xdr:rowOff>78592</xdr:rowOff>
    </xdr:from>
    <xdr:ext cx="1263679" cy="327141"/>
    <xdr:sp macro="" textlink="">
      <xdr:nvSpPr>
        <xdr:cNvPr id="30" name="TextBox 29"/>
        <xdr:cNvSpPr txBox="1"/>
      </xdr:nvSpPr>
      <xdr:spPr>
        <a:xfrm>
          <a:off x="2279920" y="1133669"/>
          <a:ext cx="1263679" cy="327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en-US" sz="1500" b="1">
              <a:solidFill>
                <a:schemeClr val="tx1"/>
              </a:solidFill>
              <a:latin typeface="Calibri" panose="020F0502020204030204" pitchFamily="34" charset="0"/>
              <a:cs typeface="Calibri" panose="020F0502020204030204" pitchFamily="34" charset="0"/>
            </a:rPr>
            <a:t>TOTAL SALES</a:t>
          </a:r>
          <a:r>
            <a:rPr lang="en-US" sz="1500" b="1" baseline="0">
              <a:solidFill>
                <a:schemeClr val="tx1"/>
              </a:solidFill>
              <a:latin typeface="Calibri" panose="020F0502020204030204" pitchFamily="34" charset="0"/>
              <a:cs typeface="Calibri" panose="020F0502020204030204" pitchFamily="34" charset="0"/>
            </a:rPr>
            <a:t> </a:t>
          </a:r>
          <a:endParaRPr lang="en-US" sz="1500" b="1">
            <a:solidFill>
              <a:schemeClr val="tx1"/>
            </a:solidFill>
            <a:latin typeface="Calibri" panose="020F0502020204030204" pitchFamily="34" charset="0"/>
            <a:cs typeface="Calibri" panose="020F0502020204030204" pitchFamily="34" charset="0"/>
          </a:endParaRPr>
        </a:p>
      </xdr:txBody>
    </xdr:sp>
    <xdr:clientData/>
  </xdr:oneCellAnchor>
  <xdr:oneCellAnchor>
    <xdr:from>
      <xdr:col>3</xdr:col>
      <xdr:colOff>366924</xdr:colOff>
      <xdr:row>8</xdr:row>
      <xdr:rowOff>115894</xdr:rowOff>
    </xdr:from>
    <xdr:ext cx="1086323" cy="311496"/>
    <xdr:sp macro="" textlink="Sheet2!A31">
      <xdr:nvSpPr>
        <xdr:cNvPr id="33" name="TextBox 32"/>
        <xdr:cNvSpPr txBox="1"/>
      </xdr:nvSpPr>
      <xdr:spPr>
        <a:xfrm>
          <a:off x="2381162" y="1522663"/>
          <a:ext cx="1086323" cy="311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fld id="{F72B710C-66CB-4C10-AE1D-5D364F66AF60}" type="TxLink">
            <a:rPr lang="en-US" sz="1400" b="1" i="0" u="none" strike="noStrike">
              <a:solidFill>
                <a:srgbClr val="000000"/>
              </a:solidFill>
              <a:latin typeface="Calibri"/>
              <a:cs typeface="Calibri"/>
            </a:rPr>
            <a:pPr/>
            <a:t>1664242.19</a:t>
          </a:fld>
          <a:endParaRPr lang="en-US" sz="1400" b="1">
            <a:solidFill>
              <a:schemeClr val="tx1"/>
            </a:solidFill>
            <a:latin typeface="Calibri" panose="020F0502020204030204" pitchFamily="34" charset="0"/>
            <a:cs typeface="Calibri" panose="020F0502020204030204" pitchFamily="34" charset="0"/>
          </a:endParaRPr>
        </a:p>
      </xdr:txBody>
    </xdr:sp>
    <xdr:clientData/>
  </xdr:oneCellAnchor>
  <xdr:oneCellAnchor>
    <xdr:from>
      <xdr:col>6</xdr:col>
      <xdr:colOff>484157</xdr:colOff>
      <xdr:row>6</xdr:row>
      <xdr:rowOff>78592</xdr:rowOff>
    </xdr:from>
    <xdr:ext cx="1365695" cy="327141"/>
    <xdr:sp macro="" textlink="">
      <xdr:nvSpPr>
        <xdr:cNvPr id="34" name="TextBox 33"/>
        <xdr:cNvSpPr txBox="1"/>
      </xdr:nvSpPr>
      <xdr:spPr>
        <a:xfrm>
          <a:off x="4528619" y="1133669"/>
          <a:ext cx="1365695" cy="327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en-US" sz="1500" b="1">
              <a:solidFill>
                <a:schemeClr val="tx1"/>
              </a:solidFill>
              <a:latin typeface="Calibri" panose="020F0502020204030204" pitchFamily="34" charset="0"/>
              <a:cs typeface="Calibri" panose="020F0502020204030204" pitchFamily="34" charset="0"/>
            </a:rPr>
            <a:t>TOTAL PROFIT</a:t>
          </a:r>
        </a:p>
      </xdr:txBody>
    </xdr:sp>
    <xdr:clientData/>
  </xdr:oneCellAnchor>
  <xdr:oneCellAnchor>
    <xdr:from>
      <xdr:col>6</xdr:col>
      <xdr:colOff>630531</xdr:colOff>
      <xdr:row>8</xdr:row>
      <xdr:rowOff>115894</xdr:rowOff>
    </xdr:from>
    <xdr:ext cx="960519" cy="311496"/>
    <xdr:sp macro="" textlink="Sheet2!A32">
      <xdr:nvSpPr>
        <xdr:cNvPr id="36" name="TextBox 35"/>
        <xdr:cNvSpPr txBox="1"/>
      </xdr:nvSpPr>
      <xdr:spPr>
        <a:xfrm>
          <a:off x="4648349" y="1532136"/>
          <a:ext cx="960519" cy="311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fld id="{0845B843-8B34-46E4-9FFD-DA5FE6717586}" type="TxLink">
            <a:rPr lang="en-US" sz="1400" b="1" i="0" u="none" strike="noStrike">
              <a:solidFill>
                <a:srgbClr val="000000"/>
              </a:solidFill>
              <a:latin typeface="Calibri"/>
              <a:cs typeface="Calibri"/>
            </a:rPr>
            <a:pPr/>
            <a:t>209080.14</a:t>
          </a:fld>
          <a:endParaRPr lang="en-US" sz="1400" b="1">
            <a:solidFill>
              <a:schemeClr val="tx1"/>
            </a:solidFill>
            <a:latin typeface="Calibri" panose="020F0502020204030204" pitchFamily="34" charset="0"/>
            <a:cs typeface="Calibri" panose="020F0502020204030204" pitchFamily="34" charset="0"/>
          </a:endParaRPr>
        </a:p>
      </xdr:txBody>
    </xdr:sp>
    <xdr:clientData/>
  </xdr:oneCellAnchor>
  <xdr:twoCellAnchor>
    <xdr:from>
      <xdr:col>2</xdr:col>
      <xdr:colOff>263769</xdr:colOff>
      <xdr:row>11</xdr:row>
      <xdr:rowOff>161193</xdr:rowOff>
    </xdr:from>
    <xdr:to>
      <xdr:col>8</xdr:col>
      <xdr:colOff>359021</xdr:colOff>
      <xdr:row>22</xdr:row>
      <xdr:rowOff>58616</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600809</xdr:colOff>
      <xdr:row>6</xdr:row>
      <xdr:rowOff>73269</xdr:rowOff>
    </xdr:from>
    <xdr:to>
      <xdr:col>13</xdr:col>
      <xdr:colOff>395654</xdr:colOff>
      <xdr:row>25</xdr:row>
      <xdr:rowOff>7327</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446943</xdr:colOff>
      <xdr:row>6</xdr:row>
      <xdr:rowOff>51288</xdr:rowOff>
    </xdr:from>
    <xdr:to>
      <xdr:col>19</xdr:col>
      <xdr:colOff>161193</xdr:colOff>
      <xdr:row>15</xdr:row>
      <xdr:rowOff>102577</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402981</xdr:colOff>
      <xdr:row>15</xdr:row>
      <xdr:rowOff>73270</xdr:rowOff>
    </xdr:from>
    <xdr:to>
      <xdr:col>19</xdr:col>
      <xdr:colOff>234461</xdr:colOff>
      <xdr:row>24</xdr:row>
      <xdr:rowOff>161192</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205154</xdr:colOff>
      <xdr:row>23</xdr:row>
      <xdr:rowOff>29308</xdr:rowOff>
    </xdr:from>
    <xdr:to>
      <xdr:col>8</xdr:col>
      <xdr:colOff>395654</xdr:colOff>
      <xdr:row>34</xdr:row>
      <xdr:rowOff>153867</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615462</xdr:colOff>
      <xdr:row>25</xdr:row>
      <xdr:rowOff>21980</xdr:rowOff>
    </xdr:from>
    <xdr:to>
      <xdr:col>19</xdr:col>
      <xdr:colOff>168519</xdr:colOff>
      <xdr:row>34</xdr:row>
      <xdr:rowOff>80596</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542192</xdr:colOff>
      <xdr:row>6</xdr:row>
      <xdr:rowOff>168931</xdr:rowOff>
    </xdr:from>
    <xdr:to>
      <xdr:col>6</xdr:col>
      <xdr:colOff>560901</xdr:colOff>
      <xdr:row>10</xdr:row>
      <xdr:rowOff>70346</xdr:rowOff>
    </xdr:to>
    <xdr:pic>
      <xdr:nvPicPr>
        <xdr:cNvPr id="43" name="Picture 42" descr="Coin, coins, money, stack, stacked icon"/>
        <xdr:cNvPicPr>
          <a:picLocks noChangeAspect="1" noChangeArrowheads="1"/>
        </xdr:cNvPicPr>
      </xdr:nvPicPr>
      <xdr:blipFill rotWithShape="1">
        <a:blip xmlns:r="http://schemas.openxmlformats.org/officeDocument/2006/relationships" r:embed="rId10" cstate="print">
          <a:duotone>
            <a:schemeClr val="accent1">
              <a:shade val="45000"/>
              <a:satMod val="135000"/>
            </a:schemeClr>
            <a:prstClr val="white"/>
          </a:duotone>
          <a:extLst>
            <a:ext uri="{BEBA8EAE-BF5A-486C-A8C5-ECC9F3942E4B}">
              <a14:imgProps xmlns:a14="http://schemas.microsoft.com/office/drawing/2010/main">
                <a14:imgLayer r:embed="rId11">
                  <a14:imgEffect>
                    <a14:saturation sat="400000"/>
                  </a14:imgEffect>
                </a14:imgLayer>
              </a14:imgProps>
            </a:ext>
            <a:ext uri="{28A0092B-C50C-407E-A947-70E740481C1C}">
              <a14:useLocalDpi xmlns:a14="http://schemas.microsoft.com/office/drawing/2010/main" val="0"/>
            </a:ext>
          </a:extLst>
        </a:blip>
        <a:srcRect l="1612" t="7706" r="387" b="6740"/>
        <a:stretch/>
      </xdr:blipFill>
      <xdr:spPr bwMode="auto">
        <a:xfrm>
          <a:off x="3912577" y="1224008"/>
          <a:ext cx="692786" cy="6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165298</xdr:colOff>
      <xdr:row>6</xdr:row>
      <xdr:rowOff>55225</xdr:rowOff>
    </xdr:from>
    <xdr:to>
      <xdr:col>2</xdr:col>
      <xdr:colOff>132729</xdr:colOff>
      <xdr:row>14</xdr:row>
      <xdr:rowOff>15394</xdr:rowOff>
    </xdr:to>
    <mc:AlternateContent xmlns:mc="http://schemas.openxmlformats.org/markup-compatibility/2006">
      <mc:Choice xmlns:a14="http://schemas.microsoft.com/office/drawing/2010/main" Requires="a14">
        <xdr:graphicFrame macro="">
          <xdr:nvGraphicFramePr>
            <xdr:cNvPr id="4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5298" y="1077909"/>
              <a:ext cx="1310957" cy="1323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165298</xdr:colOff>
      <xdr:row>13</xdr:row>
      <xdr:rowOff>121641</xdr:rowOff>
    </xdr:from>
    <xdr:to>
      <xdr:col>2</xdr:col>
      <xdr:colOff>132729</xdr:colOff>
      <xdr:row>23</xdr:row>
      <xdr:rowOff>146241</xdr:rowOff>
    </xdr:to>
    <mc:AlternateContent xmlns:mc="http://schemas.openxmlformats.org/markup-compatibility/2006">
      <mc:Choice xmlns:a14="http://schemas.microsoft.com/office/drawing/2010/main" Requires="a14">
        <xdr:graphicFrame macro="">
          <xdr:nvGraphicFramePr>
            <xdr:cNvPr id="49"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5298" y="2337457"/>
              <a:ext cx="1310957" cy="1729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165298</xdr:colOff>
      <xdr:row>22</xdr:row>
      <xdr:rowOff>161636</xdr:rowOff>
    </xdr:from>
    <xdr:to>
      <xdr:col>2</xdr:col>
      <xdr:colOff>132729</xdr:colOff>
      <xdr:row>34</xdr:row>
      <xdr:rowOff>38484</xdr:rowOff>
    </xdr:to>
    <mc:AlternateContent xmlns:mc="http://schemas.openxmlformats.org/markup-compatibility/2006">
      <mc:Choice xmlns:a14="http://schemas.microsoft.com/office/drawing/2010/main" Requires="a14">
        <xdr:graphicFrame macro="">
          <xdr:nvGraphicFramePr>
            <xdr:cNvPr id="4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5298" y="3911478"/>
              <a:ext cx="1310957" cy="1922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8</xdr:row>
      <xdr:rowOff>0</xdr:rowOff>
    </xdr:from>
    <xdr:to>
      <xdr:col>23</xdr:col>
      <xdr:colOff>304800</xdr:colOff>
      <xdr:row>9</xdr:row>
      <xdr:rowOff>129540</xdr:rowOff>
    </xdr:to>
    <xdr:sp macro="" textlink="">
      <xdr:nvSpPr>
        <xdr:cNvPr id="2050" name="AutoShape 2" descr="Refresh Icon Png Transparent at Vectorified.com | Collection of Refresh ..."/>
        <xdr:cNvSpPr>
          <a:spLocks noChangeAspect="1" noChangeArrowheads="1"/>
        </xdr:cNvSpPr>
      </xdr:nvSpPr>
      <xdr:spPr bwMode="auto">
        <a:xfrm>
          <a:off x="15422880" y="1402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537002</xdr:colOff>
      <xdr:row>2</xdr:row>
      <xdr:rowOff>7776</xdr:rowOff>
    </xdr:from>
    <xdr:to>
      <xdr:col>17</xdr:col>
      <xdr:colOff>357221</xdr:colOff>
      <xdr:row>4</xdr:row>
      <xdr:rowOff>138902</xdr:rowOff>
    </xdr:to>
    <xdr:pic>
      <xdr:nvPicPr>
        <xdr:cNvPr id="52" name="Picture 51" descr="Twitter White Icon Png , Png Download - Crescent, Transparent Png ..."/>
        <xdr:cNvPicPr>
          <a:picLocks noChangeAspect="1" noChangeArrowheads="1"/>
        </xdr:cNvPicPr>
      </xdr:nvPicPr>
      <xdr:blipFill rotWithShape="1">
        <a:blip xmlns:r="http://schemas.openxmlformats.org/officeDocument/2006/relationships" r:embed="rId12" cstate="print">
          <a:clrChange>
            <a:clrFrom>
              <a:srgbClr val="F7F7F7"/>
            </a:clrFrom>
            <a:clrTo>
              <a:srgbClr val="F7F7F7">
                <a:alpha val="0"/>
              </a:srgbClr>
            </a:clrTo>
          </a:clrChange>
          <a:extLst>
            <a:ext uri="{28A0092B-C50C-407E-A947-70E740481C1C}">
              <a14:useLocalDpi xmlns:a14="http://schemas.microsoft.com/office/drawing/2010/main" val="0"/>
            </a:ext>
          </a:extLst>
        </a:blip>
        <a:srcRect l="2070" t="3112" r="1582" b="5493"/>
        <a:stretch/>
      </xdr:blipFill>
      <xdr:spPr bwMode="auto">
        <a:xfrm>
          <a:off x="11285213" y="348671"/>
          <a:ext cx="491982" cy="47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14</xdr:row>
      <xdr:rowOff>0</xdr:rowOff>
    </xdr:from>
    <xdr:to>
      <xdr:col>22</xdr:col>
      <xdr:colOff>304800</xdr:colOff>
      <xdr:row>15</xdr:row>
      <xdr:rowOff>129540</xdr:rowOff>
    </xdr:to>
    <xdr:sp macro="" textlink="">
      <xdr:nvSpPr>
        <xdr:cNvPr id="2054" name="AutoShape 6" descr="Computer Icon Logos"/>
        <xdr:cNvSpPr>
          <a:spLocks noChangeAspect="1" noChangeArrowheads="1"/>
        </xdr:cNvSpPr>
      </xdr:nvSpPr>
      <xdr:spPr bwMode="auto">
        <a:xfrm>
          <a:off x="14752320" y="2453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13</xdr:row>
      <xdr:rowOff>0</xdr:rowOff>
    </xdr:from>
    <xdr:to>
      <xdr:col>24</xdr:col>
      <xdr:colOff>304800</xdr:colOff>
      <xdr:row>14</xdr:row>
      <xdr:rowOff>129540</xdr:rowOff>
    </xdr:to>
    <xdr:sp macro="" textlink="">
      <xdr:nvSpPr>
        <xdr:cNvPr id="2060" name="AutoShape 12" descr="Image result for White Computer Icon No Background"/>
        <xdr:cNvSpPr>
          <a:spLocks noChangeAspect="1" noChangeArrowheads="1"/>
        </xdr:cNvSpPr>
      </xdr:nvSpPr>
      <xdr:spPr bwMode="auto">
        <a:xfrm>
          <a:off x="16093440" y="227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13</xdr:row>
      <xdr:rowOff>0</xdr:rowOff>
    </xdr:from>
    <xdr:to>
      <xdr:col>24</xdr:col>
      <xdr:colOff>304800</xdr:colOff>
      <xdr:row>14</xdr:row>
      <xdr:rowOff>129540</xdr:rowOff>
    </xdr:to>
    <xdr:sp macro="" textlink="">
      <xdr:nvSpPr>
        <xdr:cNvPr id="2061" name="AutoShape 13" descr="Image result for White Computer Icon No Background"/>
        <xdr:cNvSpPr>
          <a:spLocks noChangeAspect="1" noChangeArrowheads="1"/>
        </xdr:cNvSpPr>
      </xdr:nvSpPr>
      <xdr:spPr bwMode="auto">
        <a:xfrm>
          <a:off x="16093440" y="227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654245</xdr:colOff>
      <xdr:row>2</xdr:row>
      <xdr:rowOff>7061</xdr:rowOff>
    </xdr:from>
    <xdr:to>
      <xdr:col>18</xdr:col>
      <xdr:colOff>530651</xdr:colOff>
      <xdr:row>4</xdr:row>
      <xdr:rowOff>139618</xdr:rowOff>
    </xdr:to>
    <xdr:pic>
      <xdr:nvPicPr>
        <xdr:cNvPr id="59" name="Picture 58" descr="Computer Icon Png White"/>
        <xdr:cNvPicPr>
          <a:picLocks noChangeAspect="1" noChangeArrowheads="1"/>
        </xdr:cNvPicPr>
      </xdr:nvPicPr>
      <xdr:blipFill rotWithShape="1">
        <a:blip xmlns:r="http://schemas.openxmlformats.org/officeDocument/2006/relationships" r:embed="rId13" cstate="print">
          <a:clrChange>
            <a:clrFrom>
              <a:srgbClr val="000000"/>
            </a:clrFrom>
            <a:clrTo>
              <a:srgbClr val="000000">
                <a:alpha val="0"/>
              </a:srgbClr>
            </a:clrTo>
          </a:clrChange>
          <a:extLst>
            <a:ext uri="{28A0092B-C50C-407E-A947-70E740481C1C}">
              <a14:useLocalDpi xmlns:a14="http://schemas.microsoft.com/office/drawing/2010/main" val="0"/>
            </a:ext>
          </a:extLst>
        </a:blip>
        <a:srcRect l="9451" t="14439" r="8231" b="12052"/>
        <a:stretch/>
      </xdr:blipFill>
      <xdr:spPr bwMode="auto">
        <a:xfrm>
          <a:off x="12074219" y="347956"/>
          <a:ext cx="548169" cy="473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1</xdr:row>
      <xdr:rowOff>163830</xdr:rowOff>
    </xdr:from>
    <xdr:to>
      <xdr:col>6</xdr:col>
      <xdr:colOff>708660</xdr:colOff>
      <xdr:row>5</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198120</xdr:colOff>
      <xdr:row>9</xdr:row>
      <xdr:rowOff>156210</xdr:rowOff>
    </xdr:from>
    <xdr:to>
      <xdr:col>10</xdr:col>
      <xdr:colOff>502920</xdr:colOff>
      <xdr:row>24</xdr:row>
      <xdr:rowOff>156210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1043940</xdr:colOff>
      <xdr:row>0</xdr:row>
      <xdr:rowOff>53340</xdr:rowOff>
    </xdr:from>
    <xdr:to>
      <xdr:col>15</xdr:col>
      <xdr:colOff>388620</xdr:colOff>
      <xdr:row>8</xdr:row>
      <xdr:rowOff>163830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171450</xdr:colOff>
      <xdr:row>19</xdr:row>
      <xdr:rowOff>163830</xdr:rowOff>
    </xdr:from>
    <xdr:to>
      <xdr:col>16</xdr:col>
      <xdr:colOff>224790</xdr:colOff>
      <xdr:row>32</xdr:row>
      <xdr:rowOff>60960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655320</xdr:colOff>
      <xdr:row>7</xdr:row>
      <xdr:rowOff>49530</xdr:rowOff>
    </xdr:from>
    <xdr:to>
      <xdr:col>18</xdr:col>
      <xdr:colOff>152400</xdr:colOff>
      <xdr:row>22</xdr:row>
      <xdr:rowOff>49530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807720</xdr:colOff>
      <xdr:row>7</xdr:row>
      <xdr:rowOff>156210</xdr:rowOff>
    </xdr:from>
    <xdr:to>
      <xdr:col>20</xdr:col>
      <xdr:colOff>68580</xdr:colOff>
      <xdr:row>22</xdr:row>
      <xdr:rowOff>156210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cademy Training" refreshedDate="46034.520261458332" createdVersion="6" refreshedVersion="6" minRefreshableVersion="3" recordCount="8314">
  <cacheSource type="worksheet">
    <worksheetSource ref="A1:K8315" sheet="DATA_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cademy Training" refreshedDate="46034.62521377315" createdVersion="6" refreshedVersion="6" minRefreshableVersion="3" recordCount="2319">
  <cacheSource type="worksheet">
    <worksheetSource ref="K2:L2321" sheet="Sheet2"/>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14">
  <r>
    <n v="44199"/>
    <x v="0"/>
    <x v="0"/>
    <x v="0"/>
    <x v="0"/>
    <x v="0"/>
    <n v="16.45"/>
    <n v="2"/>
    <n v="5.55"/>
    <x v="0"/>
    <x v="0"/>
  </r>
  <r>
    <n v="44200"/>
    <x v="1"/>
    <x v="1"/>
    <x v="0"/>
    <x v="1"/>
    <x v="1"/>
    <n v="11.78"/>
    <n v="3"/>
    <n v="4.2699999999999996"/>
    <x v="0"/>
    <x v="0"/>
  </r>
  <r>
    <n v="44200"/>
    <x v="1"/>
    <x v="1"/>
    <x v="0"/>
    <x v="2"/>
    <x v="2"/>
    <n v="272.74"/>
    <n v="3"/>
    <n v="-64.77"/>
    <x v="0"/>
    <x v="0"/>
  </r>
  <r>
    <n v="44200"/>
    <x v="1"/>
    <x v="1"/>
    <x v="0"/>
    <x v="3"/>
    <x v="3"/>
    <n v="3.54"/>
    <n v="2"/>
    <n v="-5.49"/>
    <x v="0"/>
    <x v="0"/>
  </r>
  <r>
    <n v="44201"/>
    <x v="2"/>
    <x v="2"/>
    <x v="0"/>
    <x v="4"/>
    <x v="4"/>
    <n v="19.54"/>
    <n v="3"/>
    <n v="4.88"/>
    <x v="0"/>
    <x v="0"/>
  </r>
  <r>
    <n v="44202"/>
    <x v="3"/>
    <x v="3"/>
    <x v="0"/>
    <x v="0"/>
    <x v="5"/>
    <n v="19.440000000000001"/>
    <n v="3"/>
    <n v="9.33"/>
    <x v="0"/>
    <x v="0"/>
  </r>
  <r>
    <n v="44202"/>
    <x v="4"/>
    <x v="4"/>
    <x v="0"/>
    <x v="4"/>
    <x v="6"/>
    <n v="12.78"/>
    <n v="3"/>
    <n v="5.24"/>
    <x v="0"/>
    <x v="0"/>
  </r>
  <r>
    <n v="44202"/>
    <x v="5"/>
    <x v="5"/>
    <x v="1"/>
    <x v="5"/>
    <x v="7"/>
    <n v="2573.8200000000002"/>
    <n v="9"/>
    <n v="746.41"/>
    <x v="0"/>
    <x v="0"/>
  </r>
  <r>
    <n v="44202"/>
    <x v="5"/>
    <x v="5"/>
    <x v="0"/>
    <x v="3"/>
    <x v="8"/>
    <n v="609.98"/>
    <n v="2"/>
    <n v="274.49"/>
    <x v="0"/>
    <x v="0"/>
  </r>
  <r>
    <n v="44202"/>
    <x v="5"/>
    <x v="5"/>
    <x v="0"/>
    <x v="4"/>
    <x v="9"/>
    <n v="5.48"/>
    <n v="2"/>
    <n v="1.48"/>
    <x v="0"/>
    <x v="0"/>
  </r>
  <r>
    <n v="44202"/>
    <x v="5"/>
    <x v="5"/>
    <x v="2"/>
    <x v="6"/>
    <x v="10"/>
    <n v="391.98"/>
    <n v="2"/>
    <n v="113.67"/>
    <x v="0"/>
    <x v="0"/>
  </r>
  <r>
    <n v="44202"/>
    <x v="5"/>
    <x v="5"/>
    <x v="2"/>
    <x v="6"/>
    <x v="11"/>
    <n v="755.96"/>
    <n v="4"/>
    <n v="204.11"/>
    <x v="0"/>
    <x v="0"/>
  </r>
  <r>
    <n v="44202"/>
    <x v="5"/>
    <x v="5"/>
    <x v="0"/>
    <x v="7"/>
    <x v="12"/>
    <n v="31.12"/>
    <n v="4"/>
    <n v="0.31"/>
    <x v="0"/>
    <x v="0"/>
  </r>
  <r>
    <n v="44202"/>
    <x v="5"/>
    <x v="5"/>
    <x v="0"/>
    <x v="0"/>
    <x v="13"/>
    <n v="6.54"/>
    <n v="1"/>
    <n v="3.01"/>
    <x v="0"/>
    <x v="0"/>
  </r>
  <r>
    <n v="44203"/>
    <x v="6"/>
    <x v="0"/>
    <x v="1"/>
    <x v="8"/>
    <x v="14"/>
    <n v="76.73"/>
    <n v="3"/>
    <n v="-53.71"/>
    <x v="0"/>
    <x v="0"/>
  </r>
  <r>
    <n v="44203"/>
    <x v="6"/>
    <x v="0"/>
    <x v="0"/>
    <x v="3"/>
    <x v="15"/>
    <n v="10.43"/>
    <n v="7"/>
    <n v="-18.25"/>
    <x v="0"/>
    <x v="0"/>
  </r>
  <r>
    <n v="44205"/>
    <x v="7"/>
    <x v="0"/>
    <x v="0"/>
    <x v="4"/>
    <x v="16"/>
    <n v="9.34"/>
    <n v="2"/>
    <n v="1.17"/>
    <x v="0"/>
    <x v="0"/>
  </r>
  <r>
    <n v="44205"/>
    <x v="7"/>
    <x v="0"/>
    <x v="2"/>
    <x v="9"/>
    <x v="17"/>
    <n v="31.2"/>
    <n v="3"/>
    <n v="9.75"/>
    <x v="0"/>
    <x v="0"/>
  </r>
  <r>
    <n v="44206"/>
    <x v="8"/>
    <x v="6"/>
    <x v="0"/>
    <x v="1"/>
    <x v="18"/>
    <n v="2.89"/>
    <n v="1"/>
    <n v="1.36"/>
    <x v="0"/>
    <x v="0"/>
  </r>
  <r>
    <n v="44206"/>
    <x v="8"/>
    <x v="6"/>
    <x v="1"/>
    <x v="8"/>
    <x v="19"/>
    <n v="51.94"/>
    <n v="1"/>
    <n v="21.3"/>
    <x v="0"/>
    <x v="0"/>
  </r>
  <r>
    <n v="44207"/>
    <x v="9"/>
    <x v="7"/>
    <x v="1"/>
    <x v="8"/>
    <x v="20"/>
    <n v="9.94"/>
    <n v="2"/>
    <n v="3.08"/>
    <x v="0"/>
    <x v="0"/>
  </r>
  <r>
    <n v="44209"/>
    <x v="10"/>
    <x v="8"/>
    <x v="0"/>
    <x v="10"/>
    <x v="21"/>
    <n v="11.36"/>
    <n v="2"/>
    <n v="5.34"/>
    <x v="0"/>
    <x v="0"/>
  </r>
  <r>
    <n v="44209"/>
    <x v="10"/>
    <x v="8"/>
    <x v="0"/>
    <x v="10"/>
    <x v="22"/>
    <n v="50.94"/>
    <n v="3"/>
    <n v="25.47"/>
    <x v="0"/>
    <x v="0"/>
  </r>
  <r>
    <n v="44209"/>
    <x v="10"/>
    <x v="8"/>
    <x v="2"/>
    <x v="9"/>
    <x v="23"/>
    <n v="646.74"/>
    <n v="6"/>
    <n v="258.7"/>
    <x v="0"/>
    <x v="0"/>
  </r>
  <r>
    <n v="44209"/>
    <x v="10"/>
    <x v="8"/>
    <x v="0"/>
    <x v="3"/>
    <x v="24"/>
    <n v="5.64"/>
    <n v="3"/>
    <n v="2.71"/>
    <x v="0"/>
    <x v="0"/>
  </r>
  <r>
    <n v="44209"/>
    <x v="10"/>
    <x v="8"/>
    <x v="0"/>
    <x v="2"/>
    <x v="25"/>
    <n v="572.58000000000004"/>
    <n v="6"/>
    <n v="34.35"/>
    <x v="0"/>
    <x v="0"/>
  </r>
  <r>
    <n v="44209"/>
    <x v="11"/>
    <x v="9"/>
    <x v="1"/>
    <x v="5"/>
    <x v="26"/>
    <n v="545.94000000000005"/>
    <n v="6"/>
    <n v="87.35"/>
    <x v="0"/>
    <x v="0"/>
  </r>
  <r>
    <n v="44209"/>
    <x v="12"/>
    <x v="3"/>
    <x v="0"/>
    <x v="2"/>
    <x v="27"/>
    <n v="1325.85"/>
    <n v="5"/>
    <n v="238.65"/>
    <x v="0"/>
    <x v="0"/>
  </r>
  <r>
    <n v="44209"/>
    <x v="12"/>
    <x v="3"/>
    <x v="1"/>
    <x v="11"/>
    <x v="28"/>
    <n v="334"/>
    <n v="3"/>
    <n v="3.93"/>
    <x v="0"/>
    <x v="0"/>
  </r>
  <r>
    <n v="44209"/>
    <x v="12"/>
    <x v="3"/>
    <x v="0"/>
    <x v="4"/>
    <x v="29"/>
    <n v="19.899999999999999"/>
    <n v="5"/>
    <n v="6.57"/>
    <x v="0"/>
    <x v="0"/>
  </r>
  <r>
    <n v="44209"/>
    <x v="13"/>
    <x v="10"/>
    <x v="0"/>
    <x v="0"/>
    <x v="30"/>
    <n v="37.409999999999997"/>
    <n v="7"/>
    <n v="13.09"/>
    <x v="0"/>
    <x v="0"/>
  </r>
  <r>
    <n v="44209"/>
    <x v="13"/>
    <x v="10"/>
    <x v="0"/>
    <x v="3"/>
    <x v="31"/>
    <n v="3.44"/>
    <n v="2"/>
    <n v="-2.52"/>
    <x v="0"/>
    <x v="0"/>
  </r>
  <r>
    <n v="44210"/>
    <x v="14"/>
    <x v="2"/>
    <x v="1"/>
    <x v="11"/>
    <x v="32"/>
    <n v="61.96"/>
    <n v="4"/>
    <n v="-53.29"/>
    <x v="0"/>
    <x v="0"/>
  </r>
  <r>
    <n v="44211"/>
    <x v="15"/>
    <x v="4"/>
    <x v="2"/>
    <x v="9"/>
    <x v="33"/>
    <n v="149.94999999999999"/>
    <n v="5"/>
    <n v="65.98"/>
    <x v="0"/>
    <x v="0"/>
  </r>
  <r>
    <n v="44212"/>
    <x v="16"/>
    <x v="2"/>
    <x v="1"/>
    <x v="8"/>
    <x v="34"/>
    <n v="127.1"/>
    <n v="6"/>
    <n v="28.6"/>
    <x v="0"/>
    <x v="0"/>
  </r>
  <r>
    <n v="44212"/>
    <x v="16"/>
    <x v="2"/>
    <x v="2"/>
    <x v="6"/>
    <x v="35"/>
    <n v="124.2"/>
    <n v="3"/>
    <n v="-31.05"/>
    <x v="0"/>
    <x v="0"/>
  </r>
  <r>
    <n v="44212"/>
    <x v="16"/>
    <x v="2"/>
    <x v="0"/>
    <x v="3"/>
    <x v="36"/>
    <n v="18.59"/>
    <n v="2"/>
    <n v="-13.63"/>
    <x v="0"/>
    <x v="0"/>
  </r>
  <r>
    <n v="44212"/>
    <x v="16"/>
    <x v="2"/>
    <x v="0"/>
    <x v="1"/>
    <x v="37"/>
    <n v="30.07"/>
    <n v="3"/>
    <n v="10.15"/>
    <x v="0"/>
    <x v="0"/>
  </r>
  <r>
    <n v="44214"/>
    <x v="17"/>
    <x v="11"/>
    <x v="0"/>
    <x v="12"/>
    <x v="38"/>
    <n v="64.86"/>
    <n v="4"/>
    <n v="6.49"/>
    <x v="0"/>
    <x v="0"/>
  </r>
  <r>
    <n v="44215"/>
    <x v="18"/>
    <x v="12"/>
    <x v="0"/>
    <x v="3"/>
    <x v="39"/>
    <n v="32.340000000000003"/>
    <n v="10"/>
    <n v="-23.72"/>
    <x v="0"/>
    <x v="0"/>
  </r>
  <r>
    <n v="44215"/>
    <x v="18"/>
    <x v="12"/>
    <x v="0"/>
    <x v="0"/>
    <x v="40"/>
    <n v="56.06"/>
    <n v="4"/>
    <n v="19.62"/>
    <x v="0"/>
    <x v="0"/>
  </r>
  <r>
    <n v="44215"/>
    <x v="18"/>
    <x v="12"/>
    <x v="0"/>
    <x v="10"/>
    <x v="41"/>
    <n v="108.72"/>
    <n v="5"/>
    <n v="36.69"/>
    <x v="0"/>
    <x v="0"/>
  </r>
  <r>
    <n v="44215"/>
    <x v="18"/>
    <x v="12"/>
    <x v="1"/>
    <x v="11"/>
    <x v="42"/>
    <n v="181.47"/>
    <n v="5"/>
    <n v="-320.60000000000002"/>
    <x v="0"/>
    <x v="0"/>
  </r>
  <r>
    <n v="44216"/>
    <x v="19"/>
    <x v="13"/>
    <x v="2"/>
    <x v="6"/>
    <x v="43"/>
    <n v="699.93"/>
    <n v="7"/>
    <n v="181.98"/>
    <x v="0"/>
    <x v="0"/>
  </r>
  <r>
    <n v="44216"/>
    <x v="19"/>
    <x v="13"/>
    <x v="0"/>
    <x v="4"/>
    <x v="44"/>
    <n v="22.96"/>
    <n v="7"/>
    <n v="6.66"/>
    <x v="0"/>
    <x v="0"/>
  </r>
  <r>
    <n v="44216"/>
    <x v="19"/>
    <x v="13"/>
    <x v="1"/>
    <x v="8"/>
    <x v="45"/>
    <n v="38.6"/>
    <n v="4"/>
    <n v="11.58"/>
    <x v="0"/>
    <x v="0"/>
  </r>
  <r>
    <n v="44216"/>
    <x v="19"/>
    <x v="13"/>
    <x v="0"/>
    <x v="4"/>
    <x v="46"/>
    <n v="6.63"/>
    <n v="3"/>
    <n v="1.79"/>
    <x v="0"/>
    <x v="0"/>
  </r>
  <r>
    <n v="44216"/>
    <x v="19"/>
    <x v="13"/>
    <x v="0"/>
    <x v="10"/>
    <x v="21"/>
    <n v="23.34"/>
    <n v="3"/>
    <n v="10.97"/>
    <x v="0"/>
    <x v="0"/>
  </r>
  <r>
    <n v="44216"/>
    <x v="19"/>
    <x v="13"/>
    <x v="1"/>
    <x v="5"/>
    <x v="47"/>
    <n v="1067.94"/>
    <n v="3"/>
    <n v="224.27"/>
    <x v="0"/>
    <x v="0"/>
  </r>
  <r>
    <n v="44216"/>
    <x v="20"/>
    <x v="3"/>
    <x v="0"/>
    <x v="0"/>
    <x v="48"/>
    <n v="19.36"/>
    <n v="2"/>
    <n v="9.2899999999999991"/>
    <x v="0"/>
    <x v="0"/>
  </r>
  <r>
    <n v="44216"/>
    <x v="20"/>
    <x v="3"/>
    <x v="1"/>
    <x v="8"/>
    <x v="45"/>
    <n v="19.3"/>
    <n v="2"/>
    <n v="5.79"/>
    <x v="0"/>
    <x v="0"/>
  </r>
  <r>
    <n v="44216"/>
    <x v="21"/>
    <x v="14"/>
    <x v="0"/>
    <x v="2"/>
    <x v="49"/>
    <n v="13.98"/>
    <n v="1"/>
    <n v="4.05"/>
    <x v="0"/>
    <x v="0"/>
  </r>
  <r>
    <n v="44216"/>
    <x v="21"/>
    <x v="14"/>
    <x v="1"/>
    <x v="8"/>
    <x v="50"/>
    <n v="272.94"/>
    <n v="3"/>
    <n v="30.02"/>
    <x v="0"/>
    <x v="0"/>
  </r>
  <r>
    <n v="44216"/>
    <x v="21"/>
    <x v="14"/>
    <x v="0"/>
    <x v="3"/>
    <x v="51"/>
    <n v="19.05"/>
    <n v="5"/>
    <n v="8.9499999999999993"/>
    <x v="0"/>
    <x v="0"/>
  </r>
  <r>
    <n v="44216"/>
    <x v="21"/>
    <x v="14"/>
    <x v="0"/>
    <x v="12"/>
    <x v="52"/>
    <n v="247.72"/>
    <n v="4"/>
    <n v="93.58"/>
    <x v="0"/>
    <x v="0"/>
  </r>
  <r>
    <n v="44216"/>
    <x v="21"/>
    <x v="14"/>
    <x v="0"/>
    <x v="2"/>
    <x v="53"/>
    <n v="66.58"/>
    <n v="2"/>
    <n v="15.98"/>
    <x v="0"/>
    <x v="0"/>
  </r>
  <r>
    <n v="44216"/>
    <x v="21"/>
    <x v="14"/>
    <x v="0"/>
    <x v="4"/>
    <x v="54"/>
    <n v="43.92"/>
    <n v="3"/>
    <n v="12.74"/>
    <x v="0"/>
    <x v="0"/>
  </r>
  <r>
    <n v="44216"/>
    <x v="21"/>
    <x v="14"/>
    <x v="1"/>
    <x v="8"/>
    <x v="55"/>
    <n v="14.73"/>
    <n v="3"/>
    <n v="4.8600000000000003"/>
    <x v="0"/>
    <x v="0"/>
  </r>
  <r>
    <n v="44216"/>
    <x v="21"/>
    <x v="14"/>
    <x v="0"/>
    <x v="3"/>
    <x v="56"/>
    <n v="29.7"/>
    <n v="5"/>
    <n v="13.37"/>
    <x v="0"/>
    <x v="0"/>
  </r>
  <r>
    <n v="44216"/>
    <x v="22"/>
    <x v="15"/>
    <x v="0"/>
    <x v="3"/>
    <x v="57"/>
    <n v="67.19"/>
    <n v="1"/>
    <n v="-51.52"/>
    <x v="0"/>
    <x v="0"/>
  </r>
  <r>
    <n v="44217"/>
    <x v="23"/>
    <x v="16"/>
    <x v="1"/>
    <x v="8"/>
    <x v="58"/>
    <n v="25.25"/>
    <n v="3"/>
    <n v="4.0999999999999996"/>
    <x v="0"/>
    <x v="0"/>
  </r>
  <r>
    <n v="44219"/>
    <x v="24"/>
    <x v="17"/>
    <x v="0"/>
    <x v="0"/>
    <x v="59"/>
    <n v="40.08"/>
    <n v="6"/>
    <n v="19.239999999999998"/>
    <x v="0"/>
    <x v="0"/>
  </r>
  <r>
    <n v="44219"/>
    <x v="25"/>
    <x v="18"/>
    <x v="0"/>
    <x v="7"/>
    <x v="60"/>
    <n v="5.94"/>
    <n v="3"/>
    <n v="0"/>
    <x v="0"/>
    <x v="0"/>
  </r>
  <r>
    <n v="44222"/>
    <x v="26"/>
    <x v="6"/>
    <x v="1"/>
    <x v="8"/>
    <x v="61"/>
    <n v="62.82"/>
    <n v="3"/>
    <n v="30.78"/>
    <x v="0"/>
    <x v="0"/>
  </r>
  <r>
    <n v="44222"/>
    <x v="26"/>
    <x v="6"/>
    <x v="0"/>
    <x v="2"/>
    <x v="62"/>
    <n v="489.92"/>
    <n v="8"/>
    <n v="0"/>
    <x v="0"/>
    <x v="0"/>
  </r>
  <r>
    <n v="44222"/>
    <x v="26"/>
    <x v="6"/>
    <x v="0"/>
    <x v="0"/>
    <x v="63"/>
    <n v="19.440000000000001"/>
    <n v="3"/>
    <n v="9.33"/>
    <x v="0"/>
    <x v="0"/>
  </r>
  <r>
    <n v="44222"/>
    <x v="26"/>
    <x v="6"/>
    <x v="0"/>
    <x v="0"/>
    <x v="64"/>
    <n v="16.68"/>
    <n v="2"/>
    <n v="8.34"/>
    <x v="0"/>
    <x v="0"/>
  </r>
  <r>
    <n v="44222"/>
    <x v="26"/>
    <x v="6"/>
    <x v="2"/>
    <x v="6"/>
    <x v="65"/>
    <n v="155.35"/>
    <n v="13"/>
    <n v="0"/>
    <x v="0"/>
    <x v="0"/>
  </r>
  <r>
    <n v="44222"/>
    <x v="26"/>
    <x v="6"/>
    <x v="1"/>
    <x v="8"/>
    <x v="66"/>
    <n v="12.42"/>
    <n v="3"/>
    <n v="4.47"/>
    <x v="0"/>
    <x v="0"/>
  </r>
  <r>
    <n v="44222"/>
    <x v="26"/>
    <x v="6"/>
    <x v="2"/>
    <x v="6"/>
    <x v="67"/>
    <n v="187.98"/>
    <n v="2"/>
    <n v="52.63"/>
    <x v="0"/>
    <x v="0"/>
  </r>
  <r>
    <n v="44222"/>
    <x v="27"/>
    <x v="19"/>
    <x v="0"/>
    <x v="3"/>
    <x v="68"/>
    <n v="10.68"/>
    <n v="2"/>
    <n v="5.0199999999999996"/>
    <x v="0"/>
    <x v="0"/>
  </r>
  <r>
    <n v="44222"/>
    <x v="27"/>
    <x v="19"/>
    <x v="1"/>
    <x v="11"/>
    <x v="69"/>
    <n v="141.96"/>
    <n v="2"/>
    <n v="39.75"/>
    <x v="0"/>
    <x v="0"/>
  </r>
  <r>
    <n v="44223"/>
    <x v="28"/>
    <x v="3"/>
    <x v="0"/>
    <x v="2"/>
    <x v="70"/>
    <n v="57.23"/>
    <n v="1"/>
    <n v="14.31"/>
    <x v="0"/>
    <x v="0"/>
  </r>
  <r>
    <n v="44223"/>
    <x v="28"/>
    <x v="3"/>
    <x v="1"/>
    <x v="13"/>
    <x v="71"/>
    <n v="333"/>
    <n v="3"/>
    <n v="-16.649999999999999"/>
    <x v="0"/>
    <x v="0"/>
  </r>
  <r>
    <n v="44223"/>
    <x v="28"/>
    <x v="3"/>
    <x v="0"/>
    <x v="4"/>
    <x v="72"/>
    <n v="36.44"/>
    <n v="4"/>
    <n v="12.03"/>
    <x v="0"/>
    <x v="0"/>
  </r>
  <r>
    <n v="44224"/>
    <x v="29"/>
    <x v="20"/>
    <x v="0"/>
    <x v="3"/>
    <x v="73"/>
    <n v="3.93"/>
    <n v="1"/>
    <n v="1.33"/>
    <x v="0"/>
    <x v="0"/>
  </r>
  <r>
    <n v="44226"/>
    <x v="30"/>
    <x v="14"/>
    <x v="0"/>
    <x v="0"/>
    <x v="74"/>
    <n v="10.56"/>
    <n v="2"/>
    <n v="4.75"/>
    <x v="0"/>
    <x v="0"/>
  </r>
  <r>
    <n v="44226"/>
    <x v="30"/>
    <x v="14"/>
    <x v="0"/>
    <x v="2"/>
    <x v="75"/>
    <n v="229.94"/>
    <n v="2"/>
    <n v="6.9"/>
    <x v="0"/>
    <x v="0"/>
  </r>
  <r>
    <n v="44227"/>
    <x v="31"/>
    <x v="3"/>
    <x v="1"/>
    <x v="11"/>
    <x v="76"/>
    <n v="290.67"/>
    <n v="2"/>
    <n v="3.42"/>
    <x v="0"/>
    <x v="0"/>
  </r>
  <r>
    <n v="44228"/>
    <x v="32"/>
    <x v="21"/>
    <x v="2"/>
    <x v="9"/>
    <x v="77"/>
    <n v="468.9"/>
    <n v="6"/>
    <n v="206.32"/>
    <x v="1"/>
    <x v="0"/>
  </r>
  <r>
    <n v="44229"/>
    <x v="33"/>
    <x v="3"/>
    <x v="0"/>
    <x v="7"/>
    <x v="78"/>
    <n v="12.35"/>
    <n v="5"/>
    <n v="5.8"/>
    <x v="1"/>
    <x v="0"/>
  </r>
  <r>
    <n v="44229"/>
    <x v="34"/>
    <x v="16"/>
    <x v="0"/>
    <x v="3"/>
    <x v="79"/>
    <n v="18.34"/>
    <n v="2"/>
    <n v="-12.22"/>
    <x v="1"/>
    <x v="0"/>
  </r>
  <r>
    <n v="44229"/>
    <x v="34"/>
    <x v="16"/>
    <x v="2"/>
    <x v="6"/>
    <x v="80"/>
    <n v="180.96"/>
    <n v="5"/>
    <n v="13.57"/>
    <x v="1"/>
    <x v="0"/>
  </r>
  <r>
    <n v="44230"/>
    <x v="23"/>
    <x v="22"/>
    <x v="0"/>
    <x v="3"/>
    <x v="81"/>
    <n v="83.84"/>
    <n v="2"/>
    <n v="27.25"/>
    <x v="1"/>
    <x v="0"/>
  </r>
  <r>
    <n v="44230"/>
    <x v="23"/>
    <x v="22"/>
    <x v="0"/>
    <x v="3"/>
    <x v="82"/>
    <n v="13.27"/>
    <n v="3"/>
    <n v="4.3099999999999996"/>
    <x v="1"/>
    <x v="0"/>
  </r>
  <r>
    <n v="44231"/>
    <x v="35"/>
    <x v="3"/>
    <x v="0"/>
    <x v="3"/>
    <x v="83"/>
    <n v="82.9"/>
    <n v="3"/>
    <n v="29.01"/>
    <x v="1"/>
    <x v="0"/>
  </r>
  <r>
    <n v="44231"/>
    <x v="35"/>
    <x v="3"/>
    <x v="0"/>
    <x v="0"/>
    <x v="84"/>
    <n v="34.24"/>
    <n v="4"/>
    <n v="16.09"/>
    <x v="1"/>
    <x v="0"/>
  </r>
  <r>
    <n v="44231"/>
    <x v="36"/>
    <x v="3"/>
    <x v="0"/>
    <x v="3"/>
    <x v="39"/>
    <n v="17.25"/>
    <n v="2"/>
    <n v="6.04"/>
    <x v="1"/>
    <x v="0"/>
  </r>
  <r>
    <n v="44233"/>
    <x v="37"/>
    <x v="6"/>
    <x v="0"/>
    <x v="1"/>
    <x v="85"/>
    <n v="15"/>
    <n v="4"/>
    <n v="7.2"/>
    <x v="1"/>
    <x v="0"/>
  </r>
  <r>
    <n v="44233"/>
    <x v="37"/>
    <x v="6"/>
    <x v="2"/>
    <x v="6"/>
    <x v="86"/>
    <n v="161.61000000000001"/>
    <n v="1"/>
    <n v="42.02"/>
    <x v="1"/>
    <x v="0"/>
  </r>
  <r>
    <n v="44233"/>
    <x v="37"/>
    <x v="6"/>
    <x v="2"/>
    <x v="6"/>
    <x v="87"/>
    <n v="144.94999999999999"/>
    <n v="5"/>
    <n v="42.04"/>
    <x v="1"/>
    <x v="0"/>
  </r>
  <r>
    <n v="44233"/>
    <x v="16"/>
    <x v="1"/>
    <x v="0"/>
    <x v="3"/>
    <x v="88"/>
    <n v="8.9499999999999993"/>
    <n v="2"/>
    <n v="-14.77"/>
    <x v="1"/>
    <x v="0"/>
  </r>
  <r>
    <n v="44234"/>
    <x v="38"/>
    <x v="23"/>
    <x v="2"/>
    <x v="9"/>
    <x v="89"/>
    <n v="115.36"/>
    <n v="7"/>
    <n v="49.6"/>
    <x v="1"/>
    <x v="0"/>
  </r>
  <r>
    <n v="44234"/>
    <x v="10"/>
    <x v="20"/>
    <x v="0"/>
    <x v="2"/>
    <x v="90"/>
    <n v="64.959999999999994"/>
    <n v="4"/>
    <n v="9.74"/>
    <x v="1"/>
    <x v="0"/>
  </r>
  <r>
    <n v="44235"/>
    <x v="39"/>
    <x v="17"/>
    <x v="1"/>
    <x v="8"/>
    <x v="91"/>
    <n v="14.56"/>
    <n v="2"/>
    <n v="5.53"/>
    <x v="1"/>
    <x v="0"/>
  </r>
  <r>
    <n v="44238"/>
    <x v="40"/>
    <x v="6"/>
    <x v="2"/>
    <x v="9"/>
    <x v="77"/>
    <n v="234.45"/>
    <n v="3"/>
    <n v="103.16"/>
    <x v="1"/>
    <x v="0"/>
  </r>
  <r>
    <n v="44238"/>
    <x v="40"/>
    <x v="6"/>
    <x v="1"/>
    <x v="13"/>
    <x v="92"/>
    <n v="1256.22"/>
    <n v="6"/>
    <n v="75.37"/>
    <x v="1"/>
    <x v="0"/>
  </r>
  <r>
    <n v="44238"/>
    <x v="40"/>
    <x v="6"/>
    <x v="0"/>
    <x v="3"/>
    <x v="93"/>
    <n v="17.46"/>
    <n v="2"/>
    <n v="8.2100000000000009"/>
    <x v="1"/>
    <x v="0"/>
  </r>
  <r>
    <n v="44238"/>
    <x v="41"/>
    <x v="24"/>
    <x v="1"/>
    <x v="5"/>
    <x v="94"/>
    <n v="60.89"/>
    <n v="1"/>
    <n v="15.22"/>
    <x v="1"/>
    <x v="0"/>
  </r>
  <r>
    <n v="44238"/>
    <x v="41"/>
    <x v="24"/>
    <x v="0"/>
    <x v="1"/>
    <x v="95"/>
    <n v="14.94"/>
    <n v="3"/>
    <n v="6.87"/>
    <x v="1"/>
    <x v="0"/>
  </r>
  <r>
    <n v="44238"/>
    <x v="41"/>
    <x v="24"/>
    <x v="0"/>
    <x v="3"/>
    <x v="96"/>
    <n v="9.64"/>
    <n v="2"/>
    <n v="4.43"/>
    <x v="1"/>
    <x v="0"/>
  </r>
  <r>
    <n v="44238"/>
    <x v="41"/>
    <x v="24"/>
    <x v="1"/>
    <x v="8"/>
    <x v="97"/>
    <n v="332.94"/>
    <n v="3"/>
    <n v="53.27"/>
    <x v="1"/>
    <x v="0"/>
  </r>
  <r>
    <n v="44238"/>
    <x v="41"/>
    <x v="24"/>
    <x v="0"/>
    <x v="3"/>
    <x v="98"/>
    <n v="51.9"/>
    <n v="3"/>
    <n v="24.39"/>
    <x v="1"/>
    <x v="0"/>
  </r>
  <r>
    <n v="44238"/>
    <x v="41"/>
    <x v="24"/>
    <x v="0"/>
    <x v="2"/>
    <x v="99"/>
    <n v="64.959999999999994"/>
    <n v="2"/>
    <n v="2.6"/>
    <x v="1"/>
    <x v="0"/>
  </r>
  <r>
    <n v="44239"/>
    <x v="42"/>
    <x v="3"/>
    <x v="1"/>
    <x v="5"/>
    <x v="100"/>
    <n v="129.57"/>
    <n v="2"/>
    <n v="-24.29"/>
    <x v="1"/>
    <x v="0"/>
  </r>
  <r>
    <n v="44241"/>
    <x v="43"/>
    <x v="0"/>
    <x v="0"/>
    <x v="0"/>
    <x v="101"/>
    <n v="16.18"/>
    <n v="3"/>
    <n v="6.07"/>
    <x v="1"/>
    <x v="0"/>
  </r>
  <r>
    <n v="44241"/>
    <x v="44"/>
    <x v="22"/>
    <x v="2"/>
    <x v="9"/>
    <x v="102"/>
    <n v="239.97"/>
    <n v="3"/>
    <n v="86.39"/>
    <x v="1"/>
    <x v="0"/>
  </r>
  <r>
    <n v="44241"/>
    <x v="44"/>
    <x v="22"/>
    <x v="0"/>
    <x v="12"/>
    <x v="103"/>
    <n v="81.96"/>
    <n v="2"/>
    <n v="22.95"/>
    <x v="1"/>
    <x v="0"/>
  </r>
  <r>
    <n v="44241"/>
    <x v="44"/>
    <x v="22"/>
    <x v="0"/>
    <x v="14"/>
    <x v="104"/>
    <n v="238.62"/>
    <n v="2"/>
    <n v="4.7699999999999996"/>
    <x v="1"/>
    <x v="0"/>
  </r>
  <r>
    <n v="44242"/>
    <x v="45"/>
    <x v="22"/>
    <x v="0"/>
    <x v="3"/>
    <x v="105"/>
    <n v="21.36"/>
    <n v="5"/>
    <n v="7.21"/>
    <x v="1"/>
    <x v="0"/>
  </r>
  <r>
    <n v="44243"/>
    <x v="46"/>
    <x v="0"/>
    <x v="0"/>
    <x v="3"/>
    <x v="106"/>
    <n v="1.08"/>
    <n v="3"/>
    <n v="-1.73"/>
    <x v="1"/>
    <x v="0"/>
  </r>
  <r>
    <n v="44243"/>
    <x v="46"/>
    <x v="0"/>
    <x v="0"/>
    <x v="12"/>
    <x v="107"/>
    <n v="7.96"/>
    <n v="2"/>
    <n v="-13.93"/>
    <x v="1"/>
    <x v="0"/>
  </r>
  <r>
    <n v="44244"/>
    <x v="16"/>
    <x v="1"/>
    <x v="0"/>
    <x v="4"/>
    <x v="108"/>
    <n v="54.21"/>
    <n v="14"/>
    <n v="8.81"/>
    <x v="1"/>
    <x v="0"/>
  </r>
  <r>
    <n v="44245"/>
    <x v="47"/>
    <x v="0"/>
    <x v="1"/>
    <x v="8"/>
    <x v="109"/>
    <n v="25.16"/>
    <n v="5"/>
    <n v="-11.32"/>
    <x v="1"/>
    <x v="0"/>
  </r>
  <r>
    <n v="44245"/>
    <x v="48"/>
    <x v="0"/>
    <x v="0"/>
    <x v="2"/>
    <x v="110"/>
    <n v="12.62"/>
    <n v="2"/>
    <n v="-2.52"/>
    <x v="1"/>
    <x v="0"/>
  </r>
  <r>
    <n v="44247"/>
    <x v="49"/>
    <x v="18"/>
    <x v="2"/>
    <x v="9"/>
    <x v="111"/>
    <n v="62.31"/>
    <n v="3"/>
    <n v="22.43"/>
    <x v="1"/>
    <x v="0"/>
  </r>
  <r>
    <n v="44247"/>
    <x v="49"/>
    <x v="18"/>
    <x v="1"/>
    <x v="8"/>
    <x v="112"/>
    <n v="20.32"/>
    <n v="4"/>
    <n v="6.91"/>
    <x v="1"/>
    <x v="0"/>
  </r>
  <r>
    <n v="44247"/>
    <x v="50"/>
    <x v="3"/>
    <x v="0"/>
    <x v="0"/>
    <x v="113"/>
    <n v="12.96"/>
    <n v="2"/>
    <n v="6.22"/>
    <x v="1"/>
    <x v="0"/>
  </r>
  <r>
    <n v="44248"/>
    <x v="51"/>
    <x v="1"/>
    <x v="0"/>
    <x v="3"/>
    <x v="3"/>
    <n v="8.85"/>
    <n v="5"/>
    <n v="-13.72"/>
    <x v="1"/>
    <x v="0"/>
  </r>
  <r>
    <n v="44249"/>
    <x v="52"/>
    <x v="3"/>
    <x v="0"/>
    <x v="0"/>
    <x v="114"/>
    <n v="19.440000000000001"/>
    <n v="3"/>
    <n v="9.33"/>
    <x v="1"/>
    <x v="0"/>
  </r>
  <r>
    <n v="44250"/>
    <x v="53"/>
    <x v="0"/>
    <x v="0"/>
    <x v="1"/>
    <x v="115"/>
    <n v="6.94"/>
    <n v="3"/>
    <n v="2.34"/>
    <x v="1"/>
    <x v="0"/>
  </r>
  <r>
    <n v="44250"/>
    <x v="53"/>
    <x v="0"/>
    <x v="0"/>
    <x v="3"/>
    <x v="116"/>
    <n v="4.43"/>
    <n v="3"/>
    <n v="-6.86"/>
    <x v="1"/>
    <x v="0"/>
  </r>
  <r>
    <n v="44251"/>
    <x v="54"/>
    <x v="11"/>
    <x v="0"/>
    <x v="0"/>
    <x v="0"/>
    <n v="32.9"/>
    <n v="4"/>
    <n v="11.1"/>
    <x v="1"/>
    <x v="0"/>
  </r>
  <r>
    <n v="44251"/>
    <x v="54"/>
    <x v="11"/>
    <x v="0"/>
    <x v="0"/>
    <x v="117"/>
    <n v="22.78"/>
    <n v="3"/>
    <n v="7.69"/>
    <x v="1"/>
    <x v="0"/>
  </r>
  <r>
    <n v="44254"/>
    <x v="55"/>
    <x v="10"/>
    <x v="0"/>
    <x v="4"/>
    <x v="118"/>
    <n v="19.46"/>
    <n v="4"/>
    <n v="3.4"/>
    <x v="1"/>
    <x v="0"/>
  </r>
  <r>
    <n v="44256"/>
    <x v="56"/>
    <x v="22"/>
    <x v="1"/>
    <x v="5"/>
    <x v="7"/>
    <n v="457.57"/>
    <n v="2"/>
    <n v="51.48"/>
    <x v="2"/>
    <x v="0"/>
  </r>
  <r>
    <n v="44256"/>
    <x v="57"/>
    <x v="20"/>
    <x v="2"/>
    <x v="6"/>
    <x v="119"/>
    <n v="5.94"/>
    <n v="3"/>
    <n v="1.6"/>
    <x v="2"/>
    <x v="0"/>
  </r>
  <r>
    <n v="44256"/>
    <x v="58"/>
    <x v="1"/>
    <x v="1"/>
    <x v="5"/>
    <x v="120"/>
    <n v="634.12"/>
    <n v="6"/>
    <n v="-172.12"/>
    <x v="2"/>
    <x v="0"/>
  </r>
  <r>
    <n v="44256"/>
    <x v="58"/>
    <x v="1"/>
    <x v="0"/>
    <x v="0"/>
    <x v="121"/>
    <n v="17.47"/>
    <n v="3"/>
    <n v="5.68"/>
    <x v="2"/>
    <x v="0"/>
  </r>
  <r>
    <n v="44256"/>
    <x v="59"/>
    <x v="0"/>
    <x v="0"/>
    <x v="7"/>
    <x v="122"/>
    <n v="18.84"/>
    <n v="5"/>
    <n v="-3.53"/>
    <x v="2"/>
    <x v="0"/>
  </r>
  <r>
    <n v="44256"/>
    <x v="59"/>
    <x v="0"/>
    <x v="1"/>
    <x v="5"/>
    <x v="123"/>
    <n v="362.25"/>
    <n v="6"/>
    <n v="0"/>
    <x v="2"/>
    <x v="0"/>
  </r>
  <r>
    <n v="44256"/>
    <x v="59"/>
    <x v="0"/>
    <x v="1"/>
    <x v="8"/>
    <x v="34"/>
    <n v="63.55"/>
    <n v="6"/>
    <n v="-34.950000000000003"/>
    <x v="2"/>
    <x v="0"/>
  </r>
  <r>
    <n v="44256"/>
    <x v="59"/>
    <x v="0"/>
    <x v="0"/>
    <x v="2"/>
    <x v="124"/>
    <n v="129.55000000000001"/>
    <n v="3"/>
    <n v="-22.67"/>
    <x v="2"/>
    <x v="0"/>
  </r>
  <r>
    <n v="44256"/>
    <x v="60"/>
    <x v="0"/>
    <x v="0"/>
    <x v="2"/>
    <x v="70"/>
    <n v="137.35"/>
    <n v="3"/>
    <n v="8.58"/>
    <x v="2"/>
    <x v="0"/>
  </r>
  <r>
    <n v="44256"/>
    <x v="60"/>
    <x v="0"/>
    <x v="1"/>
    <x v="13"/>
    <x v="125"/>
    <n v="376.51"/>
    <n v="3"/>
    <n v="-43.03"/>
    <x v="2"/>
    <x v="0"/>
  </r>
  <r>
    <n v="44257"/>
    <x v="61"/>
    <x v="20"/>
    <x v="0"/>
    <x v="10"/>
    <x v="21"/>
    <n v="11.36"/>
    <n v="2"/>
    <n v="5.34"/>
    <x v="2"/>
    <x v="0"/>
  </r>
  <r>
    <n v="44257"/>
    <x v="61"/>
    <x v="20"/>
    <x v="0"/>
    <x v="0"/>
    <x v="126"/>
    <n v="36.4"/>
    <n v="5"/>
    <n v="17.47"/>
    <x v="2"/>
    <x v="0"/>
  </r>
  <r>
    <n v="44257"/>
    <x v="62"/>
    <x v="2"/>
    <x v="0"/>
    <x v="0"/>
    <x v="127"/>
    <n v="3.42"/>
    <n v="1"/>
    <n v="1.07"/>
    <x v="2"/>
    <x v="0"/>
  </r>
  <r>
    <n v="44257"/>
    <x v="62"/>
    <x v="2"/>
    <x v="2"/>
    <x v="9"/>
    <x v="128"/>
    <n v="151.19999999999999"/>
    <n v="3"/>
    <n v="32.130000000000003"/>
    <x v="2"/>
    <x v="0"/>
  </r>
  <r>
    <n v="44258"/>
    <x v="63"/>
    <x v="25"/>
    <x v="0"/>
    <x v="4"/>
    <x v="118"/>
    <n v="19.46"/>
    <n v="4"/>
    <n v="3.4"/>
    <x v="2"/>
    <x v="0"/>
  </r>
  <r>
    <n v="44258"/>
    <x v="64"/>
    <x v="20"/>
    <x v="2"/>
    <x v="6"/>
    <x v="129"/>
    <n v="9.99"/>
    <n v="1"/>
    <n v="4.5999999999999996"/>
    <x v="2"/>
    <x v="0"/>
  </r>
  <r>
    <n v="44258"/>
    <x v="64"/>
    <x v="20"/>
    <x v="0"/>
    <x v="3"/>
    <x v="81"/>
    <n v="125.76"/>
    <n v="3"/>
    <n v="40.869999999999997"/>
    <x v="2"/>
    <x v="0"/>
  </r>
  <r>
    <n v="44258"/>
    <x v="64"/>
    <x v="20"/>
    <x v="0"/>
    <x v="3"/>
    <x v="130"/>
    <n v="25.32"/>
    <n v="5"/>
    <n v="9.18"/>
    <x v="2"/>
    <x v="0"/>
  </r>
  <r>
    <n v="44258"/>
    <x v="65"/>
    <x v="10"/>
    <x v="0"/>
    <x v="1"/>
    <x v="131"/>
    <n v="15.12"/>
    <n v="3"/>
    <n v="4.91"/>
    <x v="2"/>
    <x v="0"/>
  </r>
  <r>
    <n v="44258"/>
    <x v="65"/>
    <x v="10"/>
    <x v="1"/>
    <x v="11"/>
    <x v="42"/>
    <n v="302.45"/>
    <n v="5"/>
    <n v="-199.62"/>
    <x v="2"/>
    <x v="0"/>
  </r>
  <r>
    <n v="44258"/>
    <x v="65"/>
    <x v="10"/>
    <x v="0"/>
    <x v="2"/>
    <x v="132"/>
    <n v="44.67"/>
    <n v="8"/>
    <n v="-10.050000000000001"/>
    <x v="2"/>
    <x v="0"/>
  </r>
  <r>
    <n v="44258"/>
    <x v="66"/>
    <x v="0"/>
    <x v="0"/>
    <x v="12"/>
    <x v="133"/>
    <n v="176.77"/>
    <n v="3"/>
    <n v="-459.61"/>
    <x v="2"/>
    <x v="0"/>
  </r>
  <r>
    <n v="44258"/>
    <x v="67"/>
    <x v="3"/>
    <x v="1"/>
    <x v="13"/>
    <x v="134"/>
    <n v="626.35"/>
    <n v="3"/>
    <n v="-23.49"/>
    <x v="2"/>
    <x v="0"/>
  </r>
  <r>
    <n v="44259"/>
    <x v="68"/>
    <x v="9"/>
    <x v="0"/>
    <x v="2"/>
    <x v="135"/>
    <n v="354.9"/>
    <n v="5"/>
    <n v="17.75"/>
    <x v="2"/>
    <x v="0"/>
  </r>
  <r>
    <n v="44259"/>
    <x v="42"/>
    <x v="16"/>
    <x v="0"/>
    <x v="4"/>
    <x v="136"/>
    <n v="15.55"/>
    <n v="3"/>
    <n v="2.33"/>
    <x v="2"/>
    <x v="0"/>
  </r>
  <r>
    <n v="44260"/>
    <x v="69"/>
    <x v="20"/>
    <x v="0"/>
    <x v="4"/>
    <x v="137"/>
    <n v="59.52"/>
    <n v="3"/>
    <n v="15.48"/>
    <x v="2"/>
    <x v="0"/>
  </r>
  <r>
    <n v="44260"/>
    <x v="69"/>
    <x v="20"/>
    <x v="2"/>
    <x v="9"/>
    <x v="138"/>
    <n v="479.97"/>
    <n v="3"/>
    <n v="177.59"/>
    <x v="2"/>
    <x v="0"/>
  </r>
  <r>
    <n v="44260"/>
    <x v="69"/>
    <x v="20"/>
    <x v="0"/>
    <x v="14"/>
    <x v="139"/>
    <n v="18.62"/>
    <n v="2"/>
    <n v="5.4"/>
    <x v="2"/>
    <x v="0"/>
  </r>
  <r>
    <n v="44260"/>
    <x v="69"/>
    <x v="20"/>
    <x v="0"/>
    <x v="3"/>
    <x v="140"/>
    <n v="49.63"/>
    <n v="6"/>
    <n v="16.75"/>
    <x v="2"/>
    <x v="0"/>
  </r>
  <r>
    <n v="44260"/>
    <x v="69"/>
    <x v="20"/>
    <x v="0"/>
    <x v="0"/>
    <x v="141"/>
    <n v="97.82"/>
    <n v="2"/>
    <n v="45.98"/>
    <x v="2"/>
    <x v="0"/>
  </r>
  <r>
    <n v="44262"/>
    <x v="48"/>
    <x v="22"/>
    <x v="1"/>
    <x v="5"/>
    <x v="142"/>
    <n v="48.71"/>
    <n v="1"/>
    <n v="5.48"/>
    <x v="2"/>
    <x v="0"/>
  </r>
  <r>
    <n v="44262"/>
    <x v="48"/>
    <x v="22"/>
    <x v="0"/>
    <x v="4"/>
    <x v="143"/>
    <n v="17.940000000000001"/>
    <n v="3"/>
    <n v="4.66"/>
    <x v="2"/>
    <x v="0"/>
  </r>
  <r>
    <n v="44262"/>
    <x v="48"/>
    <x v="22"/>
    <x v="0"/>
    <x v="2"/>
    <x v="144"/>
    <n v="242.94"/>
    <n v="3"/>
    <n v="4.8600000000000003"/>
    <x v="2"/>
    <x v="0"/>
  </r>
  <r>
    <n v="44262"/>
    <x v="70"/>
    <x v="22"/>
    <x v="0"/>
    <x v="3"/>
    <x v="145"/>
    <n v="107.65"/>
    <n v="2"/>
    <n v="33.64"/>
    <x v="2"/>
    <x v="0"/>
  </r>
  <r>
    <n v="44262"/>
    <x v="71"/>
    <x v="22"/>
    <x v="0"/>
    <x v="4"/>
    <x v="146"/>
    <n v="20.65"/>
    <n v="5"/>
    <n v="9.5"/>
    <x v="2"/>
    <x v="0"/>
  </r>
  <r>
    <n v="44262"/>
    <x v="71"/>
    <x v="22"/>
    <x v="0"/>
    <x v="2"/>
    <x v="147"/>
    <n v="204.9"/>
    <n v="5"/>
    <n v="0"/>
    <x v="2"/>
    <x v="0"/>
  </r>
  <r>
    <n v="44262"/>
    <x v="71"/>
    <x v="22"/>
    <x v="1"/>
    <x v="5"/>
    <x v="148"/>
    <n v="436.7"/>
    <n v="6"/>
    <n v="21.84"/>
    <x v="2"/>
    <x v="0"/>
  </r>
  <r>
    <n v="44262"/>
    <x v="71"/>
    <x v="22"/>
    <x v="1"/>
    <x v="5"/>
    <x v="149"/>
    <n v="481.57"/>
    <n v="2"/>
    <n v="54.18"/>
    <x v="2"/>
    <x v="0"/>
  </r>
  <r>
    <n v="44265"/>
    <x v="72"/>
    <x v="14"/>
    <x v="0"/>
    <x v="0"/>
    <x v="150"/>
    <n v="22.38"/>
    <n v="2"/>
    <n v="10.74"/>
    <x v="2"/>
    <x v="0"/>
  </r>
  <r>
    <n v="44265"/>
    <x v="73"/>
    <x v="26"/>
    <x v="0"/>
    <x v="2"/>
    <x v="27"/>
    <n v="636.41"/>
    <n v="3"/>
    <n v="-15.91"/>
    <x v="2"/>
    <x v="0"/>
  </r>
  <r>
    <n v="44265"/>
    <x v="73"/>
    <x v="26"/>
    <x v="0"/>
    <x v="4"/>
    <x v="151"/>
    <n v="83.17"/>
    <n v="4"/>
    <n v="9.36"/>
    <x v="2"/>
    <x v="0"/>
  </r>
  <r>
    <n v="44266"/>
    <x v="74"/>
    <x v="10"/>
    <x v="1"/>
    <x v="8"/>
    <x v="152"/>
    <n v="8.32"/>
    <n v="5"/>
    <n v="2.29"/>
    <x v="2"/>
    <x v="0"/>
  </r>
  <r>
    <n v="44266"/>
    <x v="74"/>
    <x v="10"/>
    <x v="0"/>
    <x v="7"/>
    <x v="153"/>
    <n v="10.46"/>
    <n v="6"/>
    <n v="1.7"/>
    <x v="2"/>
    <x v="0"/>
  </r>
  <r>
    <n v="44266"/>
    <x v="75"/>
    <x v="20"/>
    <x v="0"/>
    <x v="0"/>
    <x v="154"/>
    <n v="108.92"/>
    <n v="14"/>
    <n v="49.01"/>
    <x v="2"/>
    <x v="0"/>
  </r>
  <r>
    <n v="44266"/>
    <x v="76"/>
    <x v="5"/>
    <x v="0"/>
    <x v="12"/>
    <x v="155"/>
    <n v="146.76"/>
    <n v="3"/>
    <n v="38.159999999999997"/>
    <x v="2"/>
    <x v="0"/>
  </r>
  <r>
    <n v="44266"/>
    <x v="76"/>
    <x v="5"/>
    <x v="2"/>
    <x v="9"/>
    <x v="89"/>
    <n v="32.96"/>
    <n v="2"/>
    <n v="14.17"/>
    <x v="2"/>
    <x v="0"/>
  </r>
  <r>
    <n v="44266"/>
    <x v="76"/>
    <x v="5"/>
    <x v="2"/>
    <x v="6"/>
    <x v="156"/>
    <n v="587.97"/>
    <n v="3"/>
    <n v="164.63"/>
    <x v="2"/>
    <x v="0"/>
  </r>
  <r>
    <n v="44266"/>
    <x v="76"/>
    <x v="5"/>
    <x v="0"/>
    <x v="0"/>
    <x v="157"/>
    <n v="14.94"/>
    <n v="3"/>
    <n v="7.02"/>
    <x v="2"/>
    <x v="0"/>
  </r>
  <r>
    <n v="44266"/>
    <x v="77"/>
    <x v="3"/>
    <x v="0"/>
    <x v="4"/>
    <x v="158"/>
    <n v="7.98"/>
    <n v="3"/>
    <n v="2.0699999999999998"/>
    <x v="2"/>
    <x v="0"/>
  </r>
  <r>
    <n v="44269"/>
    <x v="78"/>
    <x v="3"/>
    <x v="0"/>
    <x v="0"/>
    <x v="74"/>
    <n v="10.56"/>
    <n v="2"/>
    <n v="4.75"/>
    <x v="2"/>
    <x v="0"/>
  </r>
  <r>
    <n v="44269"/>
    <x v="78"/>
    <x v="3"/>
    <x v="0"/>
    <x v="4"/>
    <x v="159"/>
    <n v="3.38"/>
    <n v="1"/>
    <n v="1.25"/>
    <x v="2"/>
    <x v="0"/>
  </r>
  <r>
    <n v="44269"/>
    <x v="79"/>
    <x v="6"/>
    <x v="1"/>
    <x v="5"/>
    <x v="160"/>
    <n v="1139.92"/>
    <n v="4"/>
    <n v="284.98"/>
    <x v="2"/>
    <x v="0"/>
  </r>
  <r>
    <n v="44269"/>
    <x v="80"/>
    <x v="27"/>
    <x v="0"/>
    <x v="3"/>
    <x v="140"/>
    <n v="33.090000000000003"/>
    <n v="4"/>
    <n v="11.17"/>
    <x v="2"/>
    <x v="0"/>
  </r>
  <r>
    <n v="44269"/>
    <x v="80"/>
    <x v="27"/>
    <x v="0"/>
    <x v="2"/>
    <x v="161"/>
    <n v="80.98"/>
    <n v="1"/>
    <n v="3.24"/>
    <x v="2"/>
    <x v="0"/>
  </r>
  <r>
    <n v="44269"/>
    <x v="80"/>
    <x v="27"/>
    <x v="2"/>
    <x v="9"/>
    <x v="162"/>
    <n v="82.8"/>
    <n v="12"/>
    <n v="6.62"/>
    <x v="2"/>
    <x v="0"/>
  </r>
  <r>
    <n v="44269"/>
    <x v="80"/>
    <x v="27"/>
    <x v="0"/>
    <x v="2"/>
    <x v="163"/>
    <n v="21.36"/>
    <n v="2"/>
    <n v="5.77"/>
    <x v="2"/>
    <x v="0"/>
  </r>
  <r>
    <n v="44269"/>
    <x v="80"/>
    <x v="27"/>
    <x v="0"/>
    <x v="3"/>
    <x v="164"/>
    <n v="62.05"/>
    <n v="2"/>
    <n v="20.170000000000002"/>
    <x v="2"/>
    <x v="0"/>
  </r>
  <r>
    <n v="44269"/>
    <x v="81"/>
    <x v="1"/>
    <x v="2"/>
    <x v="15"/>
    <x v="165"/>
    <n v="574.91"/>
    <n v="2"/>
    <n v="156.05000000000001"/>
    <x v="2"/>
    <x v="0"/>
  </r>
  <r>
    <n v="44269"/>
    <x v="81"/>
    <x v="1"/>
    <x v="0"/>
    <x v="0"/>
    <x v="166"/>
    <n v="8.4499999999999993"/>
    <n v="2"/>
    <n v="2.64"/>
    <x v="2"/>
    <x v="0"/>
  </r>
  <r>
    <n v="44269"/>
    <x v="82"/>
    <x v="16"/>
    <x v="0"/>
    <x v="0"/>
    <x v="167"/>
    <n v="91.06"/>
    <n v="6"/>
    <n v="31.87"/>
    <x v="2"/>
    <x v="0"/>
  </r>
  <r>
    <n v="44270"/>
    <x v="83"/>
    <x v="16"/>
    <x v="0"/>
    <x v="2"/>
    <x v="168"/>
    <n v="142.78"/>
    <n v="1"/>
    <n v="17.850000000000001"/>
    <x v="2"/>
    <x v="0"/>
  </r>
  <r>
    <n v="44270"/>
    <x v="83"/>
    <x v="16"/>
    <x v="1"/>
    <x v="8"/>
    <x v="169"/>
    <n v="45.7"/>
    <n v="3"/>
    <n v="5.14"/>
    <x v="2"/>
    <x v="0"/>
  </r>
  <r>
    <n v="44270"/>
    <x v="83"/>
    <x v="16"/>
    <x v="0"/>
    <x v="3"/>
    <x v="170"/>
    <n v="7.22"/>
    <n v="3"/>
    <n v="-5.53"/>
    <x v="2"/>
    <x v="0"/>
  </r>
  <r>
    <n v="44270"/>
    <x v="83"/>
    <x v="16"/>
    <x v="0"/>
    <x v="3"/>
    <x v="171"/>
    <n v="43.19"/>
    <n v="4"/>
    <n v="-31.67"/>
    <x v="2"/>
    <x v="0"/>
  </r>
  <r>
    <n v="44270"/>
    <x v="83"/>
    <x v="16"/>
    <x v="0"/>
    <x v="0"/>
    <x v="172"/>
    <n v="131.9"/>
    <n v="3"/>
    <n v="47.82"/>
    <x v="2"/>
    <x v="0"/>
  </r>
  <r>
    <n v="44271"/>
    <x v="61"/>
    <x v="25"/>
    <x v="2"/>
    <x v="6"/>
    <x v="173"/>
    <n v="471.92"/>
    <n v="2"/>
    <n v="29.5"/>
    <x v="2"/>
    <x v="0"/>
  </r>
  <r>
    <n v="44272"/>
    <x v="84"/>
    <x v="28"/>
    <x v="0"/>
    <x v="12"/>
    <x v="174"/>
    <n v="93.78"/>
    <n v="2"/>
    <n v="36.57"/>
    <x v="2"/>
    <x v="0"/>
  </r>
  <r>
    <n v="44272"/>
    <x v="84"/>
    <x v="28"/>
    <x v="0"/>
    <x v="0"/>
    <x v="101"/>
    <n v="47.18"/>
    <n v="7"/>
    <n v="23.59"/>
    <x v="2"/>
    <x v="0"/>
  </r>
  <r>
    <n v="44272"/>
    <x v="84"/>
    <x v="28"/>
    <x v="0"/>
    <x v="4"/>
    <x v="175"/>
    <n v="19.68"/>
    <n v="6"/>
    <n v="5.71"/>
    <x v="2"/>
    <x v="0"/>
  </r>
  <r>
    <n v="44272"/>
    <x v="84"/>
    <x v="28"/>
    <x v="0"/>
    <x v="3"/>
    <x v="68"/>
    <n v="53.4"/>
    <n v="10"/>
    <n v="25.1"/>
    <x v="2"/>
    <x v="0"/>
  </r>
  <r>
    <n v="44272"/>
    <x v="84"/>
    <x v="28"/>
    <x v="0"/>
    <x v="3"/>
    <x v="176"/>
    <n v="35.880000000000003"/>
    <n v="6"/>
    <n v="17.22"/>
    <x v="2"/>
    <x v="0"/>
  </r>
  <r>
    <n v="44272"/>
    <x v="85"/>
    <x v="20"/>
    <x v="1"/>
    <x v="13"/>
    <x v="177"/>
    <n v="1579.75"/>
    <n v="7"/>
    <n v="-447.59"/>
    <x v="2"/>
    <x v="0"/>
  </r>
  <r>
    <n v="44272"/>
    <x v="85"/>
    <x v="20"/>
    <x v="1"/>
    <x v="13"/>
    <x v="178"/>
    <n v="1071.58"/>
    <n v="4"/>
    <n v="-553.65"/>
    <x v="2"/>
    <x v="0"/>
  </r>
  <r>
    <n v="44272"/>
    <x v="85"/>
    <x v="20"/>
    <x v="1"/>
    <x v="13"/>
    <x v="179"/>
    <n v="613.91"/>
    <n v="3"/>
    <n v="-122.78"/>
    <x v="2"/>
    <x v="0"/>
  </r>
  <r>
    <n v="44272"/>
    <x v="85"/>
    <x v="20"/>
    <x v="0"/>
    <x v="0"/>
    <x v="180"/>
    <n v="34.86"/>
    <n v="7"/>
    <n v="16.38"/>
    <x v="2"/>
    <x v="0"/>
  </r>
  <r>
    <n v="44272"/>
    <x v="85"/>
    <x v="20"/>
    <x v="0"/>
    <x v="0"/>
    <x v="181"/>
    <n v="155.04"/>
    <n v="4"/>
    <n v="75.97"/>
    <x v="2"/>
    <x v="0"/>
  </r>
  <r>
    <n v="44272"/>
    <x v="86"/>
    <x v="0"/>
    <x v="0"/>
    <x v="4"/>
    <x v="182"/>
    <n v="4.45"/>
    <n v="2"/>
    <n v="0.33"/>
    <x v="2"/>
    <x v="0"/>
  </r>
  <r>
    <n v="44272"/>
    <x v="86"/>
    <x v="0"/>
    <x v="0"/>
    <x v="0"/>
    <x v="183"/>
    <n v="5.18"/>
    <n v="1"/>
    <n v="1.88"/>
    <x v="2"/>
    <x v="0"/>
  </r>
  <r>
    <n v="44272"/>
    <x v="86"/>
    <x v="0"/>
    <x v="0"/>
    <x v="0"/>
    <x v="184"/>
    <n v="15.55"/>
    <n v="3"/>
    <n v="5.44"/>
    <x v="2"/>
    <x v="0"/>
  </r>
  <r>
    <n v="44272"/>
    <x v="36"/>
    <x v="29"/>
    <x v="0"/>
    <x v="3"/>
    <x v="51"/>
    <n v="11.43"/>
    <n v="3"/>
    <n v="5.37"/>
    <x v="2"/>
    <x v="0"/>
  </r>
  <r>
    <n v="44272"/>
    <x v="36"/>
    <x v="29"/>
    <x v="0"/>
    <x v="3"/>
    <x v="185"/>
    <n v="30.44"/>
    <n v="2"/>
    <n v="14.92"/>
    <x v="2"/>
    <x v="0"/>
  </r>
  <r>
    <n v="44272"/>
    <x v="36"/>
    <x v="29"/>
    <x v="0"/>
    <x v="0"/>
    <x v="186"/>
    <n v="12.96"/>
    <n v="2"/>
    <n v="6.35"/>
    <x v="2"/>
    <x v="0"/>
  </r>
  <r>
    <n v="44272"/>
    <x v="36"/>
    <x v="29"/>
    <x v="0"/>
    <x v="0"/>
    <x v="187"/>
    <n v="16"/>
    <n v="4"/>
    <n v="7.68"/>
    <x v="2"/>
    <x v="0"/>
  </r>
  <r>
    <n v="44272"/>
    <x v="36"/>
    <x v="29"/>
    <x v="0"/>
    <x v="12"/>
    <x v="188"/>
    <n v="32.67"/>
    <n v="3"/>
    <n v="8.49"/>
    <x v="2"/>
    <x v="0"/>
  </r>
  <r>
    <n v="44272"/>
    <x v="87"/>
    <x v="2"/>
    <x v="0"/>
    <x v="0"/>
    <x v="189"/>
    <n v="126.62"/>
    <n v="6"/>
    <n v="41.15"/>
    <x v="2"/>
    <x v="0"/>
  </r>
  <r>
    <n v="44273"/>
    <x v="88"/>
    <x v="16"/>
    <x v="2"/>
    <x v="15"/>
    <x v="165"/>
    <n v="821.3"/>
    <n v="4"/>
    <n v="-16.43"/>
    <x v="2"/>
    <x v="0"/>
  </r>
  <r>
    <n v="44273"/>
    <x v="88"/>
    <x v="16"/>
    <x v="2"/>
    <x v="15"/>
    <x v="190"/>
    <n v="22638.48"/>
    <n v="6"/>
    <n v="-1811.08"/>
    <x v="2"/>
    <x v="0"/>
  </r>
  <r>
    <n v="44273"/>
    <x v="88"/>
    <x v="16"/>
    <x v="0"/>
    <x v="0"/>
    <x v="59"/>
    <n v="21.38"/>
    <n v="4"/>
    <n v="7.48"/>
    <x v="2"/>
    <x v="0"/>
  </r>
  <r>
    <n v="44273"/>
    <x v="88"/>
    <x v="16"/>
    <x v="0"/>
    <x v="4"/>
    <x v="191"/>
    <n v="8.02"/>
    <n v="3"/>
    <n v="1"/>
    <x v="2"/>
    <x v="0"/>
  </r>
  <r>
    <n v="44273"/>
    <x v="88"/>
    <x v="16"/>
    <x v="1"/>
    <x v="8"/>
    <x v="192"/>
    <n v="30.77"/>
    <n v="2"/>
    <n v="8.08"/>
    <x v="2"/>
    <x v="0"/>
  </r>
  <r>
    <n v="44273"/>
    <x v="88"/>
    <x v="16"/>
    <x v="0"/>
    <x v="7"/>
    <x v="78"/>
    <n v="18.940000000000001"/>
    <n v="3"/>
    <n v="5.92"/>
    <x v="2"/>
    <x v="0"/>
  </r>
  <r>
    <n v="44273"/>
    <x v="88"/>
    <x v="16"/>
    <x v="1"/>
    <x v="8"/>
    <x v="193"/>
    <n v="122.35"/>
    <n v="3"/>
    <n v="15.29"/>
    <x v="2"/>
    <x v="0"/>
  </r>
  <r>
    <n v="44273"/>
    <x v="89"/>
    <x v="3"/>
    <x v="1"/>
    <x v="11"/>
    <x v="194"/>
    <n v="1198.33"/>
    <n v="10"/>
    <n v="70.489999999999995"/>
    <x v="2"/>
    <x v="0"/>
  </r>
  <r>
    <n v="44273"/>
    <x v="90"/>
    <x v="3"/>
    <x v="1"/>
    <x v="8"/>
    <x v="195"/>
    <n v="111"/>
    <n v="2"/>
    <n v="14.43"/>
    <x v="2"/>
    <x v="0"/>
  </r>
  <r>
    <n v="44273"/>
    <x v="90"/>
    <x v="3"/>
    <x v="2"/>
    <x v="15"/>
    <x v="196"/>
    <n v="1279.97"/>
    <n v="4"/>
    <n v="415.99"/>
    <x v="2"/>
    <x v="0"/>
  </r>
  <r>
    <n v="44273"/>
    <x v="90"/>
    <x v="3"/>
    <x v="0"/>
    <x v="2"/>
    <x v="27"/>
    <n v="1856.19"/>
    <n v="7"/>
    <n v="334.11"/>
    <x v="2"/>
    <x v="0"/>
  </r>
  <r>
    <n v="44274"/>
    <x v="91"/>
    <x v="16"/>
    <x v="2"/>
    <x v="6"/>
    <x v="197"/>
    <n v="323.98"/>
    <n v="3"/>
    <n v="28.35"/>
    <x v="2"/>
    <x v="0"/>
  </r>
  <r>
    <n v="44274"/>
    <x v="91"/>
    <x v="16"/>
    <x v="0"/>
    <x v="1"/>
    <x v="198"/>
    <n v="11.81"/>
    <n v="4"/>
    <n v="3.99"/>
    <x v="2"/>
    <x v="0"/>
  </r>
  <r>
    <n v="44274"/>
    <x v="91"/>
    <x v="16"/>
    <x v="0"/>
    <x v="2"/>
    <x v="199"/>
    <n v="26.16"/>
    <n v="3"/>
    <n v="1.96"/>
    <x v="2"/>
    <x v="0"/>
  </r>
  <r>
    <n v="44274"/>
    <x v="91"/>
    <x v="16"/>
    <x v="0"/>
    <x v="3"/>
    <x v="88"/>
    <n v="33.57"/>
    <n v="5"/>
    <n v="-25.74"/>
    <x v="2"/>
    <x v="0"/>
  </r>
  <r>
    <n v="44274"/>
    <x v="91"/>
    <x v="16"/>
    <x v="1"/>
    <x v="8"/>
    <x v="152"/>
    <n v="4.99"/>
    <n v="3"/>
    <n v="1.37"/>
    <x v="2"/>
    <x v="0"/>
  </r>
  <r>
    <n v="44274"/>
    <x v="91"/>
    <x v="16"/>
    <x v="1"/>
    <x v="8"/>
    <x v="200"/>
    <n v="20.02"/>
    <n v="3"/>
    <n v="5.5"/>
    <x v="2"/>
    <x v="0"/>
  </r>
  <r>
    <n v="44274"/>
    <x v="91"/>
    <x v="16"/>
    <x v="2"/>
    <x v="9"/>
    <x v="201"/>
    <n v="170.24"/>
    <n v="2"/>
    <n v="53.2"/>
    <x v="2"/>
    <x v="0"/>
  </r>
  <r>
    <n v="44276"/>
    <x v="92"/>
    <x v="10"/>
    <x v="0"/>
    <x v="4"/>
    <x v="202"/>
    <n v="7.41"/>
    <n v="2"/>
    <n v="1.2"/>
    <x v="2"/>
    <x v="0"/>
  </r>
  <r>
    <n v="44276"/>
    <x v="92"/>
    <x v="10"/>
    <x v="0"/>
    <x v="4"/>
    <x v="203"/>
    <n v="6.05"/>
    <n v="3"/>
    <n v="1.59"/>
    <x v="2"/>
    <x v="0"/>
  </r>
  <r>
    <n v="44276"/>
    <x v="93"/>
    <x v="25"/>
    <x v="0"/>
    <x v="2"/>
    <x v="204"/>
    <n v="16.27"/>
    <n v="1"/>
    <n v="-3.86"/>
    <x v="2"/>
    <x v="0"/>
  </r>
  <r>
    <n v="44276"/>
    <x v="94"/>
    <x v="6"/>
    <x v="2"/>
    <x v="6"/>
    <x v="205"/>
    <n v="3499.93"/>
    <n v="7"/>
    <n v="909.98"/>
    <x v="2"/>
    <x v="0"/>
  </r>
  <r>
    <n v="44276"/>
    <x v="94"/>
    <x v="6"/>
    <x v="0"/>
    <x v="1"/>
    <x v="206"/>
    <n v="14.4"/>
    <n v="5"/>
    <n v="6.62"/>
    <x v="2"/>
    <x v="0"/>
  </r>
  <r>
    <n v="44276"/>
    <x v="94"/>
    <x v="6"/>
    <x v="0"/>
    <x v="0"/>
    <x v="207"/>
    <n v="122.97"/>
    <n v="3"/>
    <n v="60.26"/>
    <x v="2"/>
    <x v="0"/>
  </r>
  <r>
    <n v="44276"/>
    <x v="94"/>
    <x v="6"/>
    <x v="0"/>
    <x v="4"/>
    <x v="208"/>
    <n v="9.32"/>
    <n v="4"/>
    <n v="2.7"/>
    <x v="2"/>
    <x v="0"/>
  </r>
  <r>
    <n v="44276"/>
    <x v="94"/>
    <x v="6"/>
    <x v="0"/>
    <x v="3"/>
    <x v="209"/>
    <n v="122.94"/>
    <n v="3"/>
    <n v="59.01"/>
    <x v="2"/>
    <x v="0"/>
  </r>
  <r>
    <n v="44276"/>
    <x v="95"/>
    <x v="15"/>
    <x v="0"/>
    <x v="1"/>
    <x v="210"/>
    <n v="59.2"/>
    <n v="5"/>
    <n v="22.2"/>
    <x v="2"/>
    <x v="0"/>
  </r>
  <r>
    <n v="44276"/>
    <x v="95"/>
    <x v="15"/>
    <x v="1"/>
    <x v="8"/>
    <x v="211"/>
    <n v="32.950000000000003"/>
    <n v="3"/>
    <n v="6.59"/>
    <x v="2"/>
    <x v="0"/>
  </r>
  <r>
    <n v="44276"/>
    <x v="95"/>
    <x v="15"/>
    <x v="1"/>
    <x v="5"/>
    <x v="26"/>
    <n v="218.38"/>
    <n v="3"/>
    <n v="-10.92"/>
    <x v="2"/>
    <x v="0"/>
  </r>
  <r>
    <n v="44277"/>
    <x v="96"/>
    <x v="25"/>
    <x v="0"/>
    <x v="3"/>
    <x v="212"/>
    <n v="7.64"/>
    <n v="4"/>
    <n v="-5.86"/>
    <x v="2"/>
    <x v="0"/>
  </r>
  <r>
    <n v="44277"/>
    <x v="96"/>
    <x v="25"/>
    <x v="0"/>
    <x v="3"/>
    <x v="213"/>
    <n v="51.47"/>
    <n v="5"/>
    <n v="-39.46"/>
    <x v="2"/>
    <x v="0"/>
  </r>
  <r>
    <n v="44277"/>
    <x v="97"/>
    <x v="12"/>
    <x v="0"/>
    <x v="0"/>
    <x v="214"/>
    <n v="74.349999999999994"/>
    <n v="3"/>
    <n v="23.24"/>
    <x v="2"/>
    <x v="0"/>
  </r>
  <r>
    <n v="44277"/>
    <x v="97"/>
    <x v="12"/>
    <x v="1"/>
    <x v="5"/>
    <x v="215"/>
    <n v="314.35000000000002"/>
    <n v="3"/>
    <n v="-35.36"/>
    <x v="2"/>
    <x v="0"/>
  </r>
  <r>
    <n v="44277"/>
    <x v="98"/>
    <x v="18"/>
    <x v="0"/>
    <x v="4"/>
    <x v="4"/>
    <n v="16.28"/>
    <n v="2"/>
    <n v="6.51"/>
    <x v="2"/>
    <x v="0"/>
  </r>
  <r>
    <n v="44278"/>
    <x v="99"/>
    <x v="3"/>
    <x v="0"/>
    <x v="2"/>
    <x v="216"/>
    <n v="330.4"/>
    <n v="2"/>
    <n v="85.9"/>
    <x v="2"/>
    <x v="0"/>
  </r>
  <r>
    <n v="44278"/>
    <x v="99"/>
    <x v="3"/>
    <x v="2"/>
    <x v="6"/>
    <x v="217"/>
    <n v="604.75"/>
    <n v="6"/>
    <n v="37.799999999999997"/>
    <x v="2"/>
    <x v="0"/>
  </r>
  <r>
    <n v="44278"/>
    <x v="100"/>
    <x v="16"/>
    <x v="0"/>
    <x v="1"/>
    <x v="218"/>
    <n v="9.91"/>
    <n v="3"/>
    <n v="3.22"/>
    <x v="2"/>
    <x v="0"/>
  </r>
  <r>
    <n v="44279"/>
    <x v="101"/>
    <x v="20"/>
    <x v="0"/>
    <x v="0"/>
    <x v="219"/>
    <n v="24.9"/>
    <n v="5"/>
    <n v="11.7"/>
    <x v="2"/>
    <x v="0"/>
  </r>
  <r>
    <n v="44279"/>
    <x v="102"/>
    <x v="3"/>
    <x v="1"/>
    <x v="8"/>
    <x v="220"/>
    <n v="40.479999999999997"/>
    <n v="2"/>
    <n v="14.57"/>
    <x v="2"/>
    <x v="0"/>
  </r>
  <r>
    <n v="44280"/>
    <x v="86"/>
    <x v="20"/>
    <x v="1"/>
    <x v="5"/>
    <x v="221"/>
    <n v="366.79"/>
    <n v="7"/>
    <n v="65.209999999999994"/>
    <x v="2"/>
    <x v="0"/>
  </r>
  <r>
    <n v="44280"/>
    <x v="103"/>
    <x v="3"/>
    <x v="0"/>
    <x v="4"/>
    <x v="175"/>
    <n v="6.56"/>
    <n v="2"/>
    <n v="1.9"/>
    <x v="2"/>
    <x v="0"/>
  </r>
  <r>
    <n v="44280"/>
    <x v="103"/>
    <x v="3"/>
    <x v="0"/>
    <x v="4"/>
    <x v="222"/>
    <n v="14.88"/>
    <n v="2"/>
    <n v="3.72"/>
    <x v="2"/>
    <x v="0"/>
  </r>
  <r>
    <n v="44280"/>
    <x v="103"/>
    <x v="3"/>
    <x v="2"/>
    <x v="9"/>
    <x v="223"/>
    <n v="45.48"/>
    <n v="4"/>
    <n v="15.92"/>
    <x v="2"/>
    <x v="0"/>
  </r>
  <r>
    <n v="44280"/>
    <x v="103"/>
    <x v="3"/>
    <x v="0"/>
    <x v="4"/>
    <x v="224"/>
    <n v="25.44"/>
    <n v="6"/>
    <n v="9.92"/>
    <x v="2"/>
    <x v="0"/>
  </r>
  <r>
    <n v="44281"/>
    <x v="104"/>
    <x v="3"/>
    <x v="2"/>
    <x v="9"/>
    <x v="225"/>
    <n v="66.3"/>
    <n v="3"/>
    <n v="8.6199999999999992"/>
    <x v="2"/>
    <x v="0"/>
  </r>
  <r>
    <n v="44281"/>
    <x v="105"/>
    <x v="3"/>
    <x v="0"/>
    <x v="4"/>
    <x v="226"/>
    <n v="3.36"/>
    <n v="2"/>
    <n v="0.84"/>
    <x v="2"/>
    <x v="0"/>
  </r>
  <r>
    <n v="44281"/>
    <x v="105"/>
    <x v="3"/>
    <x v="0"/>
    <x v="3"/>
    <x v="93"/>
    <n v="27.94"/>
    <n v="4"/>
    <n v="9.43"/>
    <x v="2"/>
    <x v="0"/>
  </r>
  <r>
    <n v="44281"/>
    <x v="105"/>
    <x v="3"/>
    <x v="2"/>
    <x v="6"/>
    <x v="227"/>
    <n v="28.78"/>
    <n v="2"/>
    <n v="2.88"/>
    <x v="2"/>
    <x v="0"/>
  </r>
  <r>
    <n v="44281"/>
    <x v="106"/>
    <x v="3"/>
    <x v="0"/>
    <x v="1"/>
    <x v="228"/>
    <n v="18.75"/>
    <n v="5"/>
    <n v="9"/>
    <x v="2"/>
    <x v="0"/>
  </r>
  <r>
    <n v="44283"/>
    <x v="107"/>
    <x v="30"/>
    <x v="0"/>
    <x v="10"/>
    <x v="229"/>
    <n v="6.12"/>
    <n v="3"/>
    <n v="2.88"/>
    <x v="2"/>
    <x v="0"/>
  </r>
  <r>
    <n v="44283"/>
    <x v="107"/>
    <x v="30"/>
    <x v="1"/>
    <x v="13"/>
    <x v="230"/>
    <n v="1184.72"/>
    <n v="4"/>
    <n v="106.62"/>
    <x v="2"/>
    <x v="0"/>
  </r>
  <r>
    <n v="44283"/>
    <x v="108"/>
    <x v="31"/>
    <x v="2"/>
    <x v="6"/>
    <x v="231"/>
    <n v="302.38"/>
    <n v="3"/>
    <n v="22.68"/>
    <x v="2"/>
    <x v="0"/>
  </r>
  <r>
    <n v="44283"/>
    <x v="109"/>
    <x v="10"/>
    <x v="1"/>
    <x v="13"/>
    <x v="232"/>
    <n v="330.59"/>
    <n v="1"/>
    <n v="-143.25"/>
    <x v="2"/>
    <x v="0"/>
  </r>
  <r>
    <n v="44284"/>
    <x v="110"/>
    <x v="0"/>
    <x v="1"/>
    <x v="13"/>
    <x v="233"/>
    <n v="890.84"/>
    <n v="3"/>
    <n v="-152.72"/>
    <x v="2"/>
    <x v="0"/>
  </r>
  <r>
    <n v="44285"/>
    <x v="111"/>
    <x v="20"/>
    <x v="0"/>
    <x v="4"/>
    <x v="234"/>
    <n v="49.65"/>
    <n v="5"/>
    <n v="20.85"/>
    <x v="2"/>
    <x v="0"/>
  </r>
  <r>
    <n v="44285"/>
    <x v="112"/>
    <x v="22"/>
    <x v="0"/>
    <x v="2"/>
    <x v="235"/>
    <n v="15.84"/>
    <n v="3"/>
    <n v="0"/>
    <x v="2"/>
    <x v="0"/>
  </r>
  <r>
    <n v="44285"/>
    <x v="112"/>
    <x v="22"/>
    <x v="0"/>
    <x v="1"/>
    <x v="236"/>
    <n v="44.4"/>
    <n v="3"/>
    <n v="22.2"/>
    <x v="2"/>
    <x v="0"/>
  </r>
  <r>
    <n v="44285"/>
    <x v="113"/>
    <x v="20"/>
    <x v="0"/>
    <x v="4"/>
    <x v="237"/>
    <n v="10.5"/>
    <n v="5"/>
    <n v="2.94"/>
    <x v="2"/>
    <x v="0"/>
  </r>
  <r>
    <n v="44285"/>
    <x v="41"/>
    <x v="3"/>
    <x v="1"/>
    <x v="11"/>
    <x v="238"/>
    <n v="205.67"/>
    <n v="2"/>
    <n v="-12.1"/>
    <x v="2"/>
    <x v="0"/>
  </r>
  <r>
    <n v="44285"/>
    <x v="114"/>
    <x v="0"/>
    <x v="0"/>
    <x v="10"/>
    <x v="239"/>
    <n v="335.72"/>
    <n v="5"/>
    <n v="113.31"/>
    <x v="2"/>
    <x v="0"/>
  </r>
  <r>
    <n v="44285"/>
    <x v="114"/>
    <x v="0"/>
    <x v="2"/>
    <x v="6"/>
    <x v="240"/>
    <n v="251.94"/>
    <n v="7"/>
    <n v="88.18"/>
    <x v="2"/>
    <x v="0"/>
  </r>
  <r>
    <n v="44285"/>
    <x v="114"/>
    <x v="0"/>
    <x v="1"/>
    <x v="5"/>
    <x v="241"/>
    <n v="127.3"/>
    <n v="7"/>
    <n v="-9.09"/>
    <x v="2"/>
    <x v="0"/>
  </r>
  <r>
    <n v="44285"/>
    <x v="115"/>
    <x v="28"/>
    <x v="0"/>
    <x v="2"/>
    <x v="242"/>
    <n v="129.30000000000001"/>
    <n v="2"/>
    <n v="6.47"/>
    <x v="2"/>
    <x v="0"/>
  </r>
  <r>
    <n v="44286"/>
    <x v="116"/>
    <x v="3"/>
    <x v="0"/>
    <x v="3"/>
    <x v="243"/>
    <n v="673.57"/>
    <n v="2"/>
    <n v="252.59"/>
    <x v="2"/>
    <x v="0"/>
  </r>
  <r>
    <n v="44286"/>
    <x v="116"/>
    <x v="3"/>
    <x v="0"/>
    <x v="12"/>
    <x v="244"/>
    <n v="52.98"/>
    <n v="2"/>
    <n v="14.83"/>
    <x v="2"/>
    <x v="0"/>
  </r>
  <r>
    <n v="44286"/>
    <x v="117"/>
    <x v="2"/>
    <x v="0"/>
    <x v="3"/>
    <x v="245"/>
    <n v="0.85"/>
    <n v="1"/>
    <n v="-0.6"/>
    <x v="2"/>
    <x v="0"/>
  </r>
  <r>
    <n v="44286"/>
    <x v="118"/>
    <x v="1"/>
    <x v="0"/>
    <x v="3"/>
    <x v="246"/>
    <n v="8.1300000000000008"/>
    <n v="7"/>
    <n v="-13.83"/>
    <x v="2"/>
    <x v="0"/>
  </r>
  <r>
    <n v="44286"/>
    <x v="118"/>
    <x v="1"/>
    <x v="2"/>
    <x v="9"/>
    <x v="247"/>
    <n v="79.98"/>
    <n v="2"/>
    <n v="14"/>
    <x v="2"/>
    <x v="0"/>
  </r>
  <r>
    <n v="44286"/>
    <x v="119"/>
    <x v="16"/>
    <x v="0"/>
    <x v="3"/>
    <x v="248"/>
    <n v="1.87"/>
    <n v="1"/>
    <n v="-1.31"/>
    <x v="2"/>
    <x v="0"/>
  </r>
  <r>
    <n v="44286"/>
    <x v="120"/>
    <x v="16"/>
    <x v="1"/>
    <x v="5"/>
    <x v="249"/>
    <n v="1125.49"/>
    <n v="7"/>
    <n v="98.48"/>
    <x v="2"/>
    <x v="0"/>
  </r>
  <r>
    <n v="44286"/>
    <x v="120"/>
    <x v="16"/>
    <x v="0"/>
    <x v="3"/>
    <x v="250"/>
    <n v="12.65"/>
    <n v="5"/>
    <n v="-10.119999999999999"/>
    <x v="2"/>
    <x v="0"/>
  </r>
  <r>
    <n v="44286"/>
    <x v="120"/>
    <x v="16"/>
    <x v="0"/>
    <x v="4"/>
    <x v="203"/>
    <n v="4.03"/>
    <n v="2"/>
    <n v="1.06"/>
    <x v="2"/>
    <x v="0"/>
  </r>
  <r>
    <n v="44287"/>
    <x v="111"/>
    <x v="3"/>
    <x v="0"/>
    <x v="1"/>
    <x v="236"/>
    <n v="29.6"/>
    <n v="2"/>
    <n v="14.8"/>
    <x v="3"/>
    <x v="0"/>
  </r>
  <r>
    <n v="44287"/>
    <x v="111"/>
    <x v="3"/>
    <x v="0"/>
    <x v="3"/>
    <x v="251"/>
    <n v="17.09"/>
    <n v="4"/>
    <n v="5.55"/>
    <x v="3"/>
    <x v="0"/>
  </r>
  <r>
    <n v="44287"/>
    <x v="121"/>
    <x v="32"/>
    <x v="0"/>
    <x v="2"/>
    <x v="252"/>
    <n v="66.959999999999994"/>
    <n v="4"/>
    <n v="2.68"/>
    <x v="3"/>
    <x v="0"/>
  </r>
  <r>
    <n v="44287"/>
    <x v="121"/>
    <x v="32"/>
    <x v="0"/>
    <x v="3"/>
    <x v="253"/>
    <n v="6.24"/>
    <n v="2"/>
    <n v="3.06"/>
    <x v="3"/>
    <x v="0"/>
  </r>
  <r>
    <n v="44288"/>
    <x v="122"/>
    <x v="4"/>
    <x v="0"/>
    <x v="0"/>
    <x v="254"/>
    <n v="15.84"/>
    <n v="3"/>
    <n v="7.13"/>
    <x v="3"/>
    <x v="0"/>
  </r>
  <r>
    <n v="44288"/>
    <x v="122"/>
    <x v="4"/>
    <x v="2"/>
    <x v="6"/>
    <x v="255"/>
    <n v="1049.93"/>
    <n v="7"/>
    <n v="293.98"/>
    <x v="3"/>
    <x v="0"/>
  </r>
  <r>
    <n v="44288"/>
    <x v="122"/>
    <x v="4"/>
    <x v="0"/>
    <x v="12"/>
    <x v="256"/>
    <n v="154.9"/>
    <n v="5"/>
    <n v="40.270000000000003"/>
    <x v="3"/>
    <x v="0"/>
  </r>
  <r>
    <n v="44288"/>
    <x v="66"/>
    <x v="0"/>
    <x v="0"/>
    <x v="0"/>
    <x v="257"/>
    <n v="26.72"/>
    <n v="5"/>
    <n v="9.35"/>
    <x v="3"/>
    <x v="0"/>
  </r>
  <r>
    <n v="44288"/>
    <x v="66"/>
    <x v="0"/>
    <x v="0"/>
    <x v="0"/>
    <x v="258"/>
    <n v="33.49"/>
    <n v="7"/>
    <n v="10.47"/>
    <x v="3"/>
    <x v="0"/>
  </r>
  <r>
    <n v="44288"/>
    <x v="123"/>
    <x v="6"/>
    <x v="1"/>
    <x v="8"/>
    <x v="259"/>
    <n v="177.68"/>
    <n v="2"/>
    <n v="46.2"/>
    <x v="3"/>
    <x v="0"/>
  </r>
  <r>
    <n v="44289"/>
    <x v="124"/>
    <x v="3"/>
    <x v="0"/>
    <x v="10"/>
    <x v="21"/>
    <n v="11.16"/>
    <n v="2"/>
    <n v="5.58"/>
    <x v="3"/>
    <x v="0"/>
  </r>
  <r>
    <n v="44289"/>
    <x v="124"/>
    <x v="3"/>
    <x v="2"/>
    <x v="9"/>
    <x v="111"/>
    <n v="62.31"/>
    <n v="3"/>
    <n v="22.43"/>
    <x v="3"/>
    <x v="0"/>
  </r>
  <r>
    <n v="44289"/>
    <x v="124"/>
    <x v="3"/>
    <x v="2"/>
    <x v="9"/>
    <x v="102"/>
    <n v="159.97999999999999"/>
    <n v="2"/>
    <n v="57.59"/>
    <x v="3"/>
    <x v="0"/>
  </r>
  <r>
    <n v="44290"/>
    <x v="125"/>
    <x v="3"/>
    <x v="0"/>
    <x v="1"/>
    <x v="260"/>
    <n v="18.899999999999999"/>
    <n v="6"/>
    <n v="9.07"/>
    <x v="3"/>
    <x v="0"/>
  </r>
  <r>
    <n v="44290"/>
    <x v="102"/>
    <x v="14"/>
    <x v="1"/>
    <x v="8"/>
    <x v="261"/>
    <n v="5.47"/>
    <n v="1"/>
    <n v="2.35"/>
    <x v="3"/>
    <x v="0"/>
  </r>
  <r>
    <n v="44290"/>
    <x v="102"/>
    <x v="14"/>
    <x v="0"/>
    <x v="4"/>
    <x v="262"/>
    <n v="79.36"/>
    <n v="4"/>
    <n v="23.81"/>
    <x v="3"/>
    <x v="0"/>
  </r>
  <r>
    <n v="44290"/>
    <x v="126"/>
    <x v="3"/>
    <x v="0"/>
    <x v="3"/>
    <x v="263"/>
    <n v="7.18"/>
    <n v="2"/>
    <n v="2.25"/>
    <x v="3"/>
    <x v="0"/>
  </r>
  <r>
    <n v="44290"/>
    <x v="127"/>
    <x v="8"/>
    <x v="0"/>
    <x v="2"/>
    <x v="264"/>
    <n v="232.55"/>
    <n v="5"/>
    <n v="9.3000000000000007"/>
    <x v="3"/>
    <x v="0"/>
  </r>
  <r>
    <n v="44290"/>
    <x v="127"/>
    <x v="8"/>
    <x v="2"/>
    <x v="9"/>
    <x v="265"/>
    <n v="99.98"/>
    <n v="2"/>
    <n v="42.99"/>
    <x v="3"/>
    <x v="0"/>
  </r>
  <r>
    <n v="44290"/>
    <x v="127"/>
    <x v="8"/>
    <x v="0"/>
    <x v="0"/>
    <x v="266"/>
    <n v="19.440000000000001"/>
    <n v="3"/>
    <n v="9.33"/>
    <x v="3"/>
    <x v="0"/>
  </r>
  <r>
    <n v="44290"/>
    <x v="127"/>
    <x v="8"/>
    <x v="0"/>
    <x v="0"/>
    <x v="183"/>
    <n v="12.96"/>
    <n v="2"/>
    <n v="6.35"/>
    <x v="3"/>
    <x v="0"/>
  </r>
  <r>
    <n v="44291"/>
    <x v="128"/>
    <x v="20"/>
    <x v="0"/>
    <x v="0"/>
    <x v="267"/>
    <n v="55.48"/>
    <n v="1"/>
    <n v="26.63"/>
    <x v="3"/>
    <x v="0"/>
  </r>
  <r>
    <n v="44291"/>
    <x v="129"/>
    <x v="6"/>
    <x v="0"/>
    <x v="4"/>
    <x v="268"/>
    <n v="22.96"/>
    <n v="7"/>
    <n v="7.58"/>
    <x v="3"/>
    <x v="0"/>
  </r>
  <r>
    <n v="44291"/>
    <x v="129"/>
    <x v="6"/>
    <x v="2"/>
    <x v="6"/>
    <x v="87"/>
    <n v="28.99"/>
    <n v="1"/>
    <n v="8.41"/>
    <x v="3"/>
    <x v="0"/>
  </r>
  <r>
    <n v="44291"/>
    <x v="129"/>
    <x v="6"/>
    <x v="0"/>
    <x v="0"/>
    <x v="186"/>
    <n v="12.96"/>
    <n v="2"/>
    <n v="6.35"/>
    <x v="3"/>
    <x v="0"/>
  </r>
  <r>
    <n v="44291"/>
    <x v="129"/>
    <x v="6"/>
    <x v="0"/>
    <x v="4"/>
    <x v="269"/>
    <n v="22.96"/>
    <n v="7"/>
    <n v="6.66"/>
    <x v="3"/>
    <x v="0"/>
  </r>
  <r>
    <n v="44291"/>
    <x v="129"/>
    <x v="6"/>
    <x v="0"/>
    <x v="14"/>
    <x v="270"/>
    <n v="4164.05"/>
    <n v="5"/>
    <n v="83.28"/>
    <x v="3"/>
    <x v="0"/>
  </r>
  <r>
    <n v="44291"/>
    <x v="130"/>
    <x v="1"/>
    <x v="0"/>
    <x v="2"/>
    <x v="271"/>
    <n v="49.63"/>
    <n v="4"/>
    <n v="3.72"/>
    <x v="3"/>
    <x v="0"/>
  </r>
  <r>
    <n v="44291"/>
    <x v="130"/>
    <x v="1"/>
    <x v="0"/>
    <x v="2"/>
    <x v="272"/>
    <n v="52.1"/>
    <n v="4"/>
    <n v="3.91"/>
    <x v="3"/>
    <x v="0"/>
  </r>
  <r>
    <n v="44291"/>
    <x v="131"/>
    <x v="14"/>
    <x v="0"/>
    <x v="4"/>
    <x v="273"/>
    <n v="26.7"/>
    <n v="2"/>
    <n v="7.48"/>
    <x v="3"/>
    <x v="0"/>
  </r>
  <r>
    <n v="44291"/>
    <x v="131"/>
    <x v="14"/>
    <x v="0"/>
    <x v="3"/>
    <x v="274"/>
    <n v="40.200000000000003"/>
    <n v="5"/>
    <n v="18.09"/>
    <x v="3"/>
    <x v="0"/>
  </r>
  <r>
    <n v="44291"/>
    <x v="131"/>
    <x v="14"/>
    <x v="0"/>
    <x v="4"/>
    <x v="202"/>
    <n v="13.89"/>
    <n v="3"/>
    <n v="4.58"/>
    <x v="3"/>
    <x v="0"/>
  </r>
  <r>
    <n v="44291"/>
    <x v="131"/>
    <x v="14"/>
    <x v="0"/>
    <x v="2"/>
    <x v="75"/>
    <n v="689.82"/>
    <n v="6"/>
    <n v="20.69"/>
    <x v="3"/>
    <x v="0"/>
  </r>
  <r>
    <n v="44291"/>
    <x v="132"/>
    <x v="5"/>
    <x v="0"/>
    <x v="3"/>
    <x v="275"/>
    <n v="115.36"/>
    <n v="7"/>
    <n v="56.53"/>
    <x v="3"/>
    <x v="0"/>
  </r>
  <r>
    <n v="44292"/>
    <x v="133"/>
    <x v="2"/>
    <x v="0"/>
    <x v="3"/>
    <x v="276"/>
    <n v="44.91"/>
    <n v="6"/>
    <n v="-35.93"/>
    <x v="3"/>
    <x v="0"/>
  </r>
  <r>
    <n v="44292"/>
    <x v="26"/>
    <x v="2"/>
    <x v="0"/>
    <x v="14"/>
    <x v="277"/>
    <n v="10.3"/>
    <n v="1"/>
    <n v="-2.19"/>
    <x v="3"/>
    <x v="0"/>
  </r>
  <r>
    <n v="44292"/>
    <x v="26"/>
    <x v="2"/>
    <x v="1"/>
    <x v="13"/>
    <x v="278"/>
    <n v="154.76"/>
    <n v="3"/>
    <n v="-36.11"/>
    <x v="3"/>
    <x v="0"/>
  </r>
  <r>
    <n v="44292"/>
    <x v="26"/>
    <x v="2"/>
    <x v="2"/>
    <x v="9"/>
    <x v="279"/>
    <n v="116.78"/>
    <n v="2"/>
    <n v="21.9"/>
    <x v="3"/>
    <x v="0"/>
  </r>
  <r>
    <n v="44292"/>
    <x v="134"/>
    <x v="22"/>
    <x v="1"/>
    <x v="13"/>
    <x v="280"/>
    <n v="653.54999999999995"/>
    <n v="3"/>
    <n v="111.1"/>
    <x v="3"/>
    <x v="0"/>
  </r>
  <r>
    <n v="44292"/>
    <x v="134"/>
    <x v="22"/>
    <x v="2"/>
    <x v="9"/>
    <x v="281"/>
    <n v="33.9"/>
    <n v="2"/>
    <n v="2.0299999999999998"/>
    <x v="3"/>
    <x v="0"/>
  </r>
  <r>
    <n v="44292"/>
    <x v="135"/>
    <x v="3"/>
    <x v="1"/>
    <x v="8"/>
    <x v="282"/>
    <n v="91.96"/>
    <n v="2"/>
    <n v="15.63"/>
    <x v="3"/>
    <x v="0"/>
  </r>
  <r>
    <n v="44292"/>
    <x v="135"/>
    <x v="3"/>
    <x v="1"/>
    <x v="8"/>
    <x v="283"/>
    <n v="33.11"/>
    <n v="7"/>
    <n v="12.91"/>
    <x v="3"/>
    <x v="0"/>
  </r>
  <r>
    <n v="44292"/>
    <x v="135"/>
    <x v="3"/>
    <x v="0"/>
    <x v="0"/>
    <x v="284"/>
    <n v="19.440000000000001"/>
    <n v="3"/>
    <n v="9.33"/>
    <x v="3"/>
    <x v="0"/>
  </r>
  <r>
    <n v="44292"/>
    <x v="135"/>
    <x v="3"/>
    <x v="0"/>
    <x v="0"/>
    <x v="285"/>
    <n v="55.48"/>
    <n v="1"/>
    <n v="26.63"/>
    <x v="3"/>
    <x v="0"/>
  </r>
  <r>
    <n v="44292"/>
    <x v="136"/>
    <x v="3"/>
    <x v="0"/>
    <x v="4"/>
    <x v="286"/>
    <n v="70.95"/>
    <n v="3"/>
    <n v="18.45"/>
    <x v="3"/>
    <x v="0"/>
  </r>
  <r>
    <n v="44292"/>
    <x v="136"/>
    <x v="3"/>
    <x v="0"/>
    <x v="3"/>
    <x v="287"/>
    <n v="65.569999999999993"/>
    <n v="2"/>
    <n v="23.77"/>
    <x v="3"/>
    <x v="0"/>
  </r>
  <r>
    <n v="44292"/>
    <x v="136"/>
    <x v="3"/>
    <x v="2"/>
    <x v="9"/>
    <x v="288"/>
    <n v="299.97000000000003"/>
    <n v="3"/>
    <n v="131.99"/>
    <x v="3"/>
    <x v="0"/>
  </r>
  <r>
    <n v="44293"/>
    <x v="137"/>
    <x v="33"/>
    <x v="1"/>
    <x v="8"/>
    <x v="289"/>
    <n v="8.9600000000000009"/>
    <n v="2"/>
    <n v="2.78"/>
    <x v="3"/>
    <x v="0"/>
  </r>
  <r>
    <n v="44293"/>
    <x v="138"/>
    <x v="9"/>
    <x v="2"/>
    <x v="6"/>
    <x v="231"/>
    <n v="629.95000000000005"/>
    <n v="5"/>
    <n v="163.79"/>
    <x v="3"/>
    <x v="0"/>
  </r>
  <r>
    <n v="44293"/>
    <x v="138"/>
    <x v="9"/>
    <x v="0"/>
    <x v="0"/>
    <x v="290"/>
    <n v="122.97"/>
    <n v="3"/>
    <n v="60.26"/>
    <x v="3"/>
    <x v="0"/>
  </r>
  <r>
    <n v="44293"/>
    <x v="139"/>
    <x v="4"/>
    <x v="0"/>
    <x v="0"/>
    <x v="291"/>
    <n v="58.32"/>
    <n v="9"/>
    <n v="27.99"/>
    <x v="3"/>
    <x v="0"/>
  </r>
  <r>
    <n v="44293"/>
    <x v="139"/>
    <x v="4"/>
    <x v="2"/>
    <x v="6"/>
    <x v="292"/>
    <n v="200.97"/>
    <n v="3"/>
    <n v="50.24"/>
    <x v="3"/>
    <x v="0"/>
  </r>
  <r>
    <n v="44294"/>
    <x v="140"/>
    <x v="12"/>
    <x v="0"/>
    <x v="7"/>
    <x v="293"/>
    <n v="2.37"/>
    <n v="2"/>
    <n v="0.83"/>
    <x v="3"/>
    <x v="0"/>
  </r>
  <r>
    <n v="44294"/>
    <x v="140"/>
    <x v="12"/>
    <x v="0"/>
    <x v="0"/>
    <x v="294"/>
    <n v="19.010000000000002"/>
    <n v="3"/>
    <n v="6.89"/>
    <x v="3"/>
    <x v="0"/>
  </r>
  <r>
    <n v="44294"/>
    <x v="141"/>
    <x v="33"/>
    <x v="1"/>
    <x v="13"/>
    <x v="295"/>
    <n v="1215.92"/>
    <n v="8"/>
    <n v="316.14"/>
    <x v="3"/>
    <x v="0"/>
  </r>
  <r>
    <n v="44294"/>
    <x v="142"/>
    <x v="12"/>
    <x v="0"/>
    <x v="7"/>
    <x v="12"/>
    <n v="49.79"/>
    <n v="8"/>
    <n v="-11.83"/>
    <x v="3"/>
    <x v="0"/>
  </r>
  <r>
    <n v="44294"/>
    <x v="39"/>
    <x v="3"/>
    <x v="1"/>
    <x v="13"/>
    <x v="296"/>
    <n v="99.59"/>
    <n v="1"/>
    <n v="2.4900000000000002"/>
    <x v="3"/>
    <x v="0"/>
  </r>
  <r>
    <n v="44294"/>
    <x v="39"/>
    <x v="3"/>
    <x v="2"/>
    <x v="9"/>
    <x v="297"/>
    <n v="399.96"/>
    <n v="4"/>
    <n v="139.99"/>
    <x v="3"/>
    <x v="0"/>
  </r>
  <r>
    <n v="44294"/>
    <x v="143"/>
    <x v="10"/>
    <x v="1"/>
    <x v="13"/>
    <x v="298"/>
    <n v="172.11"/>
    <n v="1"/>
    <n v="-94.66"/>
    <x v="3"/>
    <x v="0"/>
  </r>
  <r>
    <n v="44297"/>
    <x v="144"/>
    <x v="16"/>
    <x v="0"/>
    <x v="7"/>
    <x v="299"/>
    <n v="6.91"/>
    <n v="3"/>
    <n v="2.33"/>
    <x v="3"/>
    <x v="0"/>
  </r>
  <r>
    <n v="44297"/>
    <x v="144"/>
    <x v="16"/>
    <x v="2"/>
    <x v="9"/>
    <x v="138"/>
    <n v="383.98"/>
    <n v="3"/>
    <n v="81.59"/>
    <x v="3"/>
    <x v="0"/>
  </r>
  <r>
    <n v="44297"/>
    <x v="144"/>
    <x v="16"/>
    <x v="0"/>
    <x v="0"/>
    <x v="300"/>
    <n v="10.37"/>
    <n v="2"/>
    <n v="3.63"/>
    <x v="3"/>
    <x v="0"/>
  </r>
  <r>
    <n v="44297"/>
    <x v="144"/>
    <x v="16"/>
    <x v="2"/>
    <x v="9"/>
    <x v="301"/>
    <n v="335.94"/>
    <n v="7"/>
    <n v="41.99"/>
    <x v="3"/>
    <x v="0"/>
  </r>
  <r>
    <n v="44297"/>
    <x v="145"/>
    <x v="34"/>
    <x v="0"/>
    <x v="3"/>
    <x v="302"/>
    <n v="9.58"/>
    <n v="1"/>
    <n v="3.35"/>
    <x v="3"/>
    <x v="0"/>
  </r>
  <r>
    <n v="44297"/>
    <x v="146"/>
    <x v="0"/>
    <x v="2"/>
    <x v="6"/>
    <x v="303"/>
    <n v="758.35"/>
    <n v="6"/>
    <n v="265.42"/>
    <x v="3"/>
    <x v="0"/>
  </r>
  <r>
    <n v="44297"/>
    <x v="147"/>
    <x v="35"/>
    <x v="0"/>
    <x v="2"/>
    <x v="304"/>
    <n v="87.08"/>
    <n v="7"/>
    <n v="24.38"/>
    <x v="3"/>
    <x v="0"/>
  </r>
  <r>
    <n v="44297"/>
    <x v="147"/>
    <x v="35"/>
    <x v="2"/>
    <x v="6"/>
    <x v="305"/>
    <n v="105.58"/>
    <n v="2"/>
    <n v="9.24"/>
    <x v="3"/>
    <x v="0"/>
  </r>
  <r>
    <n v="44297"/>
    <x v="147"/>
    <x v="35"/>
    <x v="2"/>
    <x v="9"/>
    <x v="306"/>
    <n v="217.44"/>
    <n v="6"/>
    <n v="91.32"/>
    <x v="3"/>
    <x v="0"/>
  </r>
  <r>
    <n v="44298"/>
    <x v="148"/>
    <x v="3"/>
    <x v="2"/>
    <x v="6"/>
    <x v="307"/>
    <n v="1075.0899999999999"/>
    <n v="14"/>
    <n v="94.07"/>
    <x v="3"/>
    <x v="0"/>
  </r>
  <r>
    <n v="44298"/>
    <x v="148"/>
    <x v="3"/>
    <x v="2"/>
    <x v="6"/>
    <x v="308"/>
    <n v="438.37"/>
    <n v="4"/>
    <n v="38.36"/>
    <x v="3"/>
    <x v="0"/>
  </r>
  <r>
    <n v="44298"/>
    <x v="148"/>
    <x v="3"/>
    <x v="0"/>
    <x v="3"/>
    <x v="309"/>
    <n v="18.09"/>
    <n v="7"/>
    <n v="6.56"/>
    <x v="3"/>
    <x v="0"/>
  </r>
  <r>
    <n v="44298"/>
    <x v="148"/>
    <x v="3"/>
    <x v="1"/>
    <x v="11"/>
    <x v="238"/>
    <n v="308.5"/>
    <n v="3"/>
    <n v="-18.149999999999999"/>
    <x v="3"/>
    <x v="0"/>
  </r>
  <r>
    <n v="44298"/>
    <x v="149"/>
    <x v="18"/>
    <x v="0"/>
    <x v="0"/>
    <x v="310"/>
    <n v="32.4"/>
    <n v="5"/>
    <n v="15.55"/>
    <x v="3"/>
    <x v="0"/>
  </r>
  <r>
    <n v="44298"/>
    <x v="150"/>
    <x v="3"/>
    <x v="0"/>
    <x v="4"/>
    <x v="311"/>
    <n v="39.68"/>
    <n v="2"/>
    <n v="16.27"/>
    <x v="3"/>
    <x v="0"/>
  </r>
  <r>
    <n v="44299"/>
    <x v="104"/>
    <x v="2"/>
    <x v="0"/>
    <x v="4"/>
    <x v="312"/>
    <n v="17.86"/>
    <n v="4"/>
    <n v="1.1200000000000001"/>
    <x v="3"/>
    <x v="0"/>
  </r>
  <r>
    <n v="44299"/>
    <x v="104"/>
    <x v="2"/>
    <x v="0"/>
    <x v="3"/>
    <x v="313"/>
    <n v="509.97"/>
    <n v="10"/>
    <n v="-407.98"/>
    <x v="3"/>
    <x v="0"/>
  </r>
  <r>
    <n v="44299"/>
    <x v="104"/>
    <x v="2"/>
    <x v="0"/>
    <x v="7"/>
    <x v="78"/>
    <n v="30.99"/>
    <n v="13"/>
    <n v="10.07"/>
    <x v="3"/>
    <x v="0"/>
  </r>
  <r>
    <n v="44299"/>
    <x v="104"/>
    <x v="2"/>
    <x v="2"/>
    <x v="6"/>
    <x v="314"/>
    <n v="71.930000000000007"/>
    <n v="12"/>
    <n v="8.39"/>
    <x v="3"/>
    <x v="0"/>
  </r>
  <r>
    <n v="44299"/>
    <x v="151"/>
    <x v="36"/>
    <x v="0"/>
    <x v="1"/>
    <x v="315"/>
    <n v="7.83"/>
    <n v="3"/>
    <n v="3.6"/>
    <x v="3"/>
    <x v="0"/>
  </r>
  <r>
    <n v="44301"/>
    <x v="152"/>
    <x v="3"/>
    <x v="0"/>
    <x v="12"/>
    <x v="316"/>
    <n v="106.96"/>
    <n v="2"/>
    <n v="31.02"/>
    <x v="3"/>
    <x v="0"/>
  </r>
  <r>
    <n v="44301"/>
    <x v="152"/>
    <x v="3"/>
    <x v="1"/>
    <x v="8"/>
    <x v="317"/>
    <n v="187.76"/>
    <n v="4"/>
    <n v="76.98"/>
    <x v="3"/>
    <x v="0"/>
  </r>
  <r>
    <n v="44302"/>
    <x v="153"/>
    <x v="25"/>
    <x v="0"/>
    <x v="4"/>
    <x v="4"/>
    <n v="39.07"/>
    <n v="6"/>
    <n v="9.77"/>
    <x v="3"/>
    <x v="0"/>
  </r>
  <r>
    <n v="44304"/>
    <x v="154"/>
    <x v="3"/>
    <x v="2"/>
    <x v="15"/>
    <x v="318"/>
    <n v="287.97000000000003"/>
    <n v="4"/>
    <n v="97.19"/>
    <x v="3"/>
    <x v="0"/>
  </r>
  <r>
    <n v="44304"/>
    <x v="154"/>
    <x v="3"/>
    <x v="0"/>
    <x v="4"/>
    <x v="44"/>
    <n v="13.12"/>
    <n v="4"/>
    <n v="3.8"/>
    <x v="3"/>
    <x v="0"/>
  </r>
  <r>
    <n v="44304"/>
    <x v="154"/>
    <x v="3"/>
    <x v="0"/>
    <x v="4"/>
    <x v="319"/>
    <n v="10.75"/>
    <n v="5"/>
    <n v="3.55"/>
    <x v="3"/>
    <x v="0"/>
  </r>
  <r>
    <n v="44304"/>
    <x v="154"/>
    <x v="3"/>
    <x v="0"/>
    <x v="7"/>
    <x v="320"/>
    <n v="11.62"/>
    <n v="2"/>
    <n v="3.6"/>
    <x v="3"/>
    <x v="0"/>
  </r>
  <r>
    <n v="44304"/>
    <x v="111"/>
    <x v="0"/>
    <x v="0"/>
    <x v="4"/>
    <x v="321"/>
    <n v="2.69"/>
    <n v="2"/>
    <n v="1.01"/>
    <x v="3"/>
    <x v="0"/>
  </r>
  <r>
    <n v="44304"/>
    <x v="111"/>
    <x v="0"/>
    <x v="1"/>
    <x v="5"/>
    <x v="322"/>
    <n v="317.06"/>
    <n v="3"/>
    <n v="-18.12"/>
    <x v="3"/>
    <x v="0"/>
  </r>
  <r>
    <n v="44304"/>
    <x v="111"/>
    <x v="0"/>
    <x v="0"/>
    <x v="10"/>
    <x v="323"/>
    <n v="149.35"/>
    <n v="3"/>
    <n v="50.41"/>
    <x v="3"/>
    <x v="0"/>
  </r>
  <r>
    <n v="44304"/>
    <x v="111"/>
    <x v="0"/>
    <x v="2"/>
    <x v="9"/>
    <x v="324"/>
    <n v="227.98"/>
    <n v="3"/>
    <n v="28.5"/>
    <x v="3"/>
    <x v="0"/>
  </r>
  <r>
    <n v="44305"/>
    <x v="155"/>
    <x v="3"/>
    <x v="1"/>
    <x v="8"/>
    <x v="325"/>
    <n v="76.14"/>
    <n v="3"/>
    <n v="26.65"/>
    <x v="3"/>
    <x v="0"/>
  </r>
  <r>
    <n v="44305"/>
    <x v="156"/>
    <x v="6"/>
    <x v="0"/>
    <x v="3"/>
    <x v="326"/>
    <n v="58.05"/>
    <n v="3"/>
    <n v="26.7"/>
    <x v="3"/>
    <x v="0"/>
  </r>
  <r>
    <n v="44305"/>
    <x v="156"/>
    <x v="6"/>
    <x v="0"/>
    <x v="0"/>
    <x v="327"/>
    <n v="71.28"/>
    <n v="11"/>
    <n v="34.21"/>
    <x v="3"/>
    <x v="0"/>
  </r>
  <r>
    <n v="44306"/>
    <x v="9"/>
    <x v="0"/>
    <x v="1"/>
    <x v="13"/>
    <x v="328"/>
    <n v="744.1"/>
    <n v="5"/>
    <n v="-95.67"/>
    <x v="3"/>
    <x v="0"/>
  </r>
  <r>
    <n v="44306"/>
    <x v="9"/>
    <x v="0"/>
    <x v="0"/>
    <x v="2"/>
    <x v="329"/>
    <n v="44.84"/>
    <n v="5"/>
    <n v="5.61"/>
    <x v="3"/>
    <x v="0"/>
  </r>
  <r>
    <n v="44306"/>
    <x v="9"/>
    <x v="0"/>
    <x v="1"/>
    <x v="13"/>
    <x v="298"/>
    <n v="401.59"/>
    <n v="2"/>
    <n v="-131.94999999999999"/>
    <x v="3"/>
    <x v="0"/>
  </r>
  <r>
    <n v="44306"/>
    <x v="157"/>
    <x v="3"/>
    <x v="1"/>
    <x v="8"/>
    <x v="330"/>
    <n v="59.92"/>
    <n v="4"/>
    <n v="27.56"/>
    <x v="3"/>
    <x v="0"/>
  </r>
  <r>
    <n v="44307"/>
    <x v="158"/>
    <x v="3"/>
    <x v="0"/>
    <x v="3"/>
    <x v="331"/>
    <n v="16.52"/>
    <n v="5"/>
    <n v="5.58"/>
    <x v="3"/>
    <x v="0"/>
  </r>
  <r>
    <n v="44307"/>
    <x v="159"/>
    <x v="5"/>
    <x v="0"/>
    <x v="2"/>
    <x v="332"/>
    <n v="828.84"/>
    <n v="6"/>
    <n v="0"/>
    <x v="3"/>
    <x v="0"/>
  </r>
  <r>
    <n v="44308"/>
    <x v="160"/>
    <x v="20"/>
    <x v="0"/>
    <x v="10"/>
    <x v="21"/>
    <n v="247.84"/>
    <n v="8"/>
    <n v="121.44"/>
    <x v="3"/>
    <x v="0"/>
  </r>
  <r>
    <n v="44308"/>
    <x v="160"/>
    <x v="20"/>
    <x v="0"/>
    <x v="3"/>
    <x v="333"/>
    <n v="9.91"/>
    <n v="3"/>
    <n v="3.35"/>
    <x v="3"/>
    <x v="0"/>
  </r>
  <r>
    <n v="44309"/>
    <x v="161"/>
    <x v="2"/>
    <x v="0"/>
    <x v="3"/>
    <x v="334"/>
    <n v="2.5"/>
    <n v="3"/>
    <n v="-1.75"/>
    <x v="3"/>
    <x v="0"/>
  </r>
  <r>
    <n v="44309"/>
    <x v="162"/>
    <x v="10"/>
    <x v="1"/>
    <x v="5"/>
    <x v="249"/>
    <n v="281.37"/>
    <n v="2"/>
    <n v="-12.06"/>
    <x v="3"/>
    <x v="0"/>
  </r>
  <r>
    <n v="44309"/>
    <x v="162"/>
    <x v="10"/>
    <x v="0"/>
    <x v="3"/>
    <x v="253"/>
    <n v="7.49"/>
    <n v="8"/>
    <n v="-5.24"/>
    <x v="3"/>
    <x v="0"/>
  </r>
  <r>
    <n v="44309"/>
    <x v="162"/>
    <x v="10"/>
    <x v="1"/>
    <x v="8"/>
    <x v="335"/>
    <n v="22.34"/>
    <n v="4"/>
    <n v="7.82"/>
    <x v="3"/>
    <x v="0"/>
  </r>
  <r>
    <n v="44309"/>
    <x v="39"/>
    <x v="3"/>
    <x v="0"/>
    <x v="0"/>
    <x v="141"/>
    <n v="48.91"/>
    <n v="1"/>
    <n v="22.99"/>
    <x v="3"/>
    <x v="0"/>
  </r>
  <r>
    <n v="44311"/>
    <x v="163"/>
    <x v="0"/>
    <x v="0"/>
    <x v="0"/>
    <x v="336"/>
    <n v="10.37"/>
    <n v="2"/>
    <n v="3.63"/>
    <x v="3"/>
    <x v="0"/>
  </r>
  <r>
    <n v="44311"/>
    <x v="163"/>
    <x v="0"/>
    <x v="0"/>
    <x v="4"/>
    <x v="337"/>
    <n v="6.24"/>
    <n v="3"/>
    <n v="0.55000000000000004"/>
    <x v="3"/>
    <x v="0"/>
  </r>
  <r>
    <n v="44311"/>
    <x v="164"/>
    <x v="25"/>
    <x v="2"/>
    <x v="6"/>
    <x v="338"/>
    <n v="302.38"/>
    <n v="3"/>
    <n v="37.799999999999997"/>
    <x v="3"/>
    <x v="0"/>
  </r>
  <r>
    <n v="44311"/>
    <x v="165"/>
    <x v="3"/>
    <x v="1"/>
    <x v="8"/>
    <x v="339"/>
    <n v="303.25"/>
    <n v="5"/>
    <n v="63.68"/>
    <x v="3"/>
    <x v="0"/>
  </r>
  <r>
    <n v="44311"/>
    <x v="165"/>
    <x v="3"/>
    <x v="0"/>
    <x v="12"/>
    <x v="340"/>
    <n v="270.72000000000003"/>
    <n v="3"/>
    <n v="78.510000000000005"/>
    <x v="3"/>
    <x v="0"/>
  </r>
  <r>
    <n v="44311"/>
    <x v="165"/>
    <x v="3"/>
    <x v="1"/>
    <x v="5"/>
    <x v="341"/>
    <n v="1487.04"/>
    <n v="5"/>
    <n v="148.69999999999999"/>
    <x v="3"/>
    <x v="0"/>
  </r>
  <r>
    <n v="44312"/>
    <x v="166"/>
    <x v="3"/>
    <x v="1"/>
    <x v="5"/>
    <x v="342"/>
    <n v="230.28"/>
    <n v="3"/>
    <n v="23.03"/>
    <x v="3"/>
    <x v="0"/>
  </r>
  <r>
    <n v="44312"/>
    <x v="166"/>
    <x v="3"/>
    <x v="0"/>
    <x v="3"/>
    <x v="343"/>
    <n v="18.29"/>
    <n v="6"/>
    <n v="5.72"/>
    <x v="3"/>
    <x v="0"/>
  </r>
  <r>
    <n v="44312"/>
    <x v="167"/>
    <x v="3"/>
    <x v="0"/>
    <x v="4"/>
    <x v="344"/>
    <n v="21.4"/>
    <n v="5"/>
    <n v="6.21"/>
    <x v="3"/>
    <x v="0"/>
  </r>
  <r>
    <n v="44312"/>
    <x v="167"/>
    <x v="3"/>
    <x v="0"/>
    <x v="1"/>
    <x v="131"/>
    <n v="12.6"/>
    <n v="2"/>
    <n v="5.8"/>
    <x v="3"/>
    <x v="0"/>
  </r>
  <r>
    <n v="44314"/>
    <x v="168"/>
    <x v="36"/>
    <x v="0"/>
    <x v="3"/>
    <x v="345"/>
    <n v="20.86"/>
    <n v="2"/>
    <n v="9.39"/>
    <x v="3"/>
    <x v="0"/>
  </r>
  <r>
    <n v="44314"/>
    <x v="168"/>
    <x v="36"/>
    <x v="0"/>
    <x v="2"/>
    <x v="346"/>
    <n v="497.61"/>
    <n v="9"/>
    <n v="129.38"/>
    <x v="3"/>
    <x v="0"/>
  </r>
  <r>
    <n v="44314"/>
    <x v="168"/>
    <x v="36"/>
    <x v="0"/>
    <x v="4"/>
    <x v="347"/>
    <n v="5.34"/>
    <n v="2"/>
    <n v="1.5"/>
    <x v="3"/>
    <x v="0"/>
  </r>
  <r>
    <n v="44314"/>
    <x v="168"/>
    <x v="36"/>
    <x v="0"/>
    <x v="1"/>
    <x v="348"/>
    <n v="3.15"/>
    <n v="1"/>
    <n v="1.51"/>
    <x v="3"/>
    <x v="0"/>
  </r>
  <r>
    <n v="44314"/>
    <x v="169"/>
    <x v="10"/>
    <x v="0"/>
    <x v="1"/>
    <x v="349"/>
    <n v="6.91"/>
    <n v="3"/>
    <n v="2.5099999999999998"/>
    <x v="3"/>
    <x v="0"/>
  </r>
  <r>
    <n v="44314"/>
    <x v="169"/>
    <x v="10"/>
    <x v="0"/>
    <x v="2"/>
    <x v="350"/>
    <n v="27.1"/>
    <n v="3"/>
    <n v="2.0299999999999998"/>
    <x v="3"/>
    <x v="0"/>
  </r>
  <r>
    <n v="44314"/>
    <x v="169"/>
    <x v="10"/>
    <x v="0"/>
    <x v="2"/>
    <x v="351"/>
    <n v="177.57"/>
    <n v="2"/>
    <n v="-37.729999999999997"/>
    <x v="3"/>
    <x v="0"/>
  </r>
  <r>
    <n v="44314"/>
    <x v="170"/>
    <x v="3"/>
    <x v="2"/>
    <x v="6"/>
    <x v="352"/>
    <n v="1679.96"/>
    <n v="5"/>
    <n v="126"/>
    <x v="3"/>
    <x v="0"/>
  </r>
  <r>
    <n v="44314"/>
    <x v="171"/>
    <x v="20"/>
    <x v="2"/>
    <x v="9"/>
    <x v="102"/>
    <n v="159.97999999999999"/>
    <n v="2"/>
    <n v="57.59"/>
    <x v="3"/>
    <x v="0"/>
  </r>
  <r>
    <n v="44315"/>
    <x v="172"/>
    <x v="20"/>
    <x v="1"/>
    <x v="8"/>
    <x v="353"/>
    <n v="17.46"/>
    <n v="2"/>
    <n v="5.94"/>
    <x v="3"/>
    <x v="0"/>
  </r>
  <r>
    <n v="44315"/>
    <x v="173"/>
    <x v="8"/>
    <x v="1"/>
    <x v="5"/>
    <x v="241"/>
    <n v="51.96"/>
    <n v="2"/>
    <n v="12.99"/>
    <x v="3"/>
    <x v="0"/>
  </r>
  <r>
    <n v="44315"/>
    <x v="173"/>
    <x v="8"/>
    <x v="0"/>
    <x v="3"/>
    <x v="176"/>
    <n v="17.940000000000001"/>
    <n v="3"/>
    <n v="8.61"/>
    <x v="3"/>
    <x v="0"/>
  </r>
  <r>
    <n v="44315"/>
    <x v="174"/>
    <x v="15"/>
    <x v="1"/>
    <x v="5"/>
    <x v="354"/>
    <n v="561.58000000000004"/>
    <n v="2"/>
    <n v="70.2"/>
    <x v="3"/>
    <x v="0"/>
  </r>
  <r>
    <n v="44315"/>
    <x v="174"/>
    <x v="15"/>
    <x v="0"/>
    <x v="2"/>
    <x v="355"/>
    <n v="99.92"/>
    <n v="5"/>
    <n v="-1.25"/>
    <x v="3"/>
    <x v="0"/>
  </r>
  <r>
    <n v="44315"/>
    <x v="175"/>
    <x v="7"/>
    <x v="2"/>
    <x v="6"/>
    <x v="356"/>
    <n v="19.98"/>
    <n v="2"/>
    <n v="5.19"/>
    <x v="3"/>
    <x v="0"/>
  </r>
  <r>
    <n v="44316"/>
    <x v="51"/>
    <x v="29"/>
    <x v="2"/>
    <x v="9"/>
    <x v="357"/>
    <n v="47.79"/>
    <n v="3"/>
    <n v="16.25"/>
    <x v="3"/>
    <x v="0"/>
  </r>
  <r>
    <n v="44316"/>
    <x v="176"/>
    <x v="5"/>
    <x v="0"/>
    <x v="4"/>
    <x v="358"/>
    <n v="174.95"/>
    <n v="5"/>
    <n v="45.49"/>
    <x v="3"/>
    <x v="0"/>
  </r>
  <r>
    <n v="44316"/>
    <x v="176"/>
    <x v="5"/>
    <x v="0"/>
    <x v="2"/>
    <x v="216"/>
    <n v="826"/>
    <n v="5"/>
    <n v="214.76"/>
    <x v="3"/>
    <x v="0"/>
  </r>
  <r>
    <n v="44318"/>
    <x v="177"/>
    <x v="10"/>
    <x v="0"/>
    <x v="12"/>
    <x v="188"/>
    <n v="26.14"/>
    <n v="3"/>
    <n v="1.96"/>
    <x v="4"/>
    <x v="0"/>
  </r>
  <r>
    <n v="44318"/>
    <x v="178"/>
    <x v="16"/>
    <x v="2"/>
    <x v="16"/>
    <x v="359"/>
    <n v="479.98"/>
    <n v="2"/>
    <n v="90"/>
    <x v="4"/>
    <x v="0"/>
  </r>
  <r>
    <n v="44319"/>
    <x v="179"/>
    <x v="21"/>
    <x v="0"/>
    <x v="1"/>
    <x v="360"/>
    <n v="21.56"/>
    <n v="7"/>
    <n v="10.35"/>
    <x v="4"/>
    <x v="0"/>
  </r>
  <r>
    <n v="44319"/>
    <x v="180"/>
    <x v="20"/>
    <x v="0"/>
    <x v="3"/>
    <x v="361"/>
    <n v="40.18"/>
    <n v="3"/>
    <n v="14.56"/>
    <x v="4"/>
    <x v="0"/>
  </r>
  <r>
    <n v="44319"/>
    <x v="180"/>
    <x v="20"/>
    <x v="0"/>
    <x v="3"/>
    <x v="362"/>
    <n v="10.9"/>
    <n v="3"/>
    <n v="3.95"/>
    <x v="4"/>
    <x v="0"/>
  </r>
  <r>
    <n v="44320"/>
    <x v="181"/>
    <x v="14"/>
    <x v="0"/>
    <x v="3"/>
    <x v="363"/>
    <n v="46.8"/>
    <n v="4"/>
    <n v="21.06"/>
    <x v="4"/>
    <x v="0"/>
  </r>
  <r>
    <n v="44320"/>
    <x v="182"/>
    <x v="37"/>
    <x v="1"/>
    <x v="8"/>
    <x v="211"/>
    <n v="27.46"/>
    <n v="2"/>
    <n v="9.89"/>
    <x v="4"/>
    <x v="0"/>
  </r>
  <r>
    <n v="44320"/>
    <x v="115"/>
    <x v="0"/>
    <x v="0"/>
    <x v="4"/>
    <x v="286"/>
    <n v="37.840000000000003"/>
    <n v="2"/>
    <n v="2.84"/>
    <x v="4"/>
    <x v="0"/>
  </r>
  <r>
    <n v="44320"/>
    <x v="115"/>
    <x v="0"/>
    <x v="0"/>
    <x v="7"/>
    <x v="364"/>
    <n v="5.47"/>
    <n v="6"/>
    <n v="1.85"/>
    <x v="4"/>
    <x v="0"/>
  </r>
  <r>
    <n v="44320"/>
    <x v="183"/>
    <x v="22"/>
    <x v="1"/>
    <x v="8"/>
    <x v="365"/>
    <n v="12.18"/>
    <n v="7"/>
    <n v="3.9"/>
    <x v="4"/>
    <x v="0"/>
  </r>
  <r>
    <n v="44320"/>
    <x v="183"/>
    <x v="22"/>
    <x v="0"/>
    <x v="12"/>
    <x v="366"/>
    <n v="57.68"/>
    <n v="4"/>
    <n v="19.03"/>
    <x v="4"/>
    <x v="0"/>
  </r>
  <r>
    <n v="44321"/>
    <x v="184"/>
    <x v="5"/>
    <x v="0"/>
    <x v="0"/>
    <x v="367"/>
    <n v="9.42"/>
    <n v="3"/>
    <n v="4.24"/>
    <x v="4"/>
    <x v="0"/>
  </r>
  <r>
    <n v="44321"/>
    <x v="184"/>
    <x v="5"/>
    <x v="0"/>
    <x v="4"/>
    <x v="368"/>
    <n v="6.56"/>
    <n v="2"/>
    <n v="1.9"/>
    <x v="4"/>
    <x v="0"/>
  </r>
  <r>
    <n v="44321"/>
    <x v="184"/>
    <x v="5"/>
    <x v="0"/>
    <x v="0"/>
    <x v="369"/>
    <n v="24.56"/>
    <n v="2"/>
    <n v="11.54"/>
    <x v="4"/>
    <x v="0"/>
  </r>
  <r>
    <n v="44321"/>
    <x v="185"/>
    <x v="0"/>
    <x v="1"/>
    <x v="5"/>
    <x v="94"/>
    <n v="127.87"/>
    <n v="3"/>
    <n v="-9.1300000000000008"/>
    <x v="4"/>
    <x v="0"/>
  </r>
  <r>
    <n v="44321"/>
    <x v="121"/>
    <x v="1"/>
    <x v="0"/>
    <x v="2"/>
    <x v="370"/>
    <n v="45.25"/>
    <n v="2"/>
    <n v="3.96"/>
    <x v="4"/>
    <x v="0"/>
  </r>
  <r>
    <n v="44321"/>
    <x v="186"/>
    <x v="6"/>
    <x v="0"/>
    <x v="3"/>
    <x v="56"/>
    <n v="11.88"/>
    <n v="2"/>
    <n v="5.35"/>
    <x v="4"/>
    <x v="0"/>
  </r>
  <r>
    <n v="44321"/>
    <x v="186"/>
    <x v="6"/>
    <x v="0"/>
    <x v="0"/>
    <x v="371"/>
    <n v="35.44"/>
    <n v="1"/>
    <n v="16.66"/>
    <x v="4"/>
    <x v="0"/>
  </r>
  <r>
    <n v="44322"/>
    <x v="187"/>
    <x v="3"/>
    <x v="0"/>
    <x v="3"/>
    <x v="372"/>
    <n v="140.74"/>
    <n v="8"/>
    <n v="52.78"/>
    <x v="4"/>
    <x v="0"/>
  </r>
  <r>
    <n v="44322"/>
    <x v="188"/>
    <x v="3"/>
    <x v="0"/>
    <x v="1"/>
    <x v="115"/>
    <n v="5.78"/>
    <n v="2"/>
    <n v="2.72"/>
    <x v="4"/>
    <x v="0"/>
  </r>
  <r>
    <n v="44322"/>
    <x v="188"/>
    <x v="3"/>
    <x v="0"/>
    <x v="4"/>
    <x v="373"/>
    <n v="107.94"/>
    <n v="6"/>
    <n v="30.22"/>
    <x v="4"/>
    <x v="0"/>
  </r>
  <r>
    <n v="44323"/>
    <x v="189"/>
    <x v="32"/>
    <x v="0"/>
    <x v="3"/>
    <x v="374"/>
    <n v="16.14"/>
    <n v="3"/>
    <n v="7.91"/>
    <x v="4"/>
    <x v="0"/>
  </r>
  <r>
    <n v="44323"/>
    <x v="189"/>
    <x v="32"/>
    <x v="1"/>
    <x v="13"/>
    <x v="71"/>
    <n v="194.25"/>
    <n v="2"/>
    <n v="-38.85"/>
    <x v="4"/>
    <x v="0"/>
  </r>
  <r>
    <n v="44323"/>
    <x v="189"/>
    <x v="32"/>
    <x v="0"/>
    <x v="4"/>
    <x v="375"/>
    <n v="8.64"/>
    <n v="3"/>
    <n v="2.5099999999999998"/>
    <x v="4"/>
    <x v="0"/>
  </r>
  <r>
    <n v="44323"/>
    <x v="189"/>
    <x v="32"/>
    <x v="1"/>
    <x v="5"/>
    <x v="376"/>
    <n v="872.32"/>
    <n v="4"/>
    <n v="244.25"/>
    <x v="4"/>
    <x v="0"/>
  </r>
  <r>
    <n v="44324"/>
    <x v="73"/>
    <x v="2"/>
    <x v="2"/>
    <x v="16"/>
    <x v="377"/>
    <n v="1799.97"/>
    <n v="5"/>
    <n v="240"/>
    <x v="4"/>
    <x v="0"/>
  </r>
  <r>
    <n v="44325"/>
    <x v="190"/>
    <x v="3"/>
    <x v="2"/>
    <x v="9"/>
    <x v="281"/>
    <n v="67.8"/>
    <n v="4"/>
    <n v="4.07"/>
    <x v="4"/>
    <x v="0"/>
  </r>
  <r>
    <n v="44325"/>
    <x v="190"/>
    <x v="3"/>
    <x v="2"/>
    <x v="9"/>
    <x v="378"/>
    <n v="167.97"/>
    <n v="3"/>
    <n v="40.31"/>
    <x v="4"/>
    <x v="0"/>
  </r>
  <r>
    <n v="44325"/>
    <x v="191"/>
    <x v="5"/>
    <x v="0"/>
    <x v="2"/>
    <x v="379"/>
    <n v="83.25"/>
    <n v="3"/>
    <n v="14.99"/>
    <x v="4"/>
    <x v="0"/>
  </r>
  <r>
    <n v="44325"/>
    <x v="191"/>
    <x v="5"/>
    <x v="0"/>
    <x v="1"/>
    <x v="260"/>
    <n v="9.4499999999999993"/>
    <n v="3"/>
    <n v="4.54"/>
    <x v="4"/>
    <x v="0"/>
  </r>
  <r>
    <n v="44325"/>
    <x v="191"/>
    <x v="5"/>
    <x v="0"/>
    <x v="1"/>
    <x v="380"/>
    <n v="20.65"/>
    <n v="5"/>
    <n v="9.5"/>
    <x v="4"/>
    <x v="0"/>
  </r>
  <r>
    <n v="44325"/>
    <x v="191"/>
    <x v="5"/>
    <x v="0"/>
    <x v="0"/>
    <x v="381"/>
    <n v="45.36"/>
    <n v="7"/>
    <n v="21.77"/>
    <x v="4"/>
    <x v="0"/>
  </r>
  <r>
    <n v="44326"/>
    <x v="170"/>
    <x v="22"/>
    <x v="0"/>
    <x v="10"/>
    <x v="382"/>
    <n v="158.13"/>
    <n v="3"/>
    <n v="77.48"/>
    <x v="4"/>
    <x v="0"/>
  </r>
  <r>
    <n v="44326"/>
    <x v="170"/>
    <x v="22"/>
    <x v="2"/>
    <x v="6"/>
    <x v="383"/>
    <n v="43.6"/>
    <n v="5"/>
    <n v="4.3600000000000003"/>
    <x v="4"/>
    <x v="0"/>
  </r>
  <r>
    <n v="44326"/>
    <x v="192"/>
    <x v="2"/>
    <x v="1"/>
    <x v="11"/>
    <x v="384"/>
    <n v="349.97"/>
    <n v="7"/>
    <n v="-216.98"/>
    <x v="4"/>
    <x v="0"/>
  </r>
  <r>
    <n v="44326"/>
    <x v="192"/>
    <x v="2"/>
    <x v="0"/>
    <x v="4"/>
    <x v="385"/>
    <n v="22.32"/>
    <n v="5"/>
    <n v="5.3"/>
    <x v="4"/>
    <x v="0"/>
  </r>
  <r>
    <n v="44326"/>
    <x v="193"/>
    <x v="3"/>
    <x v="0"/>
    <x v="0"/>
    <x v="386"/>
    <n v="39.96"/>
    <n v="2"/>
    <n v="19.18"/>
    <x v="4"/>
    <x v="0"/>
  </r>
  <r>
    <n v="44326"/>
    <x v="193"/>
    <x v="3"/>
    <x v="2"/>
    <x v="6"/>
    <x v="387"/>
    <n v="1432"/>
    <n v="5"/>
    <n v="125.3"/>
    <x v="4"/>
    <x v="0"/>
  </r>
  <r>
    <n v="44326"/>
    <x v="193"/>
    <x v="3"/>
    <x v="0"/>
    <x v="14"/>
    <x v="388"/>
    <n v="41.04"/>
    <n v="6"/>
    <n v="11.08"/>
    <x v="4"/>
    <x v="0"/>
  </r>
  <r>
    <n v="44326"/>
    <x v="193"/>
    <x v="3"/>
    <x v="1"/>
    <x v="5"/>
    <x v="389"/>
    <n v="256.77999999999997"/>
    <n v="1"/>
    <n v="32.1"/>
    <x v="4"/>
    <x v="0"/>
  </r>
  <r>
    <n v="44327"/>
    <x v="194"/>
    <x v="0"/>
    <x v="2"/>
    <x v="9"/>
    <x v="390"/>
    <n v="58.11"/>
    <n v="2"/>
    <n v="7.26"/>
    <x v="4"/>
    <x v="0"/>
  </r>
  <r>
    <n v="44327"/>
    <x v="194"/>
    <x v="0"/>
    <x v="2"/>
    <x v="6"/>
    <x v="391"/>
    <n v="100.79"/>
    <n v="1"/>
    <n v="6.3"/>
    <x v="4"/>
    <x v="0"/>
  </r>
  <r>
    <n v="44327"/>
    <x v="194"/>
    <x v="0"/>
    <x v="1"/>
    <x v="8"/>
    <x v="392"/>
    <n v="66.11"/>
    <n v="4"/>
    <n v="-84.29"/>
    <x v="4"/>
    <x v="0"/>
  </r>
  <r>
    <n v="44327"/>
    <x v="195"/>
    <x v="0"/>
    <x v="2"/>
    <x v="9"/>
    <x v="393"/>
    <n v="46.86"/>
    <n v="2"/>
    <n v="7.62"/>
    <x v="4"/>
    <x v="0"/>
  </r>
  <r>
    <n v="44327"/>
    <x v="196"/>
    <x v="20"/>
    <x v="0"/>
    <x v="12"/>
    <x v="394"/>
    <n v="35.909999999999997"/>
    <n v="3"/>
    <n v="9.6999999999999993"/>
    <x v="4"/>
    <x v="0"/>
  </r>
  <r>
    <n v="44327"/>
    <x v="197"/>
    <x v="0"/>
    <x v="1"/>
    <x v="5"/>
    <x v="395"/>
    <n v="1212.96"/>
    <n v="8"/>
    <n v="-69.31"/>
    <x v="4"/>
    <x v="0"/>
  </r>
  <r>
    <n v="44327"/>
    <x v="198"/>
    <x v="1"/>
    <x v="0"/>
    <x v="0"/>
    <x v="121"/>
    <n v="17.47"/>
    <n v="3"/>
    <n v="5.68"/>
    <x v="4"/>
    <x v="0"/>
  </r>
  <r>
    <n v="44327"/>
    <x v="198"/>
    <x v="1"/>
    <x v="0"/>
    <x v="3"/>
    <x v="396"/>
    <n v="104.58"/>
    <n v="9"/>
    <n v="-172.56"/>
    <x v="4"/>
    <x v="0"/>
  </r>
  <r>
    <n v="44328"/>
    <x v="19"/>
    <x v="21"/>
    <x v="1"/>
    <x v="8"/>
    <x v="20"/>
    <n v="34.79"/>
    <n v="7"/>
    <n v="10.78"/>
    <x v="4"/>
    <x v="0"/>
  </r>
  <r>
    <n v="44328"/>
    <x v="73"/>
    <x v="32"/>
    <x v="1"/>
    <x v="13"/>
    <x v="397"/>
    <n v="700.06"/>
    <n v="3"/>
    <n v="-130.01"/>
    <x v="4"/>
    <x v="0"/>
  </r>
  <r>
    <n v="44329"/>
    <x v="199"/>
    <x v="27"/>
    <x v="0"/>
    <x v="2"/>
    <x v="379"/>
    <n v="55.5"/>
    <n v="2"/>
    <n v="9.99"/>
    <x v="4"/>
    <x v="0"/>
  </r>
  <r>
    <n v="44329"/>
    <x v="200"/>
    <x v="16"/>
    <x v="0"/>
    <x v="7"/>
    <x v="78"/>
    <n v="7.1"/>
    <n v="2"/>
    <n v="2.4"/>
    <x v="4"/>
    <x v="0"/>
  </r>
  <r>
    <n v="44329"/>
    <x v="200"/>
    <x v="16"/>
    <x v="0"/>
    <x v="3"/>
    <x v="398"/>
    <n v="398.35"/>
    <n v="8"/>
    <n v="-331.96"/>
    <x v="4"/>
    <x v="0"/>
  </r>
  <r>
    <n v="44329"/>
    <x v="201"/>
    <x v="3"/>
    <x v="2"/>
    <x v="9"/>
    <x v="399"/>
    <n v="149.97"/>
    <n v="3"/>
    <n v="52.49"/>
    <x v="4"/>
    <x v="0"/>
  </r>
  <r>
    <n v="44329"/>
    <x v="160"/>
    <x v="3"/>
    <x v="1"/>
    <x v="5"/>
    <x v="221"/>
    <n v="279.45999999999998"/>
    <n v="6"/>
    <n v="20.96"/>
    <x v="4"/>
    <x v="0"/>
  </r>
  <r>
    <n v="44329"/>
    <x v="160"/>
    <x v="3"/>
    <x v="0"/>
    <x v="0"/>
    <x v="187"/>
    <n v="8"/>
    <n v="2"/>
    <n v="3.84"/>
    <x v="4"/>
    <x v="0"/>
  </r>
  <r>
    <n v="44330"/>
    <x v="202"/>
    <x v="16"/>
    <x v="1"/>
    <x v="8"/>
    <x v="400"/>
    <n v="310.88"/>
    <n v="2"/>
    <n v="23.32"/>
    <x v="4"/>
    <x v="0"/>
  </r>
  <r>
    <n v="44332"/>
    <x v="203"/>
    <x v="3"/>
    <x v="1"/>
    <x v="5"/>
    <x v="221"/>
    <n v="232.88"/>
    <n v="5"/>
    <n v="17.47"/>
    <x v="4"/>
    <x v="0"/>
  </r>
  <r>
    <n v="44332"/>
    <x v="204"/>
    <x v="3"/>
    <x v="2"/>
    <x v="9"/>
    <x v="401"/>
    <n v="56.4"/>
    <n v="3"/>
    <n v="3.38"/>
    <x v="4"/>
    <x v="0"/>
  </r>
  <r>
    <n v="44333"/>
    <x v="205"/>
    <x v="21"/>
    <x v="0"/>
    <x v="3"/>
    <x v="79"/>
    <n v="91.68"/>
    <n v="3"/>
    <n v="45.84"/>
    <x v="4"/>
    <x v="0"/>
  </r>
  <r>
    <n v="44334"/>
    <x v="206"/>
    <x v="10"/>
    <x v="2"/>
    <x v="6"/>
    <x v="402"/>
    <n v="779.8"/>
    <n v="2"/>
    <n v="-168.96"/>
    <x v="4"/>
    <x v="0"/>
  </r>
  <r>
    <n v="44334"/>
    <x v="207"/>
    <x v="10"/>
    <x v="1"/>
    <x v="8"/>
    <x v="403"/>
    <n v="149.22999999999999"/>
    <n v="3"/>
    <n v="3.73"/>
    <x v="4"/>
    <x v="0"/>
  </r>
  <r>
    <n v="44334"/>
    <x v="207"/>
    <x v="10"/>
    <x v="0"/>
    <x v="0"/>
    <x v="404"/>
    <n v="15.94"/>
    <n v="4"/>
    <n v="5.78"/>
    <x v="4"/>
    <x v="0"/>
  </r>
  <r>
    <n v="44334"/>
    <x v="208"/>
    <x v="0"/>
    <x v="0"/>
    <x v="0"/>
    <x v="404"/>
    <n v="3.98"/>
    <n v="1"/>
    <n v="1.44"/>
    <x v="4"/>
    <x v="0"/>
  </r>
  <r>
    <n v="44335"/>
    <x v="209"/>
    <x v="14"/>
    <x v="0"/>
    <x v="3"/>
    <x v="405"/>
    <n v="57.42"/>
    <n v="9"/>
    <n v="26.41"/>
    <x v="4"/>
    <x v="0"/>
  </r>
  <r>
    <n v="44335"/>
    <x v="210"/>
    <x v="6"/>
    <x v="0"/>
    <x v="14"/>
    <x v="388"/>
    <n v="34.200000000000003"/>
    <n v="5"/>
    <n v="9.23"/>
    <x v="4"/>
    <x v="0"/>
  </r>
  <r>
    <n v="44336"/>
    <x v="211"/>
    <x v="38"/>
    <x v="0"/>
    <x v="12"/>
    <x v="406"/>
    <n v="33.28"/>
    <n v="4"/>
    <n v="9.32"/>
    <x v="4"/>
    <x v="0"/>
  </r>
  <r>
    <n v="44336"/>
    <x v="211"/>
    <x v="38"/>
    <x v="0"/>
    <x v="4"/>
    <x v="407"/>
    <n v="38.520000000000003"/>
    <n v="9"/>
    <n v="11.94"/>
    <x v="4"/>
    <x v="0"/>
  </r>
  <r>
    <n v="44336"/>
    <x v="211"/>
    <x v="38"/>
    <x v="1"/>
    <x v="8"/>
    <x v="408"/>
    <n v="139.86000000000001"/>
    <n v="7"/>
    <n v="60.14"/>
    <x v="4"/>
    <x v="0"/>
  </r>
  <r>
    <n v="44336"/>
    <x v="212"/>
    <x v="0"/>
    <x v="1"/>
    <x v="8"/>
    <x v="409"/>
    <n v="10.33"/>
    <n v="3"/>
    <n v="-5.94"/>
    <x v="4"/>
    <x v="0"/>
  </r>
  <r>
    <n v="44336"/>
    <x v="212"/>
    <x v="0"/>
    <x v="0"/>
    <x v="0"/>
    <x v="310"/>
    <n v="10.37"/>
    <n v="2"/>
    <n v="3.63"/>
    <x v="4"/>
    <x v="0"/>
  </r>
  <r>
    <n v="44336"/>
    <x v="212"/>
    <x v="0"/>
    <x v="2"/>
    <x v="9"/>
    <x v="410"/>
    <n v="20.78"/>
    <n v="2"/>
    <n v="-3.64"/>
    <x v="4"/>
    <x v="0"/>
  </r>
  <r>
    <n v="44336"/>
    <x v="212"/>
    <x v="0"/>
    <x v="0"/>
    <x v="2"/>
    <x v="252"/>
    <n v="66.959999999999994"/>
    <n v="5"/>
    <n v="-13.39"/>
    <x v="4"/>
    <x v="0"/>
  </r>
  <r>
    <n v="44337"/>
    <x v="213"/>
    <x v="6"/>
    <x v="0"/>
    <x v="3"/>
    <x v="411"/>
    <n v="2715.93"/>
    <n v="7"/>
    <n v="1276.49"/>
    <x v="4"/>
    <x v="0"/>
  </r>
  <r>
    <n v="44337"/>
    <x v="213"/>
    <x v="6"/>
    <x v="2"/>
    <x v="6"/>
    <x v="412"/>
    <n v="617.97"/>
    <n v="3"/>
    <n v="173.03"/>
    <x v="4"/>
    <x v="0"/>
  </r>
  <r>
    <n v="44337"/>
    <x v="214"/>
    <x v="3"/>
    <x v="0"/>
    <x v="4"/>
    <x v="29"/>
    <n v="31.84"/>
    <n v="8"/>
    <n v="10.51"/>
    <x v="4"/>
    <x v="0"/>
  </r>
  <r>
    <n v="44337"/>
    <x v="215"/>
    <x v="32"/>
    <x v="0"/>
    <x v="3"/>
    <x v="413"/>
    <n v="447.86"/>
    <n v="7"/>
    <n v="219.45"/>
    <x v="4"/>
    <x v="0"/>
  </r>
  <r>
    <n v="44337"/>
    <x v="215"/>
    <x v="32"/>
    <x v="0"/>
    <x v="0"/>
    <x v="414"/>
    <n v="17.940000000000001"/>
    <n v="3"/>
    <n v="8.7899999999999991"/>
    <x v="4"/>
    <x v="0"/>
  </r>
  <r>
    <n v="44337"/>
    <x v="215"/>
    <x v="32"/>
    <x v="0"/>
    <x v="12"/>
    <x v="103"/>
    <n v="245.88"/>
    <n v="6"/>
    <n v="68.849999999999994"/>
    <x v="4"/>
    <x v="0"/>
  </r>
  <r>
    <n v="44337"/>
    <x v="175"/>
    <x v="0"/>
    <x v="0"/>
    <x v="10"/>
    <x v="21"/>
    <n v="56.06"/>
    <n v="6"/>
    <n v="21.02"/>
    <x v="4"/>
    <x v="0"/>
  </r>
  <r>
    <n v="44337"/>
    <x v="175"/>
    <x v="0"/>
    <x v="1"/>
    <x v="5"/>
    <x v="415"/>
    <n v="107.77"/>
    <n v="2"/>
    <n v="-29.25"/>
    <x v="4"/>
    <x v="0"/>
  </r>
  <r>
    <n v="44337"/>
    <x v="175"/>
    <x v="0"/>
    <x v="0"/>
    <x v="0"/>
    <x v="416"/>
    <n v="4.83"/>
    <n v="1"/>
    <n v="1.63"/>
    <x v="4"/>
    <x v="0"/>
  </r>
  <r>
    <n v="44337"/>
    <x v="175"/>
    <x v="0"/>
    <x v="0"/>
    <x v="3"/>
    <x v="417"/>
    <n v="18.239999999999998"/>
    <n v="3"/>
    <n v="-31.01"/>
    <x v="4"/>
    <x v="0"/>
  </r>
  <r>
    <n v="44338"/>
    <x v="216"/>
    <x v="33"/>
    <x v="2"/>
    <x v="6"/>
    <x v="418"/>
    <n v="135.97999999999999"/>
    <n v="2"/>
    <n v="34"/>
    <x v="4"/>
    <x v="0"/>
  </r>
  <r>
    <n v="44338"/>
    <x v="216"/>
    <x v="33"/>
    <x v="2"/>
    <x v="6"/>
    <x v="419"/>
    <n v="44.95"/>
    <n v="1"/>
    <n v="12.59"/>
    <x v="4"/>
    <x v="0"/>
  </r>
  <r>
    <n v="44339"/>
    <x v="177"/>
    <x v="2"/>
    <x v="0"/>
    <x v="3"/>
    <x v="420"/>
    <n v="3.28"/>
    <n v="2"/>
    <n v="-2.63"/>
    <x v="4"/>
    <x v="0"/>
  </r>
  <r>
    <n v="44339"/>
    <x v="177"/>
    <x v="2"/>
    <x v="0"/>
    <x v="4"/>
    <x v="421"/>
    <n v="21.17"/>
    <n v="9"/>
    <n v="2.38"/>
    <x v="4"/>
    <x v="0"/>
  </r>
  <r>
    <n v="44339"/>
    <x v="177"/>
    <x v="2"/>
    <x v="2"/>
    <x v="6"/>
    <x v="422"/>
    <n v="55.19"/>
    <n v="2"/>
    <n v="-10.119999999999999"/>
    <x v="4"/>
    <x v="0"/>
  </r>
  <r>
    <n v="44339"/>
    <x v="15"/>
    <x v="22"/>
    <x v="0"/>
    <x v="0"/>
    <x v="423"/>
    <n v="12.96"/>
    <n v="2"/>
    <n v="6.22"/>
    <x v="4"/>
    <x v="0"/>
  </r>
  <r>
    <n v="44339"/>
    <x v="217"/>
    <x v="20"/>
    <x v="0"/>
    <x v="3"/>
    <x v="263"/>
    <n v="17.96"/>
    <n v="5"/>
    <n v="5.84"/>
    <x v="4"/>
    <x v="0"/>
  </r>
  <r>
    <n v="44339"/>
    <x v="217"/>
    <x v="20"/>
    <x v="0"/>
    <x v="14"/>
    <x v="424"/>
    <n v="5.04"/>
    <n v="2"/>
    <n v="0.15"/>
    <x v="4"/>
    <x v="0"/>
  </r>
  <r>
    <n v="44339"/>
    <x v="217"/>
    <x v="20"/>
    <x v="0"/>
    <x v="12"/>
    <x v="425"/>
    <n v="208.16"/>
    <n v="1"/>
    <n v="56.2"/>
    <x v="4"/>
    <x v="0"/>
  </r>
  <r>
    <n v="44340"/>
    <x v="218"/>
    <x v="36"/>
    <x v="0"/>
    <x v="0"/>
    <x v="426"/>
    <n v="116.28"/>
    <n v="3"/>
    <n v="56.98"/>
    <x v="4"/>
    <x v="0"/>
  </r>
  <r>
    <n v="44341"/>
    <x v="219"/>
    <x v="1"/>
    <x v="0"/>
    <x v="12"/>
    <x v="427"/>
    <n v="75.599999999999994"/>
    <n v="2"/>
    <n v="-166.32"/>
    <x v="4"/>
    <x v="0"/>
  </r>
  <r>
    <n v="44341"/>
    <x v="219"/>
    <x v="1"/>
    <x v="1"/>
    <x v="8"/>
    <x v="428"/>
    <n v="29.32"/>
    <n v="2"/>
    <n v="-24.19"/>
    <x v="4"/>
    <x v="0"/>
  </r>
  <r>
    <n v="44341"/>
    <x v="220"/>
    <x v="20"/>
    <x v="0"/>
    <x v="0"/>
    <x v="429"/>
    <n v="14.62"/>
    <n v="2"/>
    <n v="6.73"/>
    <x v="4"/>
    <x v="0"/>
  </r>
  <r>
    <n v="44342"/>
    <x v="44"/>
    <x v="3"/>
    <x v="1"/>
    <x v="11"/>
    <x v="430"/>
    <n v="290.67"/>
    <n v="2"/>
    <n v="27.36"/>
    <x v="4"/>
    <x v="0"/>
  </r>
  <r>
    <n v="44342"/>
    <x v="44"/>
    <x v="3"/>
    <x v="2"/>
    <x v="6"/>
    <x v="431"/>
    <n v="201.58"/>
    <n v="2"/>
    <n v="20.16"/>
    <x v="4"/>
    <x v="0"/>
  </r>
  <r>
    <n v="44342"/>
    <x v="44"/>
    <x v="3"/>
    <x v="2"/>
    <x v="6"/>
    <x v="432"/>
    <n v="83.98"/>
    <n v="2"/>
    <n v="31.49"/>
    <x v="4"/>
    <x v="0"/>
  </r>
  <r>
    <n v="44342"/>
    <x v="221"/>
    <x v="3"/>
    <x v="1"/>
    <x v="5"/>
    <x v="433"/>
    <n v="225.3"/>
    <n v="2"/>
    <n v="22.53"/>
    <x v="4"/>
    <x v="0"/>
  </r>
  <r>
    <n v="44342"/>
    <x v="222"/>
    <x v="27"/>
    <x v="0"/>
    <x v="0"/>
    <x v="48"/>
    <n v="48.4"/>
    <n v="5"/>
    <n v="23.23"/>
    <x v="4"/>
    <x v="0"/>
  </r>
  <r>
    <n v="44342"/>
    <x v="147"/>
    <x v="1"/>
    <x v="0"/>
    <x v="2"/>
    <x v="434"/>
    <n v="102.62"/>
    <n v="3"/>
    <n v="7.7"/>
    <x v="4"/>
    <x v="0"/>
  </r>
  <r>
    <n v="44342"/>
    <x v="147"/>
    <x v="1"/>
    <x v="1"/>
    <x v="5"/>
    <x v="435"/>
    <n v="359.77"/>
    <n v="2"/>
    <n v="-5.14"/>
    <x v="4"/>
    <x v="0"/>
  </r>
  <r>
    <n v="44342"/>
    <x v="147"/>
    <x v="1"/>
    <x v="0"/>
    <x v="4"/>
    <x v="385"/>
    <n v="13.39"/>
    <n v="3"/>
    <n v="3.18"/>
    <x v="4"/>
    <x v="0"/>
  </r>
  <r>
    <n v="44343"/>
    <x v="223"/>
    <x v="3"/>
    <x v="1"/>
    <x v="13"/>
    <x v="436"/>
    <n v="567.12"/>
    <n v="10"/>
    <n v="-28.36"/>
    <x v="4"/>
    <x v="0"/>
  </r>
  <r>
    <n v="44343"/>
    <x v="223"/>
    <x v="3"/>
    <x v="0"/>
    <x v="2"/>
    <x v="437"/>
    <n v="359.32"/>
    <n v="4"/>
    <n v="7.19"/>
    <x v="4"/>
    <x v="0"/>
  </r>
  <r>
    <n v="44343"/>
    <x v="164"/>
    <x v="3"/>
    <x v="2"/>
    <x v="6"/>
    <x v="438"/>
    <n v="1113.5"/>
    <n v="12"/>
    <n v="125.27"/>
    <x v="4"/>
    <x v="0"/>
  </r>
  <r>
    <n v="44343"/>
    <x v="164"/>
    <x v="3"/>
    <x v="2"/>
    <x v="9"/>
    <x v="439"/>
    <n v="99.99"/>
    <n v="1"/>
    <n v="38"/>
    <x v="4"/>
    <x v="0"/>
  </r>
  <r>
    <n v="44343"/>
    <x v="224"/>
    <x v="1"/>
    <x v="0"/>
    <x v="3"/>
    <x v="440"/>
    <n v="17.46"/>
    <n v="6"/>
    <n v="-30.56"/>
    <x v="4"/>
    <x v="0"/>
  </r>
  <r>
    <n v="44344"/>
    <x v="225"/>
    <x v="22"/>
    <x v="2"/>
    <x v="6"/>
    <x v="441"/>
    <n v="57.41"/>
    <n v="6"/>
    <n v="5.74"/>
    <x v="4"/>
    <x v="0"/>
  </r>
  <r>
    <n v="44344"/>
    <x v="225"/>
    <x v="22"/>
    <x v="2"/>
    <x v="9"/>
    <x v="162"/>
    <n v="27.6"/>
    <n v="4"/>
    <n v="2.21"/>
    <x v="4"/>
    <x v="0"/>
  </r>
  <r>
    <n v="44344"/>
    <x v="226"/>
    <x v="22"/>
    <x v="0"/>
    <x v="3"/>
    <x v="442"/>
    <n v="136.96"/>
    <n v="4"/>
    <n v="51.36"/>
    <x v="4"/>
    <x v="0"/>
  </r>
  <r>
    <n v="44346"/>
    <x v="227"/>
    <x v="6"/>
    <x v="0"/>
    <x v="0"/>
    <x v="443"/>
    <n v="13.62"/>
    <n v="3"/>
    <n v="6.13"/>
    <x v="4"/>
    <x v="0"/>
  </r>
  <r>
    <n v="44346"/>
    <x v="228"/>
    <x v="1"/>
    <x v="1"/>
    <x v="13"/>
    <x v="444"/>
    <n v="355.46"/>
    <n v="3"/>
    <n v="-184.84"/>
    <x v="4"/>
    <x v="0"/>
  </r>
  <r>
    <n v="44346"/>
    <x v="229"/>
    <x v="20"/>
    <x v="0"/>
    <x v="3"/>
    <x v="372"/>
    <n v="70.37"/>
    <n v="4"/>
    <n v="26.39"/>
    <x v="4"/>
    <x v="0"/>
  </r>
  <r>
    <n v="44346"/>
    <x v="230"/>
    <x v="20"/>
    <x v="0"/>
    <x v="3"/>
    <x v="445"/>
    <n v="25.58"/>
    <n v="2"/>
    <n v="8.9499999999999993"/>
    <x v="4"/>
    <x v="0"/>
  </r>
  <r>
    <n v="44346"/>
    <x v="230"/>
    <x v="20"/>
    <x v="2"/>
    <x v="6"/>
    <x v="446"/>
    <n v="464"/>
    <n v="5"/>
    <n v="134.56"/>
    <x v="4"/>
    <x v="0"/>
  </r>
  <r>
    <n v="44346"/>
    <x v="230"/>
    <x v="20"/>
    <x v="0"/>
    <x v="12"/>
    <x v="447"/>
    <n v="235.95"/>
    <n v="3"/>
    <n v="77.86"/>
    <x v="4"/>
    <x v="0"/>
  </r>
  <r>
    <n v="44346"/>
    <x v="230"/>
    <x v="20"/>
    <x v="0"/>
    <x v="0"/>
    <x v="448"/>
    <n v="39.96"/>
    <n v="4"/>
    <n v="17.98"/>
    <x v="4"/>
    <x v="0"/>
  </r>
  <r>
    <n v="44346"/>
    <x v="231"/>
    <x v="1"/>
    <x v="2"/>
    <x v="16"/>
    <x v="359"/>
    <n v="719.98"/>
    <n v="3"/>
    <n v="135"/>
    <x v="4"/>
    <x v="0"/>
  </r>
  <r>
    <n v="44347"/>
    <x v="232"/>
    <x v="29"/>
    <x v="2"/>
    <x v="6"/>
    <x v="449"/>
    <n v="659.97"/>
    <n v="3"/>
    <n v="197.99"/>
    <x v="4"/>
    <x v="0"/>
  </r>
  <r>
    <n v="44347"/>
    <x v="232"/>
    <x v="29"/>
    <x v="2"/>
    <x v="6"/>
    <x v="450"/>
    <n v="113.73"/>
    <n v="3"/>
    <n v="32.979999999999997"/>
    <x v="4"/>
    <x v="0"/>
  </r>
  <r>
    <n v="44348"/>
    <x v="233"/>
    <x v="28"/>
    <x v="1"/>
    <x v="5"/>
    <x v="7"/>
    <n v="2001.86"/>
    <n v="7"/>
    <n v="580.54"/>
    <x v="5"/>
    <x v="0"/>
  </r>
  <r>
    <n v="44348"/>
    <x v="233"/>
    <x v="28"/>
    <x v="0"/>
    <x v="2"/>
    <x v="451"/>
    <n v="166.72"/>
    <n v="2"/>
    <n v="41.68"/>
    <x v="5"/>
    <x v="0"/>
  </r>
  <r>
    <n v="44348"/>
    <x v="233"/>
    <x v="28"/>
    <x v="0"/>
    <x v="0"/>
    <x v="452"/>
    <n v="47.88"/>
    <n v="6"/>
    <n v="23.94"/>
    <x v="5"/>
    <x v="0"/>
  </r>
  <r>
    <n v="44348"/>
    <x v="233"/>
    <x v="28"/>
    <x v="0"/>
    <x v="12"/>
    <x v="453"/>
    <n v="1503.25"/>
    <n v="5"/>
    <n v="496.07"/>
    <x v="5"/>
    <x v="0"/>
  </r>
  <r>
    <n v="44348"/>
    <x v="233"/>
    <x v="28"/>
    <x v="0"/>
    <x v="0"/>
    <x v="454"/>
    <n v="25.92"/>
    <n v="4"/>
    <n v="12.44"/>
    <x v="5"/>
    <x v="0"/>
  </r>
  <r>
    <n v="44348"/>
    <x v="234"/>
    <x v="23"/>
    <x v="0"/>
    <x v="3"/>
    <x v="455"/>
    <n v="45.48"/>
    <n v="3"/>
    <n v="20.92"/>
    <x v="5"/>
    <x v="0"/>
  </r>
  <r>
    <n v="44348"/>
    <x v="234"/>
    <x v="23"/>
    <x v="0"/>
    <x v="4"/>
    <x v="456"/>
    <n v="289.2"/>
    <n v="6"/>
    <n v="83.87"/>
    <x v="5"/>
    <x v="0"/>
  </r>
  <r>
    <n v="44348"/>
    <x v="235"/>
    <x v="13"/>
    <x v="1"/>
    <x v="8"/>
    <x v="457"/>
    <n v="22.2"/>
    <n v="6"/>
    <n v="9.1"/>
    <x v="5"/>
    <x v="0"/>
  </r>
  <r>
    <n v="44348"/>
    <x v="235"/>
    <x v="13"/>
    <x v="2"/>
    <x v="6"/>
    <x v="458"/>
    <n v="881.93"/>
    <n v="7"/>
    <n v="229.3"/>
    <x v="5"/>
    <x v="0"/>
  </r>
  <r>
    <n v="44348"/>
    <x v="87"/>
    <x v="14"/>
    <x v="0"/>
    <x v="3"/>
    <x v="459"/>
    <n v="138.56"/>
    <n v="4"/>
    <n v="66.510000000000005"/>
    <x v="5"/>
    <x v="0"/>
  </r>
  <r>
    <n v="44348"/>
    <x v="87"/>
    <x v="14"/>
    <x v="0"/>
    <x v="12"/>
    <x v="460"/>
    <n v="65.52"/>
    <n v="5"/>
    <n v="12.38"/>
    <x v="5"/>
    <x v="0"/>
  </r>
  <r>
    <n v="44349"/>
    <x v="79"/>
    <x v="27"/>
    <x v="0"/>
    <x v="3"/>
    <x v="461"/>
    <n v="59.81"/>
    <n v="3"/>
    <n v="19.440000000000001"/>
    <x v="5"/>
    <x v="0"/>
  </r>
  <r>
    <n v="44349"/>
    <x v="79"/>
    <x v="27"/>
    <x v="1"/>
    <x v="8"/>
    <x v="462"/>
    <n v="73.319999999999993"/>
    <n v="6"/>
    <n v="22"/>
    <x v="5"/>
    <x v="0"/>
  </r>
  <r>
    <n v="44349"/>
    <x v="149"/>
    <x v="4"/>
    <x v="0"/>
    <x v="4"/>
    <x v="407"/>
    <n v="8.56"/>
    <n v="2"/>
    <n v="2.65"/>
    <x v="5"/>
    <x v="0"/>
  </r>
  <r>
    <n v="44349"/>
    <x v="149"/>
    <x v="4"/>
    <x v="2"/>
    <x v="6"/>
    <x v="463"/>
    <n v="239.97"/>
    <n v="3"/>
    <n v="67.19"/>
    <x v="5"/>
    <x v="0"/>
  </r>
  <r>
    <n v="44349"/>
    <x v="149"/>
    <x v="4"/>
    <x v="0"/>
    <x v="2"/>
    <x v="168"/>
    <n v="356.94"/>
    <n v="2"/>
    <n v="107.08"/>
    <x v="5"/>
    <x v="0"/>
  </r>
  <r>
    <n v="44350"/>
    <x v="236"/>
    <x v="22"/>
    <x v="1"/>
    <x v="13"/>
    <x v="278"/>
    <n v="515.88"/>
    <n v="6"/>
    <n v="113.49"/>
    <x v="5"/>
    <x v="0"/>
  </r>
  <r>
    <n v="44350"/>
    <x v="237"/>
    <x v="14"/>
    <x v="0"/>
    <x v="10"/>
    <x v="464"/>
    <n v="15.28"/>
    <n v="2"/>
    <n v="7.49"/>
    <x v="5"/>
    <x v="0"/>
  </r>
  <r>
    <n v="44350"/>
    <x v="238"/>
    <x v="1"/>
    <x v="0"/>
    <x v="1"/>
    <x v="465"/>
    <n v="15.94"/>
    <n v="4"/>
    <n v="5.18"/>
    <x v="5"/>
    <x v="0"/>
  </r>
  <r>
    <n v="44350"/>
    <x v="238"/>
    <x v="1"/>
    <x v="1"/>
    <x v="8"/>
    <x v="466"/>
    <n v="61.54"/>
    <n v="7"/>
    <n v="-40"/>
    <x v="5"/>
    <x v="0"/>
  </r>
  <r>
    <n v="44350"/>
    <x v="238"/>
    <x v="1"/>
    <x v="0"/>
    <x v="2"/>
    <x v="346"/>
    <n v="132.69999999999999"/>
    <n v="3"/>
    <n v="9.9499999999999993"/>
    <x v="5"/>
    <x v="0"/>
  </r>
  <r>
    <n v="44351"/>
    <x v="114"/>
    <x v="10"/>
    <x v="0"/>
    <x v="0"/>
    <x v="371"/>
    <n v="16.22"/>
    <n v="2"/>
    <n v="5.88"/>
    <x v="5"/>
    <x v="0"/>
  </r>
  <r>
    <n v="44351"/>
    <x v="239"/>
    <x v="20"/>
    <x v="1"/>
    <x v="8"/>
    <x v="467"/>
    <n v="56.96"/>
    <n v="2"/>
    <n v="21.08"/>
    <x v="5"/>
    <x v="0"/>
  </r>
  <r>
    <n v="44351"/>
    <x v="239"/>
    <x v="20"/>
    <x v="0"/>
    <x v="12"/>
    <x v="468"/>
    <n v="15.56"/>
    <n v="4"/>
    <n v="4.05"/>
    <x v="5"/>
    <x v="0"/>
  </r>
  <r>
    <n v="44351"/>
    <x v="239"/>
    <x v="20"/>
    <x v="1"/>
    <x v="11"/>
    <x v="469"/>
    <n v="353.57"/>
    <n v="2"/>
    <n v="-44.2"/>
    <x v="5"/>
    <x v="0"/>
  </r>
  <r>
    <n v="44351"/>
    <x v="239"/>
    <x v="20"/>
    <x v="1"/>
    <x v="8"/>
    <x v="335"/>
    <n v="13.96"/>
    <n v="2"/>
    <n v="6.7"/>
    <x v="5"/>
    <x v="0"/>
  </r>
  <r>
    <n v="44353"/>
    <x v="240"/>
    <x v="20"/>
    <x v="0"/>
    <x v="4"/>
    <x v="470"/>
    <n v="13.36"/>
    <n v="2"/>
    <n v="4.9400000000000004"/>
    <x v="5"/>
    <x v="0"/>
  </r>
  <r>
    <n v="44353"/>
    <x v="241"/>
    <x v="20"/>
    <x v="0"/>
    <x v="3"/>
    <x v="471"/>
    <n v="149.54"/>
    <n v="9"/>
    <n v="50.47"/>
    <x v="5"/>
    <x v="0"/>
  </r>
  <r>
    <n v="44353"/>
    <x v="241"/>
    <x v="20"/>
    <x v="0"/>
    <x v="14"/>
    <x v="472"/>
    <n v="17.14"/>
    <n v="2"/>
    <n v="4.46"/>
    <x v="5"/>
    <x v="0"/>
  </r>
  <r>
    <n v="44353"/>
    <x v="241"/>
    <x v="20"/>
    <x v="1"/>
    <x v="13"/>
    <x v="473"/>
    <n v="991.76"/>
    <n v="3"/>
    <n v="-347.12"/>
    <x v="5"/>
    <x v="0"/>
  </r>
  <r>
    <n v="44353"/>
    <x v="242"/>
    <x v="1"/>
    <x v="0"/>
    <x v="3"/>
    <x v="287"/>
    <n v="24.59"/>
    <n v="3"/>
    <n v="-38.11"/>
    <x v="5"/>
    <x v="0"/>
  </r>
  <r>
    <n v="44353"/>
    <x v="242"/>
    <x v="1"/>
    <x v="0"/>
    <x v="10"/>
    <x v="474"/>
    <n v="13.98"/>
    <n v="2"/>
    <n v="4.72"/>
    <x v="5"/>
    <x v="0"/>
  </r>
  <r>
    <n v="44353"/>
    <x v="243"/>
    <x v="0"/>
    <x v="0"/>
    <x v="1"/>
    <x v="37"/>
    <n v="100.24"/>
    <n v="10"/>
    <n v="33.83"/>
    <x v="5"/>
    <x v="0"/>
  </r>
  <r>
    <n v="44353"/>
    <x v="149"/>
    <x v="16"/>
    <x v="0"/>
    <x v="3"/>
    <x v="475"/>
    <n v="1.37"/>
    <n v="1"/>
    <n v="-0.91"/>
    <x v="5"/>
    <x v="0"/>
  </r>
  <r>
    <n v="44353"/>
    <x v="149"/>
    <x v="16"/>
    <x v="0"/>
    <x v="0"/>
    <x v="426"/>
    <n v="62.02"/>
    <n v="2"/>
    <n v="22.48"/>
    <x v="5"/>
    <x v="0"/>
  </r>
  <r>
    <n v="44354"/>
    <x v="244"/>
    <x v="1"/>
    <x v="0"/>
    <x v="3"/>
    <x v="471"/>
    <n v="12.46"/>
    <n v="3"/>
    <n v="-20.56"/>
    <x v="5"/>
    <x v="0"/>
  </r>
  <r>
    <n v="44354"/>
    <x v="245"/>
    <x v="1"/>
    <x v="1"/>
    <x v="13"/>
    <x v="476"/>
    <n v="268.94"/>
    <n v="3"/>
    <n v="-209.77"/>
    <x v="5"/>
    <x v="0"/>
  </r>
  <r>
    <n v="44355"/>
    <x v="246"/>
    <x v="22"/>
    <x v="1"/>
    <x v="5"/>
    <x v="477"/>
    <n v="585.54999999999995"/>
    <n v="3"/>
    <n v="73.19"/>
    <x v="5"/>
    <x v="0"/>
  </r>
  <r>
    <n v="44355"/>
    <x v="124"/>
    <x v="15"/>
    <x v="1"/>
    <x v="5"/>
    <x v="478"/>
    <n v="170.35"/>
    <n v="3"/>
    <n v="10.65"/>
    <x v="5"/>
    <x v="0"/>
  </r>
  <r>
    <n v="44355"/>
    <x v="247"/>
    <x v="20"/>
    <x v="0"/>
    <x v="3"/>
    <x v="442"/>
    <n v="68.48"/>
    <n v="2"/>
    <n v="25.68"/>
    <x v="5"/>
    <x v="0"/>
  </r>
  <r>
    <n v="44355"/>
    <x v="247"/>
    <x v="20"/>
    <x v="0"/>
    <x v="2"/>
    <x v="479"/>
    <n v="1676.88"/>
    <n v="6"/>
    <n v="83.84"/>
    <x v="5"/>
    <x v="0"/>
  </r>
  <r>
    <n v="44356"/>
    <x v="248"/>
    <x v="3"/>
    <x v="1"/>
    <x v="8"/>
    <x v="480"/>
    <n v="48.86"/>
    <n v="7"/>
    <n v="14.17"/>
    <x v="5"/>
    <x v="0"/>
  </r>
  <r>
    <n v="44356"/>
    <x v="248"/>
    <x v="3"/>
    <x v="0"/>
    <x v="4"/>
    <x v="481"/>
    <n v="7.28"/>
    <n v="4"/>
    <n v="1.97"/>
    <x v="5"/>
    <x v="0"/>
  </r>
  <r>
    <n v="44356"/>
    <x v="248"/>
    <x v="3"/>
    <x v="2"/>
    <x v="6"/>
    <x v="482"/>
    <n v="907.15"/>
    <n v="6"/>
    <n v="90.72"/>
    <x v="5"/>
    <x v="0"/>
  </r>
  <r>
    <n v="44356"/>
    <x v="248"/>
    <x v="3"/>
    <x v="0"/>
    <x v="3"/>
    <x v="483"/>
    <n v="18.5"/>
    <n v="3"/>
    <n v="5.78"/>
    <x v="5"/>
    <x v="0"/>
  </r>
  <r>
    <n v="44356"/>
    <x v="248"/>
    <x v="3"/>
    <x v="0"/>
    <x v="12"/>
    <x v="484"/>
    <n v="114.9"/>
    <n v="5"/>
    <n v="34.47"/>
    <x v="5"/>
    <x v="0"/>
  </r>
  <r>
    <n v="44356"/>
    <x v="248"/>
    <x v="3"/>
    <x v="1"/>
    <x v="13"/>
    <x v="444"/>
    <n v="1706.18"/>
    <n v="9"/>
    <n v="85.31"/>
    <x v="5"/>
    <x v="0"/>
  </r>
  <r>
    <n v="44356"/>
    <x v="248"/>
    <x v="3"/>
    <x v="2"/>
    <x v="6"/>
    <x v="485"/>
    <n v="911.42"/>
    <n v="4"/>
    <n v="68.36"/>
    <x v="5"/>
    <x v="0"/>
  </r>
  <r>
    <n v="44356"/>
    <x v="249"/>
    <x v="0"/>
    <x v="2"/>
    <x v="6"/>
    <x v="356"/>
    <n v="7.99"/>
    <n v="1"/>
    <n v="0.6"/>
    <x v="5"/>
    <x v="0"/>
  </r>
  <r>
    <n v="44356"/>
    <x v="249"/>
    <x v="0"/>
    <x v="2"/>
    <x v="9"/>
    <x v="486"/>
    <n v="63.98"/>
    <n v="2"/>
    <n v="10.4"/>
    <x v="5"/>
    <x v="0"/>
  </r>
  <r>
    <n v="44356"/>
    <x v="249"/>
    <x v="0"/>
    <x v="0"/>
    <x v="4"/>
    <x v="487"/>
    <n v="70.37"/>
    <n v="2"/>
    <n v="6.16"/>
    <x v="5"/>
    <x v="0"/>
  </r>
  <r>
    <n v="44356"/>
    <x v="250"/>
    <x v="3"/>
    <x v="0"/>
    <x v="14"/>
    <x v="488"/>
    <n v="7.36"/>
    <n v="2"/>
    <n v="0.15"/>
    <x v="5"/>
    <x v="0"/>
  </r>
  <r>
    <n v="44356"/>
    <x v="250"/>
    <x v="3"/>
    <x v="0"/>
    <x v="4"/>
    <x v="489"/>
    <n v="23.1"/>
    <n v="2"/>
    <n v="10.63"/>
    <x v="5"/>
    <x v="0"/>
  </r>
  <r>
    <n v="44356"/>
    <x v="251"/>
    <x v="6"/>
    <x v="1"/>
    <x v="13"/>
    <x v="490"/>
    <n v="1441.3"/>
    <n v="7"/>
    <n v="245.02"/>
    <x v="5"/>
    <x v="0"/>
  </r>
  <r>
    <n v="44356"/>
    <x v="93"/>
    <x v="17"/>
    <x v="0"/>
    <x v="4"/>
    <x v="491"/>
    <n v="18.059999999999999"/>
    <n v="7"/>
    <n v="4.7"/>
    <x v="5"/>
    <x v="0"/>
  </r>
  <r>
    <n v="44356"/>
    <x v="93"/>
    <x v="17"/>
    <x v="0"/>
    <x v="0"/>
    <x v="189"/>
    <n v="79.14"/>
    <n v="3"/>
    <n v="36.4"/>
    <x v="5"/>
    <x v="0"/>
  </r>
  <r>
    <n v="44356"/>
    <x v="93"/>
    <x v="17"/>
    <x v="1"/>
    <x v="8"/>
    <x v="492"/>
    <n v="37.4"/>
    <n v="2"/>
    <n v="14.21"/>
    <x v="5"/>
    <x v="0"/>
  </r>
  <r>
    <n v="44357"/>
    <x v="252"/>
    <x v="14"/>
    <x v="0"/>
    <x v="1"/>
    <x v="493"/>
    <n v="491.55"/>
    <n v="5"/>
    <n v="240.86"/>
    <x v="5"/>
    <x v="0"/>
  </r>
  <r>
    <n v="44360"/>
    <x v="76"/>
    <x v="3"/>
    <x v="0"/>
    <x v="4"/>
    <x v="108"/>
    <n v="14.52"/>
    <n v="3"/>
    <n v="4.79"/>
    <x v="5"/>
    <x v="0"/>
  </r>
  <r>
    <n v="44361"/>
    <x v="253"/>
    <x v="14"/>
    <x v="1"/>
    <x v="11"/>
    <x v="494"/>
    <n v="212.94"/>
    <n v="3"/>
    <n v="57.49"/>
    <x v="5"/>
    <x v="0"/>
  </r>
  <r>
    <n v="44362"/>
    <x v="254"/>
    <x v="0"/>
    <x v="1"/>
    <x v="13"/>
    <x v="495"/>
    <n v="99.92"/>
    <n v="2"/>
    <n v="-18.559999999999999"/>
    <x v="5"/>
    <x v="0"/>
  </r>
  <r>
    <n v="44362"/>
    <x v="254"/>
    <x v="0"/>
    <x v="1"/>
    <x v="5"/>
    <x v="160"/>
    <n v="797.94"/>
    <n v="4"/>
    <n v="-57"/>
    <x v="5"/>
    <x v="0"/>
  </r>
  <r>
    <n v="44362"/>
    <x v="254"/>
    <x v="0"/>
    <x v="0"/>
    <x v="3"/>
    <x v="496"/>
    <n v="8.57"/>
    <n v="3"/>
    <n v="-14.57"/>
    <x v="5"/>
    <x v="0"/>
  </r>
  <r>
    <n v="44362"/>
    <x v="255"/>
    <x v="0"/>
    <x v="0"/>
    <x v="0"/>
    <x v="497"/>
    <n v="36.54"/>
    <n v="2"/>
    <n v="11.88"/>
    <x v="5"/>
    <x v="0"/>
  </r>
  <r>
    <n v="44363"/>
    <x v="256"/>
    <x v="18"/>
    <x v="1"/>
    <x v="5"/>
    <x v="100"/>
    <n v="647.84"/>
    <n v="8"/>
    <n v="32.39"/>
    <x v="5"/>
    <x v="0"/>
  </r>
  <r>
    <n v="44363"/>
    <x v="74"/>
    <x v="20"/>
    <x v="0"/>
    <x v="10"/>
    <x v="21"/>
    <n v="41.4"/>
    <n v="5"/>
    <n v="19.46"/>
    <x v="5"/>
    <x v="0"/>
  </r>
  <r>
    <n v="44363"/>
    <x v="74"/>
    <x v="20"/>
    <x v="0"/>
    <x v="4"/>
    <x v="498"/>
    <n v="35"/>
    <n v="4"/>
    <n v="10.5"/>
    <x v="5"/>
    <x v="0"/>
  </r>
  <r>
    <n v="44363"/>
    <x v="74"/>
    <x v="20"/>
    <x v="0"/>
    <x v="3"/>
    <x v="275"/>
    <n v="39.549999999999997"/>
    <n v="3"/>
    <n v="14.34"/>
    <x v="5"/>
    <x v="0"/>
  </r>
  <r>
    <n v="44364"/>
    <x v="257"/>
    <x v="7"/>
    <x v="2"/>
    <x v="15"/>
    <x v="499"/>
    <n v="65.97"/>
    <n v="3"/>
    <n v="31.01"/>
    <x v="5"/>
    <x v="0"/>
  </r>
  <r>
    <n v="44364"/>
    <x v="258"/>
    <x v="22"/>
    <x v="1"/>
    <x v="8"/>
    <x v="152"/>
    <n v="6.24"/>
    <n v="3"/>
    <n v="2.62"/>
    <x v="5"/>
    <x v="0"/>
  </r>
  <r>
    <n v="44364"/>
    <x v="258"/>
    <x v="22"/>
    <x v="0"/>
    <x v="7"/>
    <x v="500"/>
    <n v="17.899999999999999"/>
    <n v="5"/>
    <n v="8.9499999999999993"/>
    <x v="5"/>
    <x v="0"/>
  </r>
  <r>
    <n v="44364"/>
    <x v="258"/>
    <x v="22"/>
    <x v="0"/>
    <x v="3"/>
    <x v="501"/>
    <n v="3266.38"/>
    <n v="3"/>
    <n v="1061.57"/>
    <x v="5"/>
    <x v="0"/>
  </r>
  <r>
    <n v="44364"/>
    <x v="259"/>
    <x v="1"/>
    <x v="0"/>
    <x v="0"/>
    <x v="502"/>
    <n v="62.02"/>
    <n v="2"/>
    <n v="22.48"/>
    <x v="5"/>
    <x v="0"/>
  </r>
  <r>
    <n v="44365"/>
    <x v="260"/>
    <x v="3"/>
    <x v="2"/>
    <x v="6"/>
    <x v="503"/>
    <n v="139.80000000000001"/>
    <n v="5"/>
    <n v="12.23"/>
    <x v="5"/>
    <x v="0"/>
  </r>
  <r>
    <n v="44367"/>
    <x v="66"/>
    <x v="0"/>
    <x v="2"/>
    <x v="6"/>
    <x v="504"/>
    <n v="201.58"/>
    <n v="2"/>
    <n v="20.16"/>
    <x v="5"/>
    <x v="0"/>
  </r>
  <r>
    <n v="44367"/>
    <x v="66"/>
    <x v="0"/>
    <x v="0"/>
    <x v="3"/>
    <x v="505"/>
    <n v="3.39"/>
    <n v="4"/>
    <n v="-5.09"/>
    <x v="5"/>
    <x v="0"/>
  </r>
  <r>
    <n v="44367"/>
    <x v="66"/>
    <x v="0"/>
    <x v="1"/>
    <x v="11"/>
    <x v="506"/>
    <n v="193.07"/>
    <n v="4"/>
    <n v="-19.87"/>
    <x v="5"/>
    <x v="0"/>
  </r>
  <r>
    <n v="44367"/>
    <x v="66"/>
    <x v="0"/>
    <x v="0"/>
    <x v="0"/>
    <x v="507"/>
    <n v="15.55"/>
    <n v="3"/>
    <n v="5.44"/>
    <x v="5"/>
    <x v="0"/>
  </r>
  <r>
    <n v="44367"/>
    <x v="66"/>
    <x v="0"/>
    <x v="0"/>
    <x v="0"/>
    <x v="126"/>
    <n v="11.65"/>
    <n v="2"/>
    <n v="4.08"/>
    <x v="5"/>
    <x v="0"/>
  </r>
  <r>
    <n v="44367"/>
    <x v="66"/>
    <x v="0"/>
    <x v="2"/>
    <x v="15"/>
    <x v="508"/>
    <n v="418.8"/>
    <n v="2"/>
    <n v="-97.72"/>
    <x v="5"/>
    <x v="0"/>
  </r>
  <r>
    <n v="44367"/>
    <x v="66"/>
    <x v="0"/>
    <x v="0"/>
    <x v="2"/>
    <x v="509"/>
    <n v="509.49"/>
    <n v="7"/>
    <n v="-127.37"/>
    <x v="5"/>
    <x v="0"/>
  </r>
  <r>
    <n v="44367"/>
    <x v="261"/>
    <x v="39"/>
    <x v="0"/>
    <x v="12"/>
    <x v="447"/>
    <n v="471.9"/>
    <n v="6"/>
    <n v="155.72999999999999"/>
    <x v="5"/>
    <x v="0"/>
  </r>
  <r>
    <n v="44367"/>
    <x v="261"/>
    <x v="39"/>
    <x v="0"/>
    <x v="4"/>
    <x v="510"/>
    <n v="3.52"/>
    <n v="2"/>
    <n v="1.69"/>
    <x v="5"/>
    <x v="0"/>
  </r>
  <r>
    <n v="44368"/>
    <x v="201"/>
    <x v="6"/>
    <x v="1"/>
    <x v="8"/>
    <x v="511"/>
    <n v="104.01"/>
    <n v="1"/>
    <n v="14.56"/>
    <x v="5"/>
    <x v="0"/>
  </r>
  <r>
    <n v="44368"/>
    <x v="201"/>
    <x v="6"/>
    <x v="2"/>
    <x v="6"/>
    <x v="485"/>
    <n v="284.82"/>
    <n v="1"/>
    <n v="74.05"/>
    <x v="5"/>
    <x v="0"/>
  </r>
  <r>
    <n v="44368"/>
    <x v="201"/>
    <x v="6"/>
    <x v="0"/>
    <x v="2"/>
    <x v="512"/>
    <n v="36.840000000000003"/>
    <n v="3"/>
    <n v="10.32"/>
    <x v="5"/>
    <x v="0"/>
  </r>
  <r>
    <n v="44368"/>
    <x v="56"/>
    <x v="23"/>
    <x v="2"/>
    <x v="6"/>
    <x v="11"/>
    <n v="1322.93"/>
    <n v="7"/>
    <n v="357.19"/>
    <x v="5"/>
    <x v="0"/>
  </r>
  <r>
    <n v="44368"/>
    <x v="56"/>
    <x v="23"/>
    <x v="0"/>
    <x v="4"/>
    <x v="513"/>
    <n v="3.76"/>
    <n v="2"/>
    <n v="1.0900000000000001"/>
    <x v="5"/>
    <x v="0"/>
  </r>
  <r>
    <n v="44368"/>
    <x v="195"/>
    <x v="37"/>
    <x v="0"/>
    <x v="4"/>
    <x v="514"/>
    <n v="21.4"/>
    <n v="5"/>
    <n v="6.21"/>
    <x v="5"/>
    <x v="0"/>
  </r>
  <r>
    <n v="44368"/>
    <x v="149"/>
    <x v="26"/>
    <x v="0"/>
    <x v="3"/>
    <x v="515"/>
    <n v="11.09"/>
    <n v="7"/>
    <n v="-8.1300000000000008"/>
    <x v="5"/>
    <x v="0"/>
  </r>
  <r>
    <n v="44368"/>
    <x v="149"/>
    <x v="26"/>
    <x v="0"/>
    <x v="3"/>
    <x v="516"/>
    <n v="25.16"/>
    <n v="2"/>
    <n v="-16.78"/>
    <x v="5"/>
    <x v="0"/>
  </r>
  <r>
    <n v="44368"/>
    <x v="262"/>
    <x v="2"/>
    <x v="0"/>
    <x v="10"/>
    <x v="21"/>
    <n v="24.9"/>
    <n v="4"/>
    <n v="8.4"/>
    <x v="5"/>
    <x v="0"/>
  </r>
  <r>
    <n v="44368"/>
    <x v="262"/>
    <x v="2"/>
    <x v="1"/>
    <x v="8"/>
    <x v="517"/>
    <n v="3.98"/>
    <n v="1"/>
    <n v="0.65"/>
    <x v="5"/>
    <x v="0"/>
  </r>
  <r>
    <n v="44368"/>
    <x v="262"/>
    <x v="2"/>
    <x v="2"/>
    <x v="9"/>
    <x v="33"/>
    <n v="95.97"/>
    <n v="4"/>
    <n v="28.79"/>
    <x v="5"/>
    <x v="0"/>
  </r>
  <r>
    <n v="44368"/>
    <x v="262"/>
    <x v="2"/>
    <x v="2"/>
    <x v="15"/>
    <x v="518"/>
    <n v="206.99"/>
    <n v="3"/>
    <n v="-172.49"/>
    <x v="5"/>
    <x v="0"/>
  </r>
  <r>
    <n v="44368"/>
    <x v="262"/>
    <x v="2"/>
    <x v="0"/>
    <x v="12"/>
    <x v="519"/>
    <n v="44.42"/>
    <n v="2"/>
    <n v="3.89"/>
    <x v="5"/>
    <x v="0"/>
  </r>
  <r>
    <n v="44368"/>
    <x v="262"/>
    <x v="2"/>
    <x v="0"/>
    <x v="3"/>
    <x v="520"/>
    <n v="9.01"/>
    <n v="2"/>
    <n v="-7.2"/>
    <x v="5"/>
    <x v="0"/>
  </r>
  <r>
    <n v="44368"/>
    <x v="263"/>
    <x v="20"/>
    <x v="0"/>
    <x v="0"/>
    <x v="521"/>
    <n v="19.649999999999999"/>
    <n v="3"/>
    <n v="9.0399999999999991"/>
    <x v="5"/>
    <x v="0"/>
  </r>
  <r>
    <n v="44368"/>
    <x v="263"/>
    <x v="20"/>
    <x v="2"/>
    <x v="6"/>
    <x v="522"/>
    <n v="617.97"/>
    <n v="3"/>
    <n v="160.66999999999999"/>
    <x v="5"/>
    <x v="0"/>
  </r>
  <r>
    <n v="44368"/>
    <x v="263"/>
    <x v="20"/>
    <x v="0"/>
    <x v="12"/>
    <x v="107"/>
    <n v="59.7"/>
    <n v="3"/>
    <n v="26.87"/>
    <x v="5"/>
    <x v="0"/>
  </r>
  <r>
    <n v="44368"/>
    <x v="229"/>
    <x v="20"/>
    <x v="2"/>
    <x v="6"/>
    <x v="523"/>
    <n v="1214.8499999999999"/>
    <n v="3"/>
    <n v="352.31"/>
    <x v="5"/>
    <x v="0"/>
  </r>
  <r>
    <n v="44369"/>
    <x v="264"/>
    <x v="26"/>
    <x v="2"/>
    <x v="9"/>
    <x v="524"/>
    <n v="196.75"/>
    <n v="6"/>
    <n v="56.57"/>
    <x v="5"/>
    <x v="0"/>
  </r>
  <r>
    <n v="44369"/>
    <x v="265"/>
    <x v="28"/>
    <x v="0"/>
    <x v="2"/>
    <x v="525"/>
    <n v="501.81"/>
    <n v="3"/>
    <n v="0"/>
    <x v="5"/>
    <x v="0"/>
  </r>
  <r>
    <n v="44369"/>
    <x v="265"/>
    <x v="28"/>
    <x v="0"/>
    <x v="2"/>
    <x v="124"/>
    <n v="161.94"/>
    <n v="3"/>
    <n v="9.7200000000000006"/>
    <x v="5"/>
    <x v="0"/>
  </r>
  <r>
    <n v="44369"/>
    <x v="266"/>
    <x v="2"/>
    <x v="1"/>
    <x v="5"/>
    <x v="526"/>
    <n v="170.06"/>
    <n v="3"/>
    <n v="-4.8600000000000003"/>
    <x v="5"/>
    <x v="0"/>
  </r>
  <r>
    <n v="44369"/>
    <x v="266"/>
    <x v="2"/>
    <x v="2"/>
    <x v="6"/>
    <x v="527"/>
    <n v="82.78"/>
    <n v="3"/>
    <n v="-15.18"/>
    <x v="5"/>
    <x v="0"/>
  </r>
  <r>
    <n v="44369"/>
    <x v="266"/>
    <x v="2"/>
    <x v="1"/>
    <x v="5"/>
    <x v="528"/>
    <n v="853.93"/>
    <n v="5"/>
    <n v="0"/>
    <x v="5"/>
    <x v="0"/>
  </r>
  <r>
    <n v="44369"/>
    <x v="263"/>
    <x v="12"/>
    <x v="0"/>
    <x v="3"/>
    <x v="529"/>
    <n v="8.23"/>
    <n v="3"/>
    <n v="-6.03"/>
    <x v="5"/>
    <x v="0"/>
  </r>
  <r>
    <n v="44370"/>
    <x v="267"/>
    <x v="2"/>
    <x v="2"/>
    <x v="9"/>
    <x v="530"/>
    <n v="86.38"/>
    <n v="3"/>
    <n v="1.08"/>
    <x v="5"/>
    <x v="0"/>
  </r>
  <r>
    <n v="44370"/>
    <x v="268"/>
    <x v="25"/>
    <x v="0"/>
    <x v="4"/>
    <x v="531"/>
    <n v="20.02"/>
    <n v="9"/>
    <n v="1.75"/>
    <x v="5"/>
    <x v="0"/>
  </r>
  <r>
    <n v="44370"/>
    <x v="268"/>
    <x v="25"/>
    <x v="0"/>
    <x v="14"/>
    <x v="532"/>
    <n v="3.1"/>
    <n v="1"/>
    <n v="0.35"/>
    <x v="5"/>
    <x v="0"/>
  </r>
  <r>
    <n v="44371"/>
    <x v="269"/>
    <x v="12"/>
    <x v="1"/>
    <x v="8"/>
    <x v="533"/>
    <n v="4.2699999999999996"/>
    <n v="2"/>
    <n v="0.96"/>
    <x v="5"/>
    <x v="0"/>
  </r>
  <r>
    <n v="44372"/>
    <x v="270"/>
    <x v="3"/>
    <x v="1"/>
    <x v="13"/>
    <x v="534"/>
    <n v="447.84"/>
    <n v="5"/>
    <n v="11.2"/>
    <x v="5"/>
    <x v="0"/>
  </r>
  <r>
    <n v="44372"/>
    <x v="271"/>
    <x v="11"/>
    <x v="2"/>
    <x v="6"/>
    <x v="535"/>
    <n v="263.95999999999998"/>
    <n v="5"/>
    <n v="19.8"/>
    <x v="5"/>
    <x v="0"/>
  </r>
  <r>
    <n v="44372"/>
    <x v="271"/>
    <x v="11"/>
    <x v="0"/>
    <x v="4"/>
    <x v="4"/>
    <n v="71.63"/>
    <n v="11"/>
    <n v="17.91"/>
    <x v="5"/>
    <x v="0"/>
  </r>
  <r>
    <n v="44372"/>
    <x v="271"/>
    <x v="11"/>
    <x v="0"/>
    <x v="4"/>
    <x v="536"/>
    <n v="9.33"/>
    <n v="1"/>
    <n v="0.82"/>
    <x v="5"/>
    <x v="0"/>
  </r>
  <r>
    <n v="44374"/>
    <x v="272"/>
    <x v="29"/>
    <x v="0"/>
    <x v="2"/>
    <x v="62"/>
    <n v="306.2"/>
    <n v="5"/>
    <n v="0"/>
    <x v="5"/>
    <x v="0"/>
  </r>
  <r>
    <n v="44374"/>
    <x v="272"/>
    <x v="29"/>
    <x v="1"/>
    <x v="13"/>
    <x v="278"/>
    <n v="85.98"/>
    <n v="1"/>
    <n v="22.35"/>
    <x v="5"/>
    <x v="0"/>
  </r>
  <r>
    <n v="44374"/>
    <x v="272"/>
    <x v="29"/>
    <x v="2"/>
    <x v="9"/>
    <x v="378"/>
    <n v="223.96"/>
    <n v="4"/>
    <n v="53.75"/>
    <x v="5"/>
    <x v="0"/>
  </r>
  <r>
    <n v="44375"/>
    <x v="273"/>
    <x v="2"/>
    <x v="0"/>
    <x v="0"/>
    <x v="537"/>
    <n v="41.47"/>
    <n v="8"/>
    <n v="14.52"/>
    <x v="5"/>
    <x v="0"/>
  </r>
  <r>
    <n v="44375"/>
    <x v="273"/>
    <x v="2"/>
    <x v="0"/>
    <x v="3"/>
    <x v="538"/>
    <n v="3.17"/>
    <n v="3"/>
    <n v="-2.4300000000000002"/>
    <x v="5"/>
    <x v="0"/>
  </r>
  <r>
    <n v="44375"/>
    <x v="273"/>
    <x v="2"/>
    <x v="1"/>
    <x v="5"/>
    <x v="354"/>
    <n v="1228.47"/>
    <n v="5"/>
    <n v="0"/>
    <x v="5"/>
    <x v="0"/>
  </r>
  <r>
    <n v="44375"/>
    <x v="273"/>
    <x v="2"/>
    <x v="0"/>
    <x v="3"/>
    <x v="83"/>
    <n v="31.09"/>
    <n v="3"/>
    <n v="-22.8"/>
    <x v="5"/>
    <x v="0"/>
  </r>
  <r>
    <n v="44375"/>
    <x v="273"/>
    <x v="2"/>
    <x v="0"/>
    <x v="0"/>
    <x v="539"/>
    <n v="335.52"/>
    <n v="4"/>
    <n v="117.43"/>
    <x v="5"/>
    <x v="0"/>
  </r>
  <r>
    <n v="44375"/>
    <x v="274"/>
    <x v="14"/>
    <x v="0"/>
    <x v="7"/>
    <x v="78"/>
    <n v="6.08"/>
    <n v="1"/>
    <n v="3.04"/>
    <x v="5"/>
    <x v="0"/>
  </r>
  <r>
    <n v="44376"/>
    <x v="275"/>
    <x v="10"/>
    <x v="0"/>
    <x v="4"/>
    <x v="540"/>
    <n v="32.76"/>
    <n v="7"/>
    <n v="3.69"/>
    <x v="5"/>
    <x v="0"/>
  </r>
  <r>
    <n v="44376"/>
    <x v="232"/>
    <x v="20"/>
    <x v="0"/>
    <x v="3"/>
    <x v="541"/>
    <n v="13.92"/>
    <n v="3"/>
    <n v="4.87"/>
    <x v="5"/>
    <x v="0"/>
  </r>
  <r>
    <n v="44377"/>
    <x v="276"/>
    <x v="20"/>
    <x v="0"/>
    <x v="3"/>
    <x v="542"/>
    <n v="334.77"/>
    <n v="7"/>
    <n v="108.8"/>
    <x v="5"/>
    <x v="0"/>
  </r>
  <r>
    <n v="44377"/>
    <x v="277"/>
    <x v="1"/>
    <x v="0"/>
    <x v="4"/>
    <x v="543"/>
    <n v="5.25"/>
    <n v="4"/>
    <n v="1.64"/>
    <x v="5"/>
    <x v="0"/>
  </r>
  <r>
    <n v="44377"/>
    <x v="278"/>
    <x v="3"/>
    <x v="0"/>
    <x v="4"/>
    <x v="136"/>
    <n v="32.4"/>
    <n v="5"/>
    <n v="10.37"/>
    <x v="5"/>
    <x v="0"/>
  </r>
  <r>
    <n v="44377"/>
    <x v="279"/>
    <x v="0"/>
    <x v="0"/>
    <x v="0"/>
    <x v="5"/>
    <n v="25.92"/>
    <n v="5"/>
    <n v="9.07"/>
    <x v="5"/>
    <x v="0"/>
  </r>
  <r>
    <n v="44377"/>
    <x v="279"/>
    <x v="0"/>
    <x v="0"/>
    <x v="7"/>
    <x v="78"/>
    <n v="21.31"/>
    <n v="6"/>
    <n v="7.19"/>
    <x v="5"/>
    <x v="0"/>
  </r>
  <r>
    <n v="44377"/>
    <x v="178"/>
    <x v="20"/>
    <x v="0"/>
    <x v="3"/>
    <x v="544"/>
    <n v="2.69"/>
    <n v="1"/>
    <n v="0.84"/>
    <x v="5"/>
    <x v="0"/>
  </r>
  <r>
    <n v="44377"/>
    <x v="178"/>
    <x v="20"/>
    <x v="0"/>
    <x v="4"/>
    <x v="545"/>
    <n v="6.6"/>
    <n v="3"/>
    <n v="2.9"/>
    <x v="5"/>
    <x v="0"/>
  </r>
  <r>
    <n v="44377"/>
    <x v="280"/>
    <x v="25"/>
    <x v="0"/>
    <x v="0"/>
    <x v="546"/>
    <n v="310.69"/>
    <n v="7"/>
    <n v="108.74"/>
    <x v="5"/>
    <x v="0"/>
  </r>
  <r>
    <n v="44378"/>
    <x v="112"/>
    <x v="22"/>
    <x v="0"/>
    <x v="3"/>
    <x v="547"/>
    <n v="19.920000000000002"/>
    <n v="5"/>
    <n v="6.97"/>
    <x v="6"/>
    <x v="0"/>
  </r>
  <r>
    <n v="44378"/>
    <x v="230"/>
    <x v="16"/>
    <x v="2"/>
    <x v="6"/>
    <x v="548"/>
    <n v="575.91999999999996"/>
    <n v="2"/>
    <n v="71.989999999999995"/>
    <x v="6"/>
    <x v="0"/>
  </r>
  <r>
    <n v="44378"/>
    <x v="230"/>
    <x v="16"/>
    <x v="0"/>
    <x v="3"/>
    <x v="549"/>
    <n v="5.18"/>
    <n v="6"/>
    <n v="-3.63"/>
    <x v="6"/>
    <x v="0"/>
  </r>
  <r>
    <n v="44379"/>
    <x v="281"/>
    <x v="23"/>
    <x v="2"/>
    <x v="6"/>
    <x v="550"/>
    <n v="73.98"/>
    <n v="2"/>
    <n v="19.97"/>
    <x v="6"/>
    <x v="0"/>
  </r>
  <r>
    <n v="44379"/>
    <x v="281"/>
    <x v="23"/>
    <x v="0"/>
    <x v="4"/>
    <x v="385"/>
    <n v="5.58"/>
    <n v="1"/>
    <n v="2.1800000000000002"/>
    <x v="6"/>
    <x v="0"/>
  </r>
  <r>
    <n v="44381"/>
    <x v="124"/>
    <x v="26"/>
    <x v="0"/>
    <x v="0"/>
    <x v="285"/>
    <n v="177.54"/>
    <n v="4"/>
    <n v="62.14"/>
    <x v="6"/>
    <x v="0"/>
  </r>
  <r>
    <n v="44381"/>
    <x v="124"/>
    <x v="26"/>
    <x v="0"/>
    <x v="12"/>
    <x v="38"/>
    <n v="32.43"/>
    <n v="2"/>
    <n v="3.24"/>
    <x v="6"/>
    <x v="0"/>
  </r>
  <r>
    <n v="44381"/>
    <x v="282"/>
    <x v="6"/>
    <x v="0"/>
    <x v="0"/>
    <x v="551"/>
    <n v="21.84"/>
    <n v="3"/>
    <n v="10.92"/>
    <x v="6"/>
    <x v="0"/>
  </r>
  <r>
    <n v="44381"/>
    <x v="282"/>
    <x v="6"/>
    <x v="0"/>
    <x v="3"/>
    <x v="253"/>
    <n v="15.6"/>
    <n v="5"/>
    <n v="7.64"/>
    <x v="6"/>
    <x v="0"/>
  </r>
  <r>
    <n v="44382"/>
    <x v="283"/>
    <x v="29"/>
    <x v="2"/>
    <x v="9"/>
    <x v="552"/>
    <n v="479.97"/>
    <n v="3"/>
    <n v="163.19"/>
    <x v="6"/>
    <x v="0"/>
  </r>
  <r>
    <n v="44382"/>
    <x v="283"/>
    <x v="29"/>
    <x v="0"/>
    <x v="1"/>
    <x v="553"/>
    <n v="14.62"/>
    <n v="2"/>
    <n v="6.87"/>
    <x v="6"/>
    <x v="0"/>
  </r>
  <r>
    <n v="44382"/>
    <x v="283"/>
    <x v="29"/>
    <x v="0"/>
    <x v="0"/>
    <x v="537"/>
    <n v="19.440000000000001"/>
    <n v="3"/>
    <n v="9.33"/>
    <x v="6"/>
    <x v="0"/>
  </r>
  <r>
    <n v="44382"/>
    <x v="284"/>
    <x v="0"/>
    <x v="0"/>
    <x v="2"/>
    <x v="554"/>
    <n v="220.78"/>
    <n v="3"/>
    <n v="-44.16"/>
    <x v="6"/>
    <x v="0"/>
  </r>
  <r>
    <n v="44382"/>
    <x v="284"/>
    <x v="0"/>
    <x v="0"/>
    <x v="2"/>
    <x v="555"/>
    <n v="281.42"/>
    <n v="11"/>
    <n v="-35.18"/>
    <x v="6"/>
    <x v="0"/>
  </r>
  <r>
    <n v="44382"/>
    <x v="285"/>
    <x v="3"/>
    <x v="0"/>
    <x v="3"/>
    <x v="556"/>
    <n v="180.96"/>
    <n v="6"/>
    <n v="67.86"/>
    <x v="6"/>
    <x v="0"/>
  </r>
  <r>
    <n v="44382"/>
    <x v="17"/>
    <x v="15"/>
    <x v="0"/>
    <x v="4"/>
    <x v="481"/>
    <n v="4.37"/>
    <n v="3"/>
    <n v="0.38"/>
    <x v="6"/>
    <x v="0"/>
  </r>
  <r>
    <n v="44382"/>
    <x v="286"/>
    <x v="16"/>
    <x v="1"/>
    <x v="8"/>
    <x v="557"/>
    <n v="19.52"/>
    <n v="2"/>
    <n v="5.37"/>
    <x v="6"/>
    <x v="0"/>
  </r>
  <r>
    <n v="44382"/>
    <x v="286"/>
    <x v="16"/>
    <x v="0"/>
    <x v="3"/>
    <x v="558"/>
    <n v="9.81"/>
    <n v="5"/>
    <n v="-6.87"/>
    <x v="6"/>
    <x v="0"/>
  </r>
  <r>
    <n v="44382"/>
    <x v="286"/>
    <x v="16"/>
    <x v="1"/>
    <x v="8"/>
    <x v="259"/>
    <n v="213.22"/>
    <n v="3"/>
    <n v="15.99"/>
    <x v="6"/>
    <x v="0"/>
  </r>
  <r>
    <n v="44383"/>
    <x v="287"/>
    <x v="20"/>
    <x v="2"/>
    <x v="16"/>
    <x v="559"/>
    <n v="559.99"/>
    <n v="1"/>
    <n v="175"/>
    <x v="6"/>
    <x v="0"/>
  </r>
  <r>
    <n v="44383"/>
    <x v="288"/>
    <x v="3"/>
    <x v="1"/>
    <x v="5"/>
    <x v="560"/>
    <n v="478.48"/>
    <n v="2"/>
    <n v="47.85"/>
    <x v="6"/>
    <x v="0"/>
  </r>
  <r>
    <n v="44384"/>
    <x v="154"/>
    <x v="2"/>
    <x v="1"/>
    <x v="5"/>
    <x v="561"/>
    <n v="172.19"/>
    <n v="2"/>
    <n v="-46.74"/>
    <x v="6"/>
    <x v="0"/>
  </r>
  <r>
    <n v="44384"/>
    <x v="154"/>
    <x v="2"/>
    <x v="1"/>
    <x v="8"/>
    <x v="562"/>
    <n v="69.010000000000005"/>
    <n v="2"/>
    <n v="12.08"/>
    <x v="6"/>
    <x v="0"/>
  </r>
  <r>
    <n v="44385"/>
    <x v="289"/>
    <x v="20"/>
    <x v="1"/>
    <x v="5"/>
    <x v="478"/>
    <n v="63.88"/>
    <n v="1"/>
    <n v="10.65"/>
    <x v="6"/>
    <x v="0"/>
  </r>
  <r>
    <n v="44385"/>
    <x v="290"/>
    <x v="3"/>
    <x v="1"/>
    <x v="13"/>
    <x v="92"/>
    <n v="502.49"/>
    <n v="3"/>
    <n v="-87.94"/>
    <x v="6"/>
    <x v="0"/>
  </r>
  <r>
    <n v="44385"/>
    <x v="290"/>
    <x v="3"/>
    <x v="0"/>
    <x v="3"/>
    <x v="209"/>
    <n v="196.7"/>
    <n v="6"/>
    <n v="68.849999999999994"/>
    <x v="6"/>
    <x v="0"/>
  </r>
  <r>
    <n v="44386"/>
    <x v="291"/>
    <x v="0"/>
    <x v="0"/>
    <x v="0"/>
    <x v="63"/>
    <n v="10.37"/>
    <n v="2"/>
    <n v="3.63"/>
    <x v="6"/>
    <x v="0"/>
  </r>
  <r>
    <n v="44386"/>
    <x v="291"/>
    <x v="0"/>
    <x v="0"/>
    <x v="0"/>
    <x v="563"/>
    <n v="14.35"/>
    <n v="3"/>
    <n v="4.49"/>
    <x v="6"/>
    <x v="0"/>
  </r>
  <r>
    <n v="44386"/>
    <x v="292"/>
    <x v="3"/>
    <x v="0"/>
    <x v="1"/>
    <x v="564"/>
    <n v="2.88"/>
    <n v="1"/>
    <n v="1.41"/>
    <x v="6"/>
    <x v="0"/>
  </r>
  <r>
    <n v="44386"/>
    <x v="292"/>
    <x v="3"/>
    <x v="0"/>
    <x v="3"/>
    <x v="93"/>
    <n v="41.9"/>
    <n v="6"/>
    <n v="14.14"/>
    <x v="6"/>
    <x v="0"/>
  </r>
  <r>
    <n v="44386"/>
    <x v="292"/>
    <x v="3"/>
    <x v="0"/>
    <x v="2"/>
    <x v="565"/>
    <n v="23.92"/>
    <n v="4"/>
    <n v="4.07"/>
    <x v="6"/>
    <x v="0"/>
  </r>
  <r>
    <n v="44386"/>
    <x v="293"/>
    <x v="3"/>
    <x v="0"/>
    <x v="3"/>
    <x v="566"/>
    <n v="14.3"/>
    <n v="6"/>
    <n v="4.6500000000000004"/>
    <x v="6"/>
    <x v="0"/>
  </r>
  <r>
    <n v="44386"/>
    <x v="293"/>
    <x v="3"/>
    <x v="1"/>
    <x v="11"/>
    <x v="194"/>
    <n v="119.83"/>
    <n v="1"/>
    <n v="7.05"/>
    <x v="6"/>
    <x v="0"/>
  </r>
  <r>
    <n v="44386"/>
    <x v="293"/>
    <x v="3"/>
    <x v="0"/>
    <x v="4"/>
    <x v="531"/>
    <n v="5.56"/>
    <n v="2"/>
    <n v="2.2200000000000002"/>
    <x v="6"/>
    <x v="0"/>
  </r>
  <r>
    <n v="44386"/>
    <x v="293"/>
    <x v="3"/>
    <x v="0"/>
    <x v="0"/>
    <x v="184"/>
    <n v="32.4"/>
    <n v="5"/>
    <n v="15.55"/>
    <x v="6"/>
    <x v="0"/>
  </r>
  <r>
    <n v="44388"/>
    <x v="174"/>
    <x v="23"/>
    <x v="0"/>
    <x v="0"/>
    <x v="371"/>
    <n v="177.2"/>
    <n v="5"/>
    <n v="83.28"/>
    <x v="6"/>
    <x v="0"/>
  </r>
  <r>
    <n v="44388"/>
    <x v="174"/>
    <x v="23"/>
    <x v="2"/>
    <x v="6"/>
    <x v="567"/>
    <n v="197.97"/>
    <n v="3"/>
    <n v="57.41"/>
    <x v="6"/>
    <x v="0"/>
  </r>
  <r>
    <n v="44388"/>
    <x v="174"/>
    <x v="23"/>
    <x v="1"/>
    <x v="5"/>
    <x v="160"/>
    <n v="854.94"/>
    <n v="3"/>
    <n v="213.74"/>
    <x v="6"/>
    <x v="0"/>
  </r>
  <r>
    <n v="44388"/>
    <x v="174"/>
    <x v="23"/>
    <x v="1"/>
    <x v="8"/>
    <x v="568"/>
    <n v="124.11"/>
    <n v="9"/>
    <n v="52.13"/>
    <x v="6"/>
    <x v="0"/>
  </r>
  <r>
    <n v="44388"/>
    <x v="174"/>
    <x v="23"/>
    <x v="0"/>
    <x v="1"/>
    <x v="569"/>
    <n v="14.4"/>
    <n v="5"/>
    <n v="7.06"/>
    <x v="6"/>
    <x v="0"/>
  </r>
  <r>
    <n v="44388"/>
    <x v="46"/>
    <x v="0"/>
    <x v="2"/>
    <x v="6"/>
    <x v="570"/>
    <n v="575.97"/>
    <n v="4"/>
    <n v="43.2"/>
    <x v="6"/>
    <x v="0"/>
  </r>
  <r>
    <n v="44388"/>
    <x v="46"/>
    <x v="0"/>
    <x v="0"/>
    <x v="0"/>
    <x v="571"/>
    <n v="10.37"/>
    <n v="2"/>
    <n v="3.63"/>
    <x v="6"/>
    <x v="0"/>
  </r>
  <r>
    <n v="44388"/>
    <x v="294"/>
    <x v="20"/>
    <x v="0"/>
    <x v="0"/>
    <x v="572"/>
    <n v="49.12"/>
    <n v="4"/>
    <n v="23.09"/>
    <x v="6"/>
    <x v="0"/>
  </r>
  <r>
    <n v="44388"/>
    <x v="294"/>
    <x v="20"/>
    <x v="0"/>
    <x v="3"/>
    <x v="573"/>
    <n v="18.28"/>
    <n v="5"/>
    <n v="6.4"/>
    <x v="6"/>
    <x v="0"/>
  </r>
  <r>
    <n v="44388"/>
    <x v="295"/>
    <x v="20"/>
    <x v="2"/>
    <x v="6"/>
    <x v="574"/>
    <n v="164.85"/>
    <n v="3"/>
    <n v="47.81"/>
    <x v="6"/>
    <x v="0"/>
  </r>
  <r>
    <n v="44389"/>
    <x v="296"/>
    <x v="3"/>
    <x v="0"/>
    <x v="3"/>
    <x v="575"/>
    <n v="7.71"/>
    <n v="2"/>
    <n v="2.8"/>
    <x v="6"/>
    <x v="0"/>
  </r>
  <r>
    <n v="44389"/>
    <x v="296"/>
    <x v="3"/>
    <x v="1"/>
    <x v="13"/>
    <x v="576"/>
    <n v="698.35"/>
    <n v="3"/>
    <n v="-17.46"/>
    <x v="6"/>
    <x v="0"/>
  </r>
  <r>
    <n v="44389"/>
    <x v="151"/>
    <x v="3"/>
    <x v="0"/>
    <x v="2"/>
    <x v="379"/>
    <n v="249.75"/>
    <n v="9"/>
    <n v="44.96"/>
    <x v="6"/>
    <x v="0"/>
  </r>
  <r>
    <n v="44389"/>
    <x v="151"/>
    <x v="3"/>
    <x v="2"/>
    <x v="6"/>
    <x v="577"/>
    <n v="255.94"/>
    <n v="8"/>
    <n v="28.79"/>
    <x v="6"/>
    <x v="0"/>
  </r>
  <r>
    <n v="44389"/>
    <x v="68"/>
    <x v="22"/>
    <x v="1"/>
    <x v="5"/>
    <x v="578"/>
    <n v="123.14"/>
    <n v="4"/>
    <n v="13.85"/>
    <x v="6"/>
    <x v="0"/>
  </r>
  <r>
    <n v="44389"/>
    <x v="68"/>
    <x v="22"/>
    <x v="0"/>
    <x v="3"/>
    <x v="538"/>
    <n v="11.26"/>
    <n v="4"/>
    <n v="3.8"/>
    <x v="6"/>
    <x v="0"/>
  </r>
  <r>
    <n v="44389"/>
    <x v="297"/>
    <x v="1"/>
    <x v="0"/>
    <x v="0"/>
    <x v="404"/>
    <n v="35.86"/>
    <n v="9"/>
    <n v="13"/>
    <x v="6"/>
    <x v="0"/>
  </r>
  <r>
    <n v="44389"/>
    <x v="297"/>
    <x v="1"/>
    <x v="2"/>
    <x v="9"/>
    <x v="579"/>
    <n v="23.84"/>
    <n v="4"/>
    <n v="3.28"/>
    <x v="6"/>
    <x v="0"/>
  </r>
  <r>
    <n v="44389"/>
    <x v="298"/>
    <x v="0"/>
    <x v="1"/>
    <x v="5"/>
    <x v="580"/>
    <n v="512.36"/>
    <n v="3"/>
    <n v="-14.64"/>
    <x v="6"/>
    <x v="0"/>
  </r>
  <r>
    <n v="44389"/>
    <x v="298"/>
    <x v="0"/>
    <x v="0"/>
    <x v="7"/>
    <x v="153"/>
    <n v="3.49"/>
    <n v="2"/>
    <n v="0.56999999999999995"/>
    <x v="6"/>
    <x v="0"/>
  </r>
  <r>
    <n v="44389"/>
    <x v="298"/>
    <x v="0"/>
    <x v="0"/>
    <x v="4"/>
    <x v="581"/>
    <n v="22.29"/>
    <n v="7"/>
    <n v="3.9"/>
    <x v="6"/>
    <x v="0"/>
  </r>
  <r>
    <n v="44389"/>
    <x v="298"/>
    <x v="0"/>
    <x v="0"/>
    <x v="0"/>
    <x v="59"/>
    <n v="16.03"/>
    <n v="3"/>
    <n v="5.61"/>
    <x v="6"/>
    <x v="0"/>
  </r>
  <r>
    <n v="44390"/>
    <x v="271"/>
    <x v="3"/>
    <x v="1"/>
    <x v="13"/>
    <x v="582"/>
    <n v="351.22"/>
    <n v="3"/>
    <n v="4.3899999999999997"/>
    <x v="6"/>
    <x v="0"/>
  </r>
  <r>
    <n v="44391"/>
    <x v="299"/>
    <x v="1"/>
    <x v="0"/>
    <x v="3"/>
    <x v="583"/>
    <n v="29.93"/>
    <n v="7"/>
    <n v="-46.39"/>
    <x v="6"/>
    <x v="0"/>
  </r>
  <r>
    <n v="44391"/>
    <x v="299"/>
    <x v="1"/>
    <x v="2"/>
    <x v="6"/>
    <x v="441"/>
    <n v="38.270000000000003"/>
    <n v="4"/>
    <n v="3.83"/>
    <x v="6"/>
    <x v="0"/>
  </r>
  <r>
    <n v="44391"/>
    <x v="300"/>
    <x v="12"/>
    <x v="0"/>
    <x v="2"/>
    <x v="49"/>
    <n v="55.92"/>
    <n v="5"/>
    <n v="6.29"/>
    <x v="6"/>
    <x v="0"/>
  </r>
  <r>
    <n v="44391"/>
    <x v="43"/>
    <x v="2"/>
    <x v="2"/>
    <x v="6"/>
    <x v="584"/>
    <n v="13.49"/>
    <n v="1"/>
    <n v="-2.25"/>
    <x v="6"/>
    <x v="0"/>
  </r>
  <r>
    <n v="44391"/>
    <x v="43"/>
    <x v="2"/>
    <x v="2"/>
    <x v="6"/>
    <x v="585"/>
    <n v="23.99"/>
    <n v="2"/>
    <n v="-13.99"/>
    <x v="6"/>
    <x v="0"/>
  </r>
  <r>
    <n v="44391"/>
    <x v="43"/>
    <x v="2"/>
    <x v="1"/>
    <x v="8"/>
    <x v="586"/>
    <n v="31.98"/>
    <n v="2"/>
    <n v="1.2"/>
    <x v="6"/>
    <x v="0"/>
  </r>
  <r>
    <n v="44391"/>
    <x v="43"/>
    <x v="2"/>
    <x v="0"/>
    <x v="4"/>
    <x v="151"/>
    <n v="41.58"/>
    <n v="2"/>
    <n v="4.68"/>
    <x v="6"/>
    <x v="0"/>
  </r>
  <r>
    <n v="44391"/>
    <x v="301"/>
    <x v="7"/>
    <x v="0"/>
    <x v="12"/>
    <x v="587"/>
    <n v="39.479999999999997"/>
    <n v="1"/>
    <n v="11.05"/>
    <x v="6"/>
    <x v="0"/>
  </r>
  <r>
    <n v="44391"/>
    <x v="302"/>
    <x v="20"/>
    <x v="0"/>
    <x v="4"/>
    <x v="588"/>
    <n v="17.940000000000001"/>
    <n v="3"/>
    <n v="4.49"/>
    <x v="6"/>
    <x v="0"/>
  </r>
  <r>
    <n v="44392"/>
    <x v="197"/>
    <x v="19"/>
    <x v="2"/>
    <x v="9"/>
    <x v="589"/>
    <n v="2.97"/>
    <n v="3"/>
    <n v="1.31"/>
    <x v="6"/>
    <x v="0"/>
  </r>
  <r>
    <n v="44392"/>
    <x v="197"/>
    <x v="19"/>
    <x v="0"/>
    <x v="7"/>
    <x v="590"/>
    <n v="6.54"/>
    <n v="3"/>
    <n v="2.68"/>
    <x v="6"/>
    <x v="0"/>
  </r>
  <r>
    <n v="44395"/>
    <x v="303"/>
    <x v="12"/>
    <x v="1"/>
    <x v="5"/>
    <x v="591"/>
    <n v="259.14"/>
    <n v="4"/>
    <n v="-25.91"/>
    <x v="6"/>
    <x v="0"/>
  </r>
  <r>
    <n v="44395"/>
    <x v="304"/>
    <x v="20"/>
    <x v="0"/>
    <x v="3"/>
    <x v="592"/>
    <n v="13.9"/>
    <n v="2"/>
    <n v="4.5199999999999996"/>
    <x v="6"/>
    <x v="0"/>
  </r>
  <r>
    <n v="44396"/>
    <x v="305"/>
    <x v="37"/>
    <x v="2"/>
    <x v="6"/>
    <x v="570"/>
    <n v="359.98"/>
    <n v="2"/>
    <n v="93.59"/>
    <x v="6"/>
    <x v="0"/>
  </r>
  <r>
    <n v="44396"/>
    <x v="305"/>
    <x v="37"/>
    <x v="1"/>
    <x v="13"/>
    <x v="593"/>
    <n v="70.56"/>
    <n v="1"/>
    <n v="-4.03"/>
    <x v="6"/>
    <x v="0"/>
  </r>
  <r>
    <n v="44396"/>
    <x v="305"/>
    <x v="37"/>
    <x v="0"/>
    <x v="3"/>
    <x v="594"/>
    <n v="20.88"/>
    <n v="2"/>
    <n v="9.6"/>
    <x v="6"/>
    <x v="0"/>
  </r>
  <r>
    <n v="44396"/>
    <x v="305"/>
    <x v="37"/>
    <x v="0"/>
    <x v="3"/>
    <x v="595"/>
    <n v="3.81"/>
    <n v="1"/>
    <n v="1.83"/>
    <x v="6"/>
    <x v="0"/>
  </r>
  <r>
    <n v="44396"/>
    <x v="306"/>
    <x v="35"/>
    <x v="0"/>
    <x v="3"/>
    <x v="596"/>
    <n v="6.1"/>
    <n v="2"/>
    <n v="2.21"/>
    <x v="6"/>
    <x v="0"/>
  </r>
  <r>
    <n v="44397"/>
    <x v="307"/>
    <x v="0"/>
    <x v="0"/>
    <x v="2"/>
    <x v="597"/>
    <n v="342.86"/>
    <n v="3"/>
    <n v="38.57"/>
    <x v="6"/>
    <x v="0"/>
  </r>
  <r>
    <n v="44397"/>
    <x v="307"/>
    <x v="0"/>
    <x v="1"/>
    <x v="8"/>
    <x v="598"/>
    <n v="16.739999999999998"/>
    <n v="5"/>
    <n v="-14.23"/>
    <x v="6"/>
    <x v="0"/>
  </r>
  <r>
    <n v="44397"/>
    <x v="307"/>
    <x v="0"/>
    <x v="1"/>
    <x v="5"/>
    <x v="599"/>
    <n v="981.37"/>
    <n v="2"/>
    <n v="-140.19999999999999"/>
    <x v="6"/>
    <x v="0"/>
  </r>
  <r>
    <n v="44397"/>
    <x v="308"/>
    <x v="10"/>
    <x v="0"/>
    <x v="2"/>
    <x v="99"/>
    <n v="25.98"/>
    <n v="1"/>
    <n v="-5.2"/>
    <x v="6"/>
    <x v="0"/>
  </r>
  <r>
    <n v="44397"/>
    <x v="308"/>
    <x v="10"/>
    <x v="0"/>
    <x v="3"/>
    <x v="417"/>
    <n v="27.36"/>
    <n v="3"/>
    <n v="-21.89"/>
    <x v="6"/>
    <x v="0"/>
  </r>
  <r>
    <n v="44397"/>
    <x v="309"/>
    <x v="3"/>
    <x v="0"/>
    <x v="0"/>
    <x v="600"/>
    <n v="104.85"/>
    <n v="1"/>
    <n v="50.33"/>
    <x v="6"/>
    <x v="0"/>
  </r>
  <r>
    <n v="44397"/>
    <x v="309"/>
    <x v="3"/>
    <x v="0"/>
    <x v="3"/>
    <x v="601"/>
    <n v="8.6999999999999993"/>
    <n v="2"/>
    <n v="3.16"/>
    <x v="6"/>
    <x v="0"/>
  </r>
  <r>
    <n v="44397"/>
    <x v="309"/>
    <x v="3"/>
    <x v="0"/>
    <x v="0"/>
    <x v="602"/>
    <n v="19.920000000000002"/>
    <n v="4"/>
    <n v="9.76"/>
    <x v="6"/>
    <x v="0"/>
  </r>
  <r>
    <n v="44397"/>
    <x v="309"/>
    <x v="3"/>
    <x v="1"/>
    <x v="8"/>
    <x v="603"/>
    <n v="43.02"/>
    <n v="3"/>
    <n v="15.49"/>
    <x v="6"/>
    <x v="0"/>
  </r>
  <r>
    <n v="44397"/>
    <x v="310"/>
    <x v="3"/>
    <x v="0"/>
    <x v="3"/>
    <x v="604"/>
    <n v="89.71"/>
    <n v="6"/>
    <n v="30.28"/>
    <x v="6"/>
    <x v="0"/>
  </r>
  <r>
    <n v="44397"/>
    <x v="310"/>
    <x v="3"/>
    <x v="0"/>
    <x v="0"/>
    <x v="605"/>
    <n v="22.83"/>
    <n v="3"/>
    <n v="10.73"/>
    <x v="6"/>
    <x v="0"/>
  </r>
  <r>
    <n v="44397"/>
    <x v="104"/>
    <x v="3"/>
    <x v="2"/>
    <x v="9"/>
    <x v="606"/>
    <n v="41.94"/>
    <n v="2"/>
    <n v="15.1"/>
    <x v="6"/>
    <x v="0"/>
  </r>
  <r>
    <n v="44397"/>
    <x v="104"/>
    <x v="3"/>
    <x v="0"/>
    <x v="0"/>
    <x v="607"/>
    <n v="11.96"/>
    <n v="2"/>
    <n v="5.86"/>
    <x v="6"/>
    <x v="0"/>
  </r>
  <r>
    <n v="44397"/>
    <x v="104"/>
    <x v="3"/>
    <x v="0"/>
    <x v="4"/>
    <x v="608"/>
    <n v="13.12"/>
    <n v="4"/>
    <n v="3.8"/>
    <x v="6"/>
    <x v="0"/>
  </r>
  <r>
    <n v="44397"/>
    <x v="104"/>
    <x v="3"/>
    <x v="0"/>
    <x v="2"/>
    <x v="168"/>
    <n v="535.41"/>
    <n v="3"/>
    <n v="160.62"/>
    <x v="6"/>
    <x v="0"/>
  </r>
  <r>
    <n v="44398"/>
    <x v="311"/>
    <x v="3"/>
    <x v="0"/>
    <x v="4"/>
    <x v="609"/>
    <n v="99.2"/>
    <n v="5"/>
    <n v="25.79"/>
    <x v="6"/>
    <x v="0"/>
  </r>
  <r>
    <n v="44398"/>
    <x v="311"/>
    <x v="3"/>
    <x v="1"/>
    <x v="5"/>
    <x v="610"/>
    <n v="801.57"/>
    <n v="2"/>
    <n v="50.1"/>
    <x v="6"/>
    <x v="0"/>
  </r>
  <r>
    <n v="44398"/>
    <x v="311"/>
    <x v="3"/>
    <x v="1"/>
    <x v="13"/>
    <x v="179"/>
    <n v="272.85000000000002"/>
    <n v="1"/>
    <n v="27.28"/>
    <x v="6"/>
    <x v="0"/>
  </r>
  <r>
    <n v="44398"/>
    <x v="312"/>
    <x v="0"/>
    <x v="0"/>
    <x v="12"/>
    <x v="406"/>
    <n v="4.99"/>
    <n v="3"/>
    <n v="-12.98"/>
    <x v="6"/>
    <x v="0"/>
  </r>
  <r>
    <n v="44398"/>
    <x v="312"/>
    <x v="0"/>
    <x v="0"/>
    <x v="10"/>
    <x v="611"/>
    <n v="87.92"/>
    <n v="5"/>
    <n v="29.67"/>
    <x v="6"/>
    <x v="0"/>
  </r>
  <r>
    <n v="44398"/>
    <x v="312"/>
    <x v="0"/>
    <x v="1"/>
    <x v="5"/>
    <x v="612"/>
    <n v="657.93"/>
    <n v="5"/>
    <n v="-93.99"/>
    <x v="6"/>
    <x v="0"/>
  </r>
  <r>
    <n v="44398"/>
    <x v="312"/>
    <x v="0"/>
    <x v="0"/>
    <x v="3"/>
    <x v="613"/>
    <n v="1.04"/>
    <n v="1"/>
    <n v="-1.83"/>
    <x v="6"/>
    <x v="0"/>
  </r>
  <r>
    <n v="44398"/>
    <x v="190"/>
    <x v="40"/>
    <x v="2"/>
    <x v="6"/>
    <x v="227"/>
    <n v="35.979999999999997"/>
    <n v="2"/>
    <n v="10.07"/>
    <x v="6"/>
    <x v="0"/>
  </r>
  <r>
    <n v="44399"/>
    <x v="313"/>
    <x v="20"/>
    <x v="0"/>
    <x v="4"/>
    <x v="614"/>
    <n v="5.96"/>
    <n v="2"/>
    <n v="1.67"/>
    <x v="6"/>
    <x v="0"/>
  </r>
  <r>
    <n v="44399"/>
    <x v="313"/>
    <x v="20"/>
    <x v="2"/>
    <x v="9"/>
    <x v="615"/>
    <n v="159.97999999999999"/>
    <n v="2"/>
    <n v="57.59"/>
    <x v="6"/>
    <x v="0"/>
  </r>
  <r>
    <n v="44399"/>
    <x v="201"/>
    <x v="3"/>
    <x v="0"/>
    <x v="4"/>
    <x v="616"/>
    <n v="11.52"/>
    <n v="4"/>
    <n v="3.23"/>
    <x v="6"/>
    <x v="0"/>
  </r>
  <r>
    <n v="44399"/>
    <x v="201"/>
    <x v="3"/>
    <x v="1"/>
    <x v="5"/>
    <x v="560"/>
    <n v="717.72"/>
    <n v="3"/>
    <n v="71.77"/>
    <x v="6"/>
    <x v="0"/>
  </r>
  <r>
    <n v="44399"/>
    <x v="201"/>
    <x v="3"/>
    <x v="0"/>
    <x v="2"/>
    <x v="617"/>
    <n v="236.5"/>
    <n v="10"/>
    <n v="68.59"/>
    <x v="6"/>
    <x v="0"/>
  </r>
  <r>
    <n v="44399"/>
    <x v="201"/>
    <x v="3"/>
    <x v="1"/>
    <x v="13"/>
    <x v="618"/>
    <n v="170.35"/>
    <n v="3"/>
    <n v="19.16"/>
    <x v="6"/>
    <x v="0"/>
  </r>
  <r>
    <n v="44399"/>
    <x v="314"/>
    <x v="3"/>
    <x v="0"/>
    <x v="4"/>
    <x v="268"/>
    <n v="19.68"/>
    <n v="6"/>
    <n v="6.49"/>
    <x v="6"/>
    <x v="0"/>
  </r>
  <r>
    <n v="44399"/>
    <x v="315"/>
    <x v="0"/>
    <x v="0"/>
    <x v="2"/>
    <x v="53"/>
    <n v="26.63"/>
    <n v="1"/>
    <n v="1.33"/>
    <x v="6"/>
    <x v="0"/>
  </r>
  <r>
    <n v="44400"/>
    <x v="316"/>
    <x v="12"/>
    <x v="0"/>
    <x v="3"/>
    <x v="601"/>
    <n v="8.16"/>
    <n v="5"/>
    <n v="-5.71"/>
    <x v="6"/>
    <x v="0"/>
  </r>
  <r>
    <n v="44400"/>
    <x v="316"/>
    <x v="12"/>
    <x v="2"/>
    <x v="9"/>
    <x v="552"/>
    <n v="1023.94"/>
    <n v="8"/>
    <n v="179.19"/>
    <x v="6"/>
    <x v="0"/>
  </r>
  <r>
    <n v="44400"/>
    <x v="316"/>
    <x v="12"/>
    <x v="0"/>
    <x v="4"/>
    <x v="619"/>
    <n v="9.24"/>
    <n v="1"/>
    <n v="0.92"/>
    <x v="6"/>
    <x v="0"/>
  </r>
  <r>
    <n v="44400"/>
    <x v="316"/>
    <x v="12"/>
    <x v="2"/>
    <x v="9"/>
    <x v="620"/>
    <n v="479.04"/>
    <n v="10"/>
    <n v="-29.94"/>
    <x v="6"/>
    <x v="0"/>
  </r>
  <r>
    <n v="44400"/>
    <x v="199"/>
    <x v="20"/>
    <x v="2"/>
    <x v="9"/>
    <x v="621"/>
    <n v="99.98"/>
    <n v="2"/>
    <n v="8"/>
    <x v="6"/>
    <x v="0"/>
  </r>
  <r>
    <n v="44400"/>
    <x v="317"/>
    <x v="3"/>
    <x v="2"/>
    <x v="6"/>
    <x v="431"/>
    <n v="604.75"/>
    <n v="6"/>
    <n v="60.48"/>
    <x v="6"/>
    <x v="0"/>
  </r>
  <r>
    <n v="44400"/>
    <x v="317"/>
    <x v="3"/>
    <x v="0"/>
    <x v="14"/>
    <x v="622"/>
    <n v="40.700000000000003"/>
    <n v="5"/>
    <n v="11.8"/>
    <x v="6"/>
    <x v="0"/>
  </r>
  <r>
    <n v="44400"/>
    <x v="317"/>
    <x v="3"/>
    <x v="2"/>
    <x v="6"/>
    <x v="338"/>
    <n v="302.38"/>
    <n v="3"/>
    <n v="37.799999999999997"/>
    <x v="6"/>
    <x v="0"/>
  </r>
  <r>
    <n v="44400"/>
    <x v="317"/>
    <x v="3"/>
    <x v="2"/>
    <x v="9"/>
    <x v="623"/>
    <n v="45"/>
    <n v="3"/>
    <n v="4.95"/>
    <x v="6"/>
    <x v="0"/>
  </r>
  <r>
    <n v="44402"/>
    <x v="318"/>
    <x v="3"/>
    <x v="0"/>
    <x v="2"/>
    <x v="624"/>
    <n v="53.72"/>
    <n v="4"/>
    <n v="15.04"/>
    <x v="6"/>
    <x v="0"/>
  </r>
  <r>
    <n v="44402"/>
    <x v="318"/>
    <x v="3"/>
    <x v="0"/>
    <x v="14"/>
    <x v="625"/>
    <n v="8187.65"/>
    <n v="5"/>
    <n v="327.51"/>
    <x v="6"/>
    <x v="0"/>
  </r>
  <r>
    <n v="44402"/>
    <x v="318"/>
    <x v="3"/>
    <x v="1"/>
    <x v="8"/>
    <x v="626"/>
    <n v="77.92"/>
    <n v="8"/>
    <n v="34.28"/>
    <x v="6"/>
    <x v="0"/>
  </r>
  <r>
    <n v="44402"/>
    <x v="58"/>
    <x v="3"/>
    <x v="0"/>
    <x v="0"/>
    <x v="183"/>
    <n v="6.48"/>
    <n v="1"/>
    <n v="3.18"/>
    <x v="6"/>
    <x v="0"/>
  </r>
  <r>
    <n v="44402"/>
    <x v="58"/>
    <x v="3"/>
    <x v="0"/>
    <x v="14"/>
    <x v="532"/>
    <n v="15.52"/>
    <n v="4"/>
    <n v="4.5"/>
    <x v="6"/>
    <x v="0"/>
  </r>
  <r>
    <n v="44403"/>
    <x v="319"/>
    <x v="1"/>
    <x v="0"/>
    <x v="2"/>
    <x v="627"/>
    <n v="123.55"/>
    <n v="3"/>
    <n v="-29.34"/>
    <x v="6"/>
    <x v="0"/>
  </r>
  <r>
    <n v="44403"/>
    <x v="111"/>
    <x v="17"/>
    <x v="2"/>
    <x v="6"/>
    <x v="628"/>
    <n v="911.98"/>
    <n v="2"/>
    <n v="114"/>
    <x v="6"/>
    <x v="0"/>
  </r>
  <r>
    <n v="44403"/>
    <x v="111"/>
    <x v="17"/>
    <x v="1"/>
    <x v="5"/>
    <x v="629"/>
    <n v="674.35"/>
    <n v="3"/>
    <n v="-109.58"/>
    <x v="6"/>
    <x v="0"/>
  </r>
  <r>
    <n v="44403"/>
    <x v="111"/>
    <x v="17"/>
    <x v="1"/>
    <x v="8"/>
    <x v="630"/>
    <n v="134.01"/>
    <n v="9"/>
    <n v="36.18"/>
    <x v="6"/>
    <x v="0"/>
  </r>
  <r>
    <n v="44403"/>
    <x v="111"/>
    <x v="17"/>
    <x v="2"/>
    <x v="9"/>
    <x v="631"/>
    <n v="170.97"/>
    <n v="3"/>
    <n v="70.099999999999994"/>
    <x v="6"/>
    <x v="0"/>
  </r>
  <r>
    <n v="44403"/>
    <x v="4"/>
    <x v="27"/>
    <x v="2"/>
    <x v="9"/>
    <x v="632"/>
    <n v="111.93"/>
    <n v="7"/>
    <n v="34.700000000000003"/>
    <x v="6"/>
    <x v="0"/>
  </r>
  <r>
    <n v="44403"/>
    <x v="320"/>
    <x v="4"/>
    <x v="1"/>
    <x v="5"/>
    <x v="633"/>
    <n v="67.88"/>
    <n v="2"/>
    <n v="18.329999999999998"/>
    <x v="6"/>
    <x v="0"/>
  </r>
  <r>
    <n v="44403"/>
    <x v="320"/>
    <x v="4"/>
    <x v="0"/>
    <x v="1"/>
    <x v="634"/>
    <n v="162.88999999999999"/>
    <n v="13"/>
    <n v="76.56"/>
    <x v="6"/>
    <x v="0"/>
  </r>
  <r>
    <n v="44403"/>
    <x v="320"/>
    <x v="4"/>
    <x v="1"/>
    <x v="8"/>
    <x v="635"/>
    <n v="25.71"/>
    <n v="3"/>
    <n v="9.26"/>
    <x v="6"/>
    <x v="0"/>
  </r>
  <r>
    <n v="44403"/>
    <x v="321"/>
    <x v="0"/>
    <x v="0"/>
    <x v="3"/>
    <x v="501"/>
    <n v="2177.58"/>
    <n v="8"/>
    <n v="-3701.89"/>
    <x v="6"/>
    <x v="0"/>
  </r>
  <r>
    <n v="44403"/>
    <x v="321"/>
    <x v="0"/>
    <x v="1"/>
    <x v="8"/>
    <x v="636"/>
    <n v="17.5"/>
    <n v="3"/>
    <n v="-10.06"/>
    <x v="6"/>
    <x v="0"/>
  </r>
  <r>
    <n v="44403"/>
    <x v="321"/>
    <x v="0"/>
    <x v="0"/>
    <x v="3"/>
    <x v="637"/>
    <n v="16.78"/>
    <n v="4"/>
    <n v="-26.85"/>
    <x v="6"/>
    <x v="0"/>
  </r>
  <r>
    <n v="44403"/>
    <x v="321"/>
    <x v="0"/>
    <x v="2"/>
    <x v="9"/>
    <x v="620"/>
    <n v="431.14"/>
    <n v="9"/>
    <n v="-26.95"/>
    <x v="6"/>
    <x v="0"/>
  </r>
  <r>
    <n v="44403"/>
    <x v="321"/>
    <x v="0"/>
    <x v="0"/>
    <x v="3"/>
    <x v="638"/>
    <n v="8.8800000000000008"/>
    <n v="5"/>
    <n v="-13.32"/>
    <x v="6"/>
    <x v="0"/>
  </r>
  <r>
    <n v="44403"/>
    <x v="321"/>
    <x v="0"/>
    <x v="0"/>
    <x v="12"/>
    <x v="639"/>
    <n v="4.84"/>
    <n v="2"/>
    <n v="-12.09"/>
    <x v="6"/>
    <x v="0"/>
  </r>
  <r>
    <n v="44404"/>
    <x v="60"/>
    <x v="3"/>
    <x v="2"/>
    <x v="9"/>
    <x v="640"/>
    <n v="238"/>
    <n v="2"/>
    <n v="38.08"/>
    <x v="6"/>
    <x v="0"/>
  </r>
  <r>
    <n v="44404"/>
    <x v="322"/>
    <x v="20"/>
    <x v="0"/>
    <x v="0"/>
    <x v="641"/>
    <n v="65.78"/>
    <n v="11"/>
    <n v="32.229999999999997"/>
    <x v="6"/>
    <x v="0"/>
  </r>
  <r>
    <n v="44404"/>
    <x v="323"/>
    <x v="3"/>
    <x v="0"/>
    <x v="2"/>
    <x v="332"/>
    <n v="276.27999999999997"/>
    <n v="2"/>
    <n v="0"/>
    <x v="6"/>
    <x v="0"/>
  </r>
  <r>
    <n v="44405"/>
    <x v="74"/>
    <x v="16"/>
    <x v="0"/>
    <x v="7"/>
    <x v="642"/>
    <n v="14.32"/>
    <n v="5"/>
    <n v="5.19"/>
    <x v="6"/>
    <x v="0"/>
  </r>
  <r>
    <n v="44405"/>
    <x v="74"/>
    <x v="16"/>
    <x v="1"/>
    <x v="8"/>
    <x v="643"/>
    <n v="129.88999999999999"/>
    <n v="6"/>
    <n v="12.99"/>
    <x v="6"/>
    <x v="0"/>
  </r>
  <r>
    <n v="44405"/>
    <x v="74"/>
    <x v="16"/>
    <x v="0"/>
    <x v="10"/>
    <x v="474"/>
    <n v="48.94"/>
    <n v="7"/>
    <n v="16.52"/>
    <x v="6"/>
    <x v="0"/>
  </r>
  <r>
    <n v="44407"/>
    <x v="324"/>
    <x v="22"/>
    <x v="1"/>
    <x v="11"/>
    <x v="644"/>
    <n v="1367.84"/>
    <n v="8"/>
    <n v="259.89"/>
    <x v="6"/>
    <x v="0"/>
  </r>
  <r>
    <n v="44409"/>
    <x v="302"/>
    <x v="25"/>
    <x v="0"/>
    <x v="1"/>
    <x v="645"/>
    <n v="17.54"/>
    <n v="3"/>
    <n v="5.92"/>
    <x v="7"/>
    <x v="0"/>
  </r>
  <r>
    <n v="44409"/>
    <x v="302"/>
    <x v="25"/>
    <x v="1"/>
    <x v="8"/>
    <x v="568"/>
    <n v="44.13"/>
    <n v="4"/>
    <n v="12.14"/>
    <x v="7"/>
    <x v="0"/>
  </r>
  <r>
    <n v="44409"/>
    <x v="302"/>
    <x v="25"/>
    <x v="0"/>
    <x v="12"/>
    <x v="447"/>
    <n v="62.92"/>
    <n v="1"/>
    <n v="10.220000000000001"/>
    <x v="7"/>
    <x v="0"/>
  </r>
  <r>
    <n v="44409"/>
    <x v="302"/>
    <x v="25"/>
    <x v="0"/>
    <x v="0"/>
    <x v="646"/>
    <n v="78.3"/>
    <n v="2"/>
    <n v="29.36"/>
    <x v="7"/>
    <x v="0"/>
  </r>
  <r>
    <n v="44409"/>
    <x v="325"/>
    <x v="3"/>
    <x v="0"/>
    <x v="3"/>
    <x v="647"/>
    <n v="19.75"/>
    <n v="3"/>
    <n v="6.91"/>
    <x v="7"/>
    <x v="0"/>
  </r>
  <r>
    <n v="44409"/>
    <x v="326"/>
    <x v="2"/>
    <x v="0"/>
    <x v="7"/>
    <x v="648"/>
    <n v="5.68"/>
    <n v="2"/>
    <n v="1.92"/>
    <x v="7"/>
    <x v="0"/>
  </r>
  <r>
    <n v="44410"/>
    <x v="327"/>
    <x v="24"/>
    <x v="0"/>
    <x v="3"/>
    <x v="68"/>
    <n v="26.7"/>
    <n v="5"/>
    <n v="12.55"/>
    <x v="7"/>
    <x v="0"/>
  </r>
  <r>
    <n v="44410"/>
    <x v="327"/>
    <x v="24"/>
    <x v="2"/>
    <x v="9"/>
    <x v="649"/>
    <n v="21.2"/>
    <n v="2"/>
    <n v="9.1199999999999992"/>
    <x v="7"/>
    <x v="0"/>
  </r>
  <r>
    <n v="44410"/>
    <x v="327"/>
    <x v="24"/>
    <x v="0"/>
    <x v="2"/>
    <x v="650"/>
    <n v="838.38"/>
    <n v="2"/>
    <n v="226.36"/>
    <x v="7"/>
    <x v="0"/>
  </r>
  <r>
    <n v="44411"/>
    <x v="206"/>
    <x v="26"/>
    <x v="1"/>
    <x v="13"/>
    <x v="651"/>
    <n v="218.75"/>
    <n v="2"/>
    <n v="-161.88"/>
    <x v="7"/>
    <x v="0"/>
  </r>
  <r>
    <n v="44411"/>
    <x v="206"/>
    <x v="26"/>
    <x v="0"/>
    <x v="12"/>
    <x v="652"/>
    <n v="2.6"/>
    <n v="1"/>
    <n v="0.28999999999999998"/>
    <x v="7"/>
    <x v="0"/>
  </r>
  <r>
    <n v="44411"/>
    <x v="328"/>
    <x v="20"/>
    <x v="0"/>
    <x v="0"/>
    <x v="653"/>
    <n v="39.96"/>
    <n v="2"/>
    <n v="18.78"/>
    <x v="7"/>
    <x v="0"/>
  </r>
  <r>
    <n v="44411"/>
    <x v="328"/>
    <x v="20"/>
    <x v="0"/>
    <x v="14"/>
    <x v="654"/>
    <n v="102.3"/>
    <n v="10"/>
    <n v="26.6"/>
    <x v="7"/>
    <x v="0"/>
  </r>
  <r>
    <n v="44411"/>
    <x v="328"/>
    <x v="20"/>
    <x v="0"/>
    <x v="2"/>
    <x v="163"/>
    <n v="21.36"/>
    <n v="2"/>
    <n v="5.77"/>
    <x v="7"/>
    <x v="0"/>
  </r>
  <r>
    <n v="44411"/>
    <x v="292"/>
    <x v="12"/>
    <x v="0"/>
    <x v="0"/>
    <x v="655"/>
    <n v="93.02"/>
    <n v="3"/>
    <n v="33.72"/>
    <x v="7"/>
    <x v="0"/>
  </r>
  <r>
    <n v="44412"/>
    <x v="329"/>
    <x v="27"/>
    <x v="0"/>
    <x v="12"/>
    <x v="656"/>
    <n v="1089.75"/>
    <n v="3"/>
    <n v="305.13"/>
    <x v="7"/>
    <x v="0"/>
  </r>
  <r>
    <n v="44412"/>
    <x v="329"/>
    <x v="27"/>
    <x v="0"/>
    <x v="0"/>
    <x v="657"/>
    <n v="447.84"/>
    <n v="8"/>
    <n v="219.44"/>
    <x v="7"/>
    <x v="0"/>
  </r>
  <r>
    <n v="44412"/>
    <x v="329"/>
    <x v="27"/>
    <x v="0"/>
    <x v="4"/>
    <x v="658"/>
    <n v="16.399999999999999"/>
    <n v="5"/>
    <n v="4.26"/>
    <x v="7"/>
    <x v="0"/>
  </r>
  <r>
    <n v="44412"/>
    <x v="329"/>
    <x v="27"/>
    <x v="2"/>
    <x v="6"/>
    <x v="659"/>
    <n v="399.96"/>
    <n v="5"/>
    <n v="35"/>
    <x v="7"/>
    <x v="0"/>
  </r>
  <r>
    <n v="44412"/>
    <x v="329"/>
    <x v="27"/>
    <x v="0"/>
    <x v="2"/>
    <x v="660"/>
    <n v="158.9"/>
    <n v="5"/>
    <n v="7.95"/>
    <x v="7"/>
    <x v="0"/>
  </r>
  <r>
    <n v="44412"/>
    <x v="329"/>
    <x v="27"/>
    <x v="0"/>
    <x v="3"/>
    <x v="275"/>
    <n v="13.18"/>
    <n v="1"/>
    <n v="4.78"/>
    <x v="7"/>
    <x v="0"/>
  </r>
  <r>
    <n v="44412"/>
    <x v="44"/>
    <x v="41"/>
    <x v="0"/>
    <x v="12"/>
    <x v="661"/>
    <n v="101.96"/>
    <n v="2"/>
    <n v="27.53"/>
    <x v="7"/>
    <x v="0"/>
  </r>
  <r>
    <n v="44412"/>
    <x v="44"/>
    <x v="41"/>
    <x v="0"/>
    <x v="0"/>
    <x v="386"/>
    <n v="259.74"/>
    <n v="13"/>
    <n v="124.68"/>
    <x v="7"/>
    <x v="0"/>
  </r>
  <r>
    <n v="44412"/>
    <x v="44"/>
    <x v="41"/>
    <x v="2"/>
    <x v="9"/>
    <x v="662"/>
    <n v="255.42"/>
    <n v="9"/>
    <n v="104.72"/>
    <x v="7"/>
    <x v="0"/>
  </r>
  <r>
    <n v="44413"/>
    <x v="330"/>
    <x v="3"/>
    <x v="0"/>
    <x v="0"/>
    <x v="663"/>
    <n v="20.94"/>
    <n v="3"/>
    <n v="9.84"/>
    <x v="7"/>
    <x v="0"/>
  </r>
  <r>
    <n v="44413"/>
    <x v="330"/>
    <x v="3"/>
    <x v="0"/>
    <x v="0"/>
    <x v="546"/>
    <n v="110.96"/>
    <n v="2"/>
    <n v="53.26"/>
    <x v="7"/>
    <x v="0"/>
  </r>
  <r>
    <n v="44413"/>
    <x v="330"/>
    <x v="3"/>
    <x v="1"/>
    <x v="5"/>
    <x v="664"/>
    <n v="340.14"/>
    <n v="7"/>
    <n v="21.26"/>
    <x v="7"/>
    <x v="0"/>
  </r>
  <r>
    <n v="44413"/>
    <x v="331"/>
    <x v="3"/>
    <x v="2"/>
    <x v="9"/>
    <x v="665"/>
    <n v="16.36"/>
    <n v="1"/>
    <n v="1.64"/>
    <x v="7"/>
    <x v="0"/>
  </r>
  <r>
    <n v="44413"/>
    <x v="331"/>
    <x v="3"/>
    <x v="0"/>
    <x v="2"/>
    <x v="110"/>
    <n v="15.78"/>
    <n v="2"/>
    <n v="0.63"/>
    <x v="7"/>
    <x v="0"/>
  </r>
  <r>
    <n v="44413"/>
    <x v="331"/>
    <x v="3"/>
    <x v="0"/>
    <x v="4"/>
    <x v="666"/>
    <n v="45.98"/>
    <n v="2"/>
    <n v="12.87"/>
    <x v="7"/>
    <x v="0"/>
  </r>
  <r>
    <n v="44413"/>
    <x v="332"/>
    <x v="37"/>
    <x v="0"/>
    <x v="12"/>
    <x v="244"/>
    <n v="79.47"/>
    <n v="3"/>
    <n v="22.25"/>
    <x v="7"/>
    <x v="0"/>
  </r>
  <r>
    <n v="44413"/>
    <x v="332"/>
    <x v="37"/>
    <x v="0"/>
    <x v="4"/>
    <x v="667"/>
    <n v="4.5599999999999996"/>
    <n v="2"/>
    <n v="2.0099999999999998"/>
    <x v="7"/>
    <x v="0"/>
  </r>
  <r>
    <n v="44413"/>
    <x v="332"/>
    <x v="37"/>
    <x v="1"/>
    <x v="5"/>
    <x v="668"/>
    <n v="1133.3499999999999"/>
    <n v="5"/>
    <n v="294.67"/>
    <x v="7"/>
    <x v="0"/>
  </r>
  <r>
    <n v="44413"/>
    <x v="153"/>
    <x v="20"/>
    <x v="2"/>
    <x v="6"/>
    <x v="669"/>
    <n v="135.99"/>
    <n v="1"/>
    <n v="36.72"/>
    <x v="7"/>
    <x v="0"/>
  </r>
  <r>
    <n v="44413"/>
    <x v="153"/>
    <x v="20"/>
    <x v="0"/>
    <x v="4"/>
    <x v="667"/>
    <n v="15.96"/>
    <n v="7"/>
    <n v="7.02"/>
    <x v="7"/>
    <x v="0"/>
  </r>
  <r>
    <n v="44413"/>
    <x v="333"/>
    <x v="0"/>
    <x v="1"/>
    <x v="13"/>
    <x v="670"/>
    <n v="489.23"/>
    <n v="2"/>
    <n v="41.93"/>
    <x v="7"/>
    <x v="0"/>
  </r>
  <r>
    <n v="44414"/>
    <x v="334"/>
    <x v="9"/>
    <x v="2"/>
    <x v="9"/>
    <x v="606"/>
    <n v="62.91"/>
    <n v="3"/>
    <n v="22.65"/>
    <x v="7"/>
    <x v="0"/>
  </r>
  <r>
    <n v="44414"/>
    <x v="335"/>
    <x v="20"/>
    <x v="2"/>
    <x v="9"/>
    <x v="671"/>
    <n v="199.98"/>
    <n v="2"/>
    <n v="83.99"/>
    <x v="7"/>
    <x v="0"/>
  </r>
  <r>
    <n v="44416"/>
    <x v="336"/>
    <x v="3"/>
    <x v="0"/>
    <x v="12"/>
    <x v="672"/>
    <n v="76.12"/>
    <n v="2"/>
    <n v="22.07"/>
    <x v="7"/>
    <x v="0"/>
  </r>
  <r>
    <n v="44416"/>
    <x v="336"/>
    <x v="3"/>
    <x v="2"/>
    <x v="16"/>
    <x v="673"/>
    <n v="1199.98"/>
    <n v="3"/>
    <n v="434.99"/>
    <x v="7"/>
    <x v="0"/>
  </r>
  <r>
    <n v="44416"/>
    <x v="336"/>
    <x v="3"/>
    <x v="2"/>
    <x v="6"/>
    <x v="674"/>
    <n v="445.96"/>
    <n v="5"/>
    <n v="55.75"/>
    <x v="7"/>
    <x v="0"/>
  </r>
  <r>
    <n v="44416"/>
    <x v="336"/>
    <x v="3"/>
    <x v="1"/>
    <x v="8"/>
    <x v="675"/>
    <n v="327.76"/>
    <n v="8"/>
    <n v="91.77"/>
    <x v="7"/>
    <x v="0"/>
  </r>
  <r>
    <n v="44416"/>
    <x v="337"/>
    <x v="12"/>
    <x v="1"/>
    <x v="8"/>
    <x v="676"/>
    <n v="121.38"/>
    <n v="4"/>
    <n v="-3.03"/>
    <x v="7"/>
    <x v="0"/>
  </r>
  <r>
    <n v="44416"/>
    <x v="337"/>
    <x v="12"/>
    <x v="2"/>
    <x v="9"/>
    <x v="677"/>
    <n v="95.98"/>
    <n v="3"/>
    <n v="-10.8"/>
    <x v="7"/>
    <x v="0"/>
  </r>
  <r>
    <n v="44416"/>
    <x v="51"/>
    <x v="3"/>
    <x v="0"/>
    <x v="2"/>
    <x v="678"/>
    <n v="423.28"/>
    <n v="11"/>
    <n v="110.05"/>
    <x v="7"/>
    <x v="0"/>
  </r>
  <r>
    <n v="44416"/>
    <x v="338"/>
    <x v="14"/>
    <x v="2"/>
    <x v="16"/>
    <x v="679"/>
    <n v="549.99"/>
    <n v="1"/>
    <n v="275"/>
    <x v="7"/>
    <x v="0"/>
  </r>
  <r>
    <n v="44416"/>
    <x v="338"/>
    <x v="14"/>
    <x v="0"/>
    <x v="12"/>
    <x v="680"/>
    <n v="167.54"/>
    <n v="3"/>
    <n v="37.229999999999997"/>
    <x v="7"/>
    <x v="0"/>
  </r>
  <r>
    <n v="44416"/>
    <x v="338"/>
    <x v="14"/>
    <x v="0"/>
    <x v="10"/>
    <x v="681"/>
    <n v="38.340000000000003"/>
    <n v="3"/>
    <n v="17.25"/>
    <x v="7"/>
    <x v="0"/>
  </r>
  <r>
    <n v="44416"/>
    <x v="338"/>
    <x v="14"/>
    <x v="1"/>
    <x v="8"/>
    <x v="682"/>
    <n v="53.88"/>
    <n v="6"/>
    <n v="22.63"/>
    <x v="7"/>
    <x v="0"/>
  </r>
  <r>
    <n v="44416"/>
    <x v="338"/>
    <x v="14"/>
    <x v="2"/>
    <x v="6"/>
    <x v="255"/>
    <n v="299.98"/>
    <n v="2"/>
    <n v="83.99"/>
    <x v="7"/>
    <x v="0"/>
  </r>
  <r>
    <n v="44416"/>
    <x v="339"/>
    <x v="16"/>
    <x v="1"/>
    <x v="11"/>
    <x v="683"/>
    <n v="155.46"/>
    <n v="4"/>
    <n v="-7.77"/>
    <x v="7"/>
    <x v="0"/>
  </r>
  <r>
    <n v="44417"/>
    <x v="340"/>
    <x v="16"/>
    <x v="2"/>
    <x v="6"/>
    <x v="674"/>
    <n v="178.38"/>
    <n v="2"/>
    <n v="22.3"/>
    <x v="7"/>
    <x v="0"/>
  </r>
  <r>
    <n v="44417"/>
    <x v="340"/>
    <x v="16"/>
    <x v="0"/>
    <x v="0"/>
    <x v="684"/>
    <n v="15.55"/>
    <n v="3"/>
    <n v="5.44"/>
    <x v="7"/>
    <x v="0"/>
  </r>
  <r>
    <n v="44417"/>
    <x v="341"/>
    <x v="3"/>
    <x v="0"/>
    <x v="1"/>
    <x v="685"/>
    <n v="20.88"/>
    <n v="8"/>
    <n v="9.6"/>
    <x v="7"/>
    <x v="0"/>
  </r>
  <r>
    <n v="44417"/>
    <x v="342"/>
    <x v="22"/>
    <x v="2"/>
    <x v="6"/>
    <x v="686"/>
    <n v="1091.17"/>
    <n v="4"/>
    <n v="68.2"/>
    <x v="7"/>
    <x v="0"/>
  </r>
  <r>
    <n v="44417"/>
    <x v="342"/>
    <x v="22"/>
    <x v="2"/>
    <x v="6"/>
    <x v="687"/>
    <n v="219.17"/>
    <n v="2"/>
    <n v="-43.83"/>
    <x v="7"/>
    <x v="0"/>
  </r>
  <r>
    <n v="44417"/>
    <x v="343"/>
    <x v="22"/>
    <x v="0"/>
    <x v="3"/>
    <x v="688"/>
    <n v="2060.7399999999998"/>
    <n v="7"/>
    <n v="643.98"/>
    <x v="7"/>
    <x v="0"/>
  </r>
  <r>
    <n v="44417"/>
    <x v="344"/>
    <x v="3"/>
    <x v="0"/>
    <x v="0"/>
    <x v="689"/>
    <n v="5.98"/>
    <n v="1"/>
    <n v="2.69"/>
    <x v="7"/>
    <x v="0"/>
  </r>
  <r>
    <n v="44417"/>
    <x v="310"/>
    <x v="12"/>
    <x v="0"/>
    <x v="7"/>
    <x v="690"/>
    <n v="4.46"/>
    <n v="3"/>
    <n v="-0.95"/>
    <x v="7"/>
    <x v="0"/>
  </r>
  <r>
    <n v="44417"/>
    <x v="310"/>
    <x v="12"/>
    <x v="0"/>
    <x v="3"/>
    <x v="248"/>
    <n v="9.35"/>
    <n v="5"/>
    <n v="-6.54"/>
    <x v="7"/>
    <x v="0"/>
  </r>
  <r>
    <n v="44419"/>
    <x v="193"/>
    <x v="22"/>
    <x v="1"/>
    <x v="8"/>
    <x v="691"/>
    <n v="12.35"/>
    <n v="1"/>
    <n v="5.43"/>
    <x v="7"/>
    <x v="0"/>
  </r>
  <r>
    <n v="44419"/>
    <x v="193"/>
    <x v="22"/>
    <x v="0"/>
    <x v="4"/>
    <x v="692"/>
    <n v="40.97"/>
    <n v="1"/>
    <n v="10.65"/>
    <x v="7"/>
    <x v="0"/>
  </r>
  <r>
    <n v="44419"/>
    <x v="193"/>
    <x v="22"/>
    <x v="0"/>
    <x v="7"/>
    <x v="693"/>
    <n v="22.96"/>
    <n v="2"/>
    <n v="10.79"/>
    <x v="7"/>
    <x v="0"/>
  </r>
  <r>
    <n v="44419"/>
    <x v="318"/>
    <x v="20"/>
    <x v="0"/>
    <x v="2"/>
    <x v="694"/>
    <n v="375.34"/>
    <n v="1"/>
    <n v="18.77"/>
    <x v="7"/>
    <x v="0"/>
  </r>
  <r>
    <n v="44420"/>
    <x v="345"/>
    <x v="23"/>
    <x v="0"/>
    <x v="3"/>
    <x v="695"/>
    <n v="196.21"/>
    <n v="7"/>
    <n v="98.11"/>
    <x v="7"/>
    <x v="0"/>
  </r>
  <r>
    <n v="44420"/>
    <x v="346"/>
    <x v="3"/>
    <x v="2"/>
    <x v="6"/>
    <x v="696"/>
    <n v="806.34"/>
    <n v="8"/>
    <n v="50.4"/>
    <x v="7"/>
    <x v="0"/>
  </r>
  <r>
    <n v="44420"/>
    <x v="346"/>
    <x v="3"/>
    <x v="1"/>
    <x v="8"/>
    <x v="467"/>
    <n v="85.44"/>
    <n v="3"/>
    <n v="31.61"/>
    <x v="7"/>
    <x v="0"/>
  </r>
  <r>
    <n v="44420"/>
    <x v="347"/>
    <x v="16"/>
    <x v="0"/>
    <x v="0"/>
    <x v="697"/>
    <n v="31.1"/>
    <n v="6"/>
    <n v="10.89"/>
    <x v="7"/>
    <x v="0"/>
  </r>
  <r>
    <n v="44420"/>
    <x v="347"/>
    <x v="16"/>
    <x v="0"/>
    <x v="4"/>
    <x v="698"/>
    <n v="47.96"/>
    <n v="5"/>
    <n v="4.2"/>
    <x v="7"/>
    <x v="0"/>
  </r>
  <r>
    <n v="44420"/>
    <x v="347"/>
    <x v="16"/>
    <x v="2"/>
    <x v="9"/>
    <x v="662"/>
    <n v="158.93"/>
    <n v="7"/>
    <n v="41.72"/>
    <x v="7"/>
    <x v="0"/>
  </r>
  <r>
    <n v="44420"/>
    <x v="347"/>
    <x v="16"/>
    <x v="0"/>
    <x v="12"/>
    <x v="699"/>
    <n v="211.25"/>
    <n v="6"/>
    <n v="15.84"/>
    <x v="7"/>
    <x v="0"/>
  </r>
  <r>
    <n v="44420"/>
    <x v="347"/>
    <x v="16"/>
    <x v="0"/>
    <x v="14"/>
    <x v="700"/>
    <n v="5.55"/>
    <n v="2"/>
    <n v="-1.04"/>
    <x v="7"/>
    <x v="0"/>
  </r>
  <r>
    <n v="44420"/>
    <x v="347"/>
    <x v="16"/>
    <x v="0"/>
    <x v="1"/>
    <x v="198"/>
    <n v="2.95"/>
    <n v="1"/>
    <n v="1"/>
    <x v="7"/>
    <x v="0"/>
  </r>
  <r>
    <n v="44420"/>
    <x v="172"/>
    <x v="4"/>
    <x v="0"/>
    <x v="3"/>
    <x v="701"/>
    <n v="14.04"/>
    <n v="3"/>
    <n v="6.74"/>
    <x v="7"/>
    <x v="0"/>
  </r>
  <r>
    <n v="44420"/>
    <x v="172"/>
    <x v="4"/>
    <x v="2"/>
    <x v="9"/>
    <x v="606"/>
    <n v="272.61"/>
    <n v="13"/>
    <n v="98.14"/>
    <x v="7"/>
    <x v="0"/>
  </r>
  <r>
    <n v="44423"/>
    <x v="348"/>
    <x v="0"/>
    <x v="0"/>
    <x v="3"/>
    <x v="326"/>
    <n v="30.96"/>
    <n v="8"/>
    <n v="-52.63"/>
    <x v="7"/>
    <x v="0"/>
  </r>
  <r>
    <n v="44423"/>
    <x v="349"/>
    <x v="37"/>
    <x v="0"/>
    <x v="3"/>
    <x v="702"/>
    <n v="62.94"/>
    <n v="3"/>
    <n v="30.21"/>
    <x v="7"/>
    <x v="0"/>
  </r>
  <r>
    <n v="44423"/>
    <x v="349"/>
    <x v="16"/>
    <x v="0"/>
    <x v="0"/>
    <x v="703"/>
    <n v="91.36"/>
    <n v="5"/>
    <n v="29.69"/>
    <x v="7"/>
    <x v="0"/>
  </r>
  <r>
    <n v="44423"/>
    <x v="349"/>
    <x v="16"/>
    <x v="0"/>
    <x v="12"/>
    <x v="672"/>
    <n v="152.24"/>
    <n v="5"/>
    <n v="17.13"/>
    <x v="7"/>
    <x v="0"/>
  </r>
  <r>
    <n v="44423"/>
    <x v="12"/>
    <x v="3"/>
    <x v="0"/>
    <x v="12"/>
    <x v="704"/>
    <n v="152.91"/>
    <n v="3"/>
    <n v="42.81"/>
    <x v="7"/>
    <x v="0"/>
  </r>
  <r>
    <n v="44423"/>
    <x v="12"/>
    <x v="3"/>
    <x v="0"/>
    <x v="0"/>
    <x v="705"/>
    <n v="92.94"/>
    <n v="3"/>
    <n v="41.82"/>
    <x v="7"/>
    <x v="0"/>
  </r>
  <r>
    <n v="44423"/>
    <x v="12"/>
    <x v="3"/>
    <x v="0"/>
    <x v="3"/>
    <x v="706"/>
    <n v="17.86"/>
    <n v="4"/>
    <n v="6.25"/>
    <x v="7"/>
    <x v="0"/>
  </r>
  <r>
    <n v="44423"/>
    <x v="12"/>
    <x v="3"/>
    <x v="0"/>
    <x v="3"/>
    <x v="326"/>
    <n v="46.44"/>
    <n v="3"/>
    <n v="15.09"/>
    <x v="7"/>
    <x v="0"/>
  </r>
  <r>
    <n v="44423"/>
    <x v="12"/>
    <x v="3"/>
    <x v="1"/>
    <x v="5"/>
    <x v="707"/>
    <n v="195.14"/>
    <n v="4"/>
    <n v="-12.2"/>
    <x v="7"/>
    <x v="0"/>
  </r>
  <r>
    <n v="44424"/>
    <x v="350"/>
    <x v="2"/>
    <x v="1"/>
    <x v="13"/>
    <x v="444"/>
    <n v="853.09"/>
    <n v="6"/>
    <n v="-227.49"/>
    <x v="7"/>
    <x v="0"/>
  </r>
  <r>
    <n v="44425"/>
    <x v="127"/>
    <x v="0"/>
    <x v="0"/>
    <x v="0"/>
    <x v="708"/>
    <n v="15.55"/>
    <n v="3"/>
    <n v="5.44"/>
    <x v="7"/>
    <x v="0"/>
  </r>
  <r>
    <n v="44425"/>
    <x v="351"/>
    <x v="13"/>
    <x v="0"/>
    <x v="0"/>
    <x v="709"/>
    <n v="114.2"/>
    <n v="5"/>
    <n v="52.53"/>
    <x v="7"/>
    <x v="0"/>
  </r>
  <r>
    <n v="44425"/>
    <x v="351"/>
    <x v="13"/>
    <x v="0"/>
    <x v="3"/>
    <x v="263"/>
    <n v="17.96"/>
    <n v="4"/>
    <n v="8.26"/>
    <x v="7"/>
    <x v="0"/>
  </r>
  <r>
    <n v="44425"/>
    <x v="351"/>
    <x v="13"/>
    <x v="0"/>
    <x v="7"/>
    <x v="710"/>
    <n v="12.67"/>
    <n v="7"/>
    <n v="4.5599999999999996"/>
    <x v="7"/>
    <x v="0"/>
  </r>
  <r>
    <n v="44425"/>
    <x v="351"/>
    <x v="13"/>
    <x v="2"/>
    <x v="9"/>
    <x v="711"/>
    <n v="339.96"/>
    <n v="4"/>
    <n v="122.39"/>
    <x v="7"/>
    <x v="0"/>
  </r>
  <r>
    <n v="44427"/>
    <x v="232"/>
    <x v="10"/>
    <x v="0"/>
    <x v="4"/>
    <x v="712"/>
    <n v="10.72"/>
    <n v="2"/>
    <n v="1.74"/>
    <x v="7"/>
    <x v="0"/>
  </r>
  <r>
    <n v="44427"/>
    <x v="282"/>
    <x v="10"/>
    <x v="0"/>
    <x v="3"/>
    <x v="713"/>
    <n v="76.78"/>
    <n v="4"/>
    <n v="-58.86"/>
    <x v="7"/>
    <x v="0"/>
  </r>
  <r>
    <n v="44427"/>
    <x v="282"/>
    <x v="10"/>
    <x v="0"/>
    <x v="14"/>
    <x v="714"/>
    <n v="9.18"/>
    <n v="2"/>
    <n v="1.1499999999999999"/>
    <x v="7"/>
    <x v="0"/>
  </r>
  <r>
    <n v="44427"/>
    <x v="352"/>
    <x v="13"/>
    <x v="1"/>
    <x v="11"/>
    <x v="494"/>
    <n v="638.82000000000005"/>
    <n v="9"/>
    <n v="172.48"/>
    <x v="7"/>
    <x v="0"/>
  </r>
  <r>
    <n v="44427"/>
    <x v="17"/>
    <x v="3"/>
    <x v="1"/>
    <x v="8"/>
    <x v="392"/>
    <n v="289.24"/>
    <n v="7"/>
    <n v="26.03"/>
    <x v="7"/>
    <x v="0"/>
  </r>
  <r>
    <n v="44427"/>
    <x v="17"/>
    <x v="3"/>
    <x v="0"/>
    <x v="3"/>
    <x v="715"/>
    <n v="69.459999999999994"/>
    <n v="2"/>
    <n v="22.57"/>
    <x v="7"/>
    <x v="0"/>
  </r>
  <r>
    <n v="44427"/>
    <x v="183"/>
    <x v="4"/>
    <x v="0"/>
    <x v="2"/>
    <x v="75"/>
    <n v="344.91"/>
    <n v="3"/>
    <n v="10.35"/>
    <x v="7"/>
    <x v="0"/>
  </r>
  <r>
    <n v="44428"/>
    <x v="353"/>
    <x v="1"/>
    <x v="1"/>
    <x v="5"/>
    <x v="149"/>
    <n v="421.37"/>
    <n v="2"/>
    <n v="-6.02"/>
    <x v="7"/>
    <x v="0"/>
  </r>
  <r>
    <n v="44428"/>
    <x v="317"/>
    <x v="6"/>
    <x v="1"/>
    <x v="5"/>
    <x v="578"/>
    <n v="500.24"/>
    <n v="13"/>
    <n v="145.07"/>
    <x v="7"/>
    <x v="0"/>
  </r>
  <r>
    <n v="44428"/>
    <x v="317"/>
    <x v="6"/>
    <x v="0"/>
    <x v="0"/>
    <x v="716"/>
    <n v="20.12"/>
    <n v="2"/>
    <n v="9.26"/>
    <x v="7"/>
    <x v="0"/>
  </r>
  <r>
    <n v="44428"/>
    <x v="317"/>
    <x v="6"/>
    <x v="0"/>
    <x v="3"/>
    <x v="717"/>
    <n v="896.99"/>
    <n v="1"/>
    <n v="421.59"/>
    <x v="7"/>
    <x v="0"/>
  </r>
  <r>
    <n v="44430"/>
    <x v="354"/>
    <x v="10"/>
    <x v="0"/>
    <x v="4"/>
    <x v="718"/>
    <n v="3.91"/>
    <n v="1"/>
    <n v="1.03"/>
    <x v="7"/>
    <x v="0"/>
  </r>
  <r>
    <n v="44430"/>
    <x v="355"/>
    <x v="16"/>
    <x v="0"/>
    <x v="14"/>
    <x v="719"/>
    <n v="7.63"/>
    <n v="3"/>
    <n v="-1.81"/>
    <x v="7"/>
    <x v="0"/>
  </r>
  <r>
    <n v="44430"/>
    <x v="259"/>
    <x v="24"/>
    <x v="0"/>
    <x v="0"/>
    <x v="720"/>
    <n v="11.56"/>
    <n v="2"/>
    <n v="5.66"/>
    <x v="7"/>
    <x v="0"/>
  </r>
  <r>
    <n v="44431"/>
    <x v="356"/>
    <x v="20"/>
    <x v="0"/>
    <x v="0"/>
    <x v="721"/>
    <n v="25.92"/>
    <n v="4"/>
    <n v="12.44"/>
    <x v="7"/>
    <x v="0"/>
  </r>
  <r>
    <n v="44431"/>
    <x v="356"/>
    <x v="20"/>
    <x v="0"/>
    <x v="0"/>
    <x v="722"/>
    <n v="45.92"/>
    <n v="4"/>
    <n v="22.5"/>
    <x v="7"/>
    <x v="0"/>
  </r>
  <r>
    <n v="44431"/>
    <x v="357"/>
    <x v="3"/>
    <x v="0"/>
    <x v="3"/>
    <x v="36"/>
    <n v="49.57"/>
    <n v="2"/>
    <n v="17.350000000000001"/>
    <x v="7"/>
    <x v="0"/>
  </r>
  <r>
    <n v="44431"/>
    <x v="358"/>
    <x v="26"/>
    <x v="0"/>
    <x v="0"/>
    <x v="723"/>
    <n v="15.55"/>
    <n v="3"/>
    <n v="5.44"/>
    <x v="7"/>
    <x v="0"/>
  </r>
  <r>
    <n v="44431"/>
    <x v="358"/>
    <x v="26"/>
    <x v="0"/>
    <x v="14"/>
    <x v="724"/>
    <n v="6.8"/>
    <n v="1"/>
    <n v="0.51"/>
    <x v="7"/>
    <x v="0"/>
  </r>
  <r>
    <n v="44431"/>
    <x v="358"/>
    <x v="26"/>
    <x v="1"/>
    <x v="8"/>
    <x v="725"/>
    <n v="4.22"/>
    <n v="3"/>
    <n v="1.27"/>
    <x v="7"/>
    <x v="0"/>
  </r>
  <r>
    <n v="44431"/>
    <x v="358"/>
    <x v="26"/>
    <x v="2"/>
    <x v="6"/>
    <x v="726"/>
    <n v="143.63999999999999"/>
    <n v="9"/>
    <n v="10.77"/>
    <x v="7"/>
    <x v="0"/>
  </r>
  <r>
    <n v="44431"/>
    <x v="358"/>
    <x v="26"/>
    <x v="0"/>
    <x v="0"/>
    <x v="727"/>
    <n v="31.1"/>
    <n v="6"/>
    <n v="10.89"/>
    <x v="7"/>
    <x v="0"/>
  </r>
  <r>
    <n v="44431"/>
    <x v="358"/>
    <x v="26"/>
    <x v="0"/>
    <x v="0"/>
    <x v="728"/>
    <n v="223.06"/>
    <n v="9"/>
    <n v="69.709999999999994"/>
    <x v="7"/>
    <x v="0"/>
  </r>
  <r>
    <n v="44431"/>
    <x v="234"/>
    <x v="14"/>
    <x v="0"/>
    <x v="0"/>
    <x v="729"/>
    <n v="19.440000000000001"/>
    <n v="3"/>
    <n v="9.5299999999999994"/>
    <x v="7"/>
    <x v="0"/>
  </r>
  <r>
    <n v="44432"/>
    <x v="357"/>
    <x v="35"/>
    <x v="0"/>
    <x v="3"/>
    <x v="730"/>
    <n v="8.2899999999999991"/>
    <n v="2"/>
    <n v="2.69"/>
    <x v="7"/>
    <x v="0"/>
  </r>
  <r>
    <n v="44432"/>
    <x v="359"/>
    <x v="20"/>
    <x v="1"/>
    <x v="8"/>
    <x v="731"/>
    <n v="13.28"/>
    <n v="2"/>
    <n v="6.37"/>
    <x v="7"/>
    <x v="0"/>
  </r>
  <r>
    <n v="44432"/>
    <x v="359"/>
    <x v="20"/>
    <x v="0"/>
    <x v="3"/>
    <x v="515"/>
    <n v="12.67"/>
    <n v="3"/>
    <n v="4.4400000000000004"/>
    <x v="7"/>
    <x v="0"/>
  </r>
  <r>
    <n v="44432"/>
    <x v="360"/>
    <x v="5"/>
    <x v="0"/>
    <x v="14"/>
    <x v="724"/>
    <n v="25.5"/>
    <n v="3"/>
    <n v="6.63"/>
    <x v="7"/>
    <x v="0"/>
  </r>
  <r>
    <n v="44433"/>
    <x v="361"/>
    <x v="10"/>
    <x v="0"/>
    <x v="7"/>
    <x v="642"/>
    <n v="40.1"/>
    <n v="14"/>
    <n v="14.53"/>
    <x v="7"/>
    <x v="0"/>
  </r>
  <r>
    <n v="44433"/>
    <x v="361"/>
    <x v="10"/>
    <x v="0"/>
    <x v="10"/>
    <x v="732"/>
    <n v="4.72"/>
    <n v="2"/>
    <n v="1.65"/>
    <x v="7"/>
    <x v="0"/>
  </r>
  <r>
    <n v="44433"/>
    <x v="361"/>
    <x v="10"/>
    <x v="0"/>
    <x v="0"/>
    <x v="733"/>
    <n v="23.98"/>
    <n v="3"/>
    <n v="7.49"/>
    <x v="7"/>
    <x v="0"/>
  </r>
  <r>
    <n v="44433"/>
    <x v="361"/>
    <x v="10"/>
    <x v="0"/>
    <x v="10"/>
    <x v="41"/>
    <n v="130.46"/>
    <n v="6"/>
    <n v="44.03"/>
    <x v="7"/>
    <x v="0"/>
  </r>
  <r>
    <n v="44433"/>
    <x v="362"/>
    <x v="3"/>
    <x v="1"/>
    <x v="8"/>
    <x v="734"/>
    <n v="6.28"/>
    <n v="1"/>
    <n v="2.64"/>
    <x v="7"/>
    <x v="0"/>
  </r>
  <r>
    <n v="44433"/>
    <x v="362"/>
    <x v="3"/>
    <x v="2"/>
    <x v="9"/>
    <x v="735"/>
    <n v="95.1"/>
    <n v="5"/>
    <n v="30.43"/>
    <x v="7"/>
    <x v="0"/>
  </r>
  <r>
    <n v="44433"/>
    <x v="362"/>
    <x v="3"/>
    <x v="0"/>
    <x v="0"/>
    <x v="736"/>
    <n v="25.92"/>
    <n v="4"/>
    <n v="12.44"/>
    <x v="7"/>
    <x v="0"/>
  </r>
  <r>
    <n v="44433"/>
    <x v="362"/>
    <x v="3"/>
    <x v="0"/>
    <x v="2"/>
    <x v="737"/>
    <n v="48.84"/>
    <n v="4"/>
    <n v="13.19"/>
    <x v="7"/>
    <x v="0"/>
  </r>
  <r>
    <n v="44433"/>
    <x v="363"/>
    <x v="22"/>
    <x v="2"/>
    <x v="6"/>
    <x v="570"/>
    <n v="1007.94"/>
    <n v="7"/>
    <n v="75.599999999999994"/>
    <x v="7"/>
    <x v="0"/>
  </r>
  <r>
    <n v="44433"/>
    <x v="364"/>
    <x v="0"/>
    <x v="0"/>
    <x v="3"/>
    <x v="738"/>
    <n v="25.68"/>
    <n v="3"/>
    <n v="-39.799999999999997"/>
    <x v="7"/>
    <x v="0"/>
  </r>
  <r>
    <n v="44433"/>
    <x v="364"/>
    <x v="0"/>
    <x v="0"/>
    <x v="3"/>
    <x v="739"/>
    <n v="12.38"/>
    <n v="3"/>
    <n v="-19.809999999999999"/>
    <x v="7"/>
    <x v="0"/>
  </r>
  <r>
    <n v="44433"/>
    <x v="14"/>
    <x v="10"/>
    <x v="0"/>
    <x v="3"/>
    <x v="601"/>
    <n v="6.53"/>
    <n v="4"/>
    <n v="-4.57"/>
    <x v="7"/>
    <x v="0"/>
  </r>
  <r>
    <n v="44433"/>
    <x v="14"/>
    <x v="10"/>
    <x v="0"/>
    <x v="3"/>
    <x v="740"/>
    <n v="2.86"/>
    <n v="3"/>
    <n v="-2.29"/>
    <x v="7"/>
    <x v="0"/>
  </r>
  <r>
    <n v="44433"/>
    <x v="14"/>
    <x v="10"/>
    <x v="0"/>
    <x v="3"/>
    <x v="592"/>
    <n v="20.86"/>
    <n v="8"/>
    <n v="-16.68"/>
    <x v="7"/>
    <x v="0"/>
  </r>
  <r>
    <n v="44434"/>
    <x v="365"/>
    <x v="3"/>
    <x v="2"/>
    <x v="9"/>
    <x v="225"/>
    <n v="176.8"/>
    <n v="8"/>
    <n v="22.98"/>
    <x v="7"/>
    <x v="0"/>
  </r>
  <r>
    <n v="44434"/>
    <x v="366"/>
    <x v="7"/>
    <x v="1"/>
    <x v="8"/>
    <x v="533"/>
    <n v="10.68"/>
    <n v="4"/>
    <n v="4.0599999999999996"/>
    <x v="7"/>
    <x v="0"/>
  </r>
  <r>
    <n v="44434"/>
    <x v="366"/>
    <x v="7"/>
    <x v="0"/>
    <x v="0"/>
    <x v="741"/>
    <n v="17.34"/>
    <n v="3"/>
    <n v="8.5"/>
    <x v="7"/>
    <x v="0"/>
  </r>
  <r>
    <n v="44434"/>
    <x v="366"/>
    <x v="7"/>
    <x v="0"/>
    <x v="0"/>
    <x v="742"/>
    <n v="3.38"/>
    <n v="1"/>
    <n v="1.55"/>
    <x v="7"/>
    <x v="0"/>
  </r>
  <r>
    <n v="44434"/>
    <x v="367"/>
    <x v="7"/>
    <x v="0"/>
    <x v="4"/>
    <x v="743"/>
    <n v="8.64"/>
    <n v="3"/>
    <n v="2.5099999999999998"/>
    <x v="7"/>
    <x v="0"/>
  </r>
  <r>
    <n v="44434"/>
    <x v="367"/>
    <x v="7"/>
    <x v="2"/>
    <x v="9"/>
    <x v="399"/>
    <n v="149.97"/>
    <n v="3"/>
    <n v="52.49"/>
    <x v="7"/>
    <x v="0"/>
  </r>
  <r>
    <n v="44435"/>
    <x v="368"/>
    <x v="3"/>
    <x v="0"/>
    <x v="4"/>
    <x v="514"/>
    <n v="8.56"/>
    <n v="2"/>
    <n v="2.48"/>
    <x v="7"/>
    <x v="0"/>
  </r>
  <r>
    <n v="44435"/>
    <x v="368"/>
    <x v="3"/>
    <x v="2"/>
    <x v="6"/>
    <x v="744"/>
    <n v="213.48"/>
    <n v="3"/>
    <n v="16.010000000000002"/>
    <x v="7"/>
    <x v="0"/>
  </r>
  <r>
    <n v="44435"/>
    <x v="368"/>
    <x v="3"/>
    <x v="0"/>
    <x v="3"/>
    <x v="745"/>
    <n v="22.72"/>
    <n v="4"/>
    <n v="7.38"/>
    <x v="7"/>
    <x v="0"/>
  </r>
  <r>
    <n v="44435"/>
    <x v="369"/>
    <x v="6"/>
    <x v="2"/>
    <x v="6"/>
    <x v="746"/>
    <n v="579.95000000000005"/>
    <n v="5"/>
    <n v="168.19"/>
    <x v="7"/>
    <x v="0"/>
  </r>
  <r>
    <n v="44435"/>
    <x v="369"/>
    <x v="6"/>
    <x v="1"/>
    <x v="8"/>
    <x v="747"/>
    <n v="29.12"/>
    <n v="4"/>
    <n v="12.52"/>
    <x v="7"/>
    <x v="0"/>
  </r>
  <r>
    <n v="44435"/>
    <x v="369"/>
    <x v="6"/>
    <x v="1"/>
    <x v="13"/>
    <x v="748"/>
    <n v="1202.94"/>
    <n v="3"/>
    <n v="300.74"/>
    <x v="7"/>
    <x v="0"/>
  </r>
  <r>
    <n v="44435"/>
    <x v="13"/>
    <x v="6"/>
    <x v="0"/>
    <x v="0"/>
    <x v="257"/>
    <n v="13.36"/>
    <n v="2"/>
    <n v="6.41"/>
    <x v="7"/>
    <x v="0"/>
  </r>
  <r>
    <n v="44437"/>
    <x v="370"/>
    <x v="3"/>
    <x v="0"/>
    <x v="0"/>
    <x v="749"/>
    <n v="109.92"/>
    <n v="2"/>
    <n v="53.86"/>
    <x v="7"/>
    <x v="0"/>
  </r>
  <r>
    <n v="44437"/>
    <x v="370"/>
    <x v="3"/>
    <x v="0"/>
    <x v="0"/>
    <x v="750"/>
    <n v="13.36"/>
    <n v="2"/>
    <n v="6.41"/>
    <x v="7"/>
    <x v="0"/>
  </r>
  <r>
    <n v="44437"/>
    <x v="371"/>
    <x v="16"/>
    <x v="0"/>
    <x v="10"/>
    <x v="751"/>
    <n v="29.81"/>
    <n v="2"/>
    <n v="10.81"/>
    <x v="7"/>
    <x v="0"/>
  </r>
  <r>
    <n v="44437"/>
    <x v="371"/>
    <x v="16"/>
    <x v="0"/>
    <x v="3"/>
    <x v="243"/>
    <n v="505.18"/>
    <n v="4"/>
    <n v="-336.78"/>
    <x v="7"/>
    <x v="0"/>
  </r>
  <r>
    <n v="44437"/>
    <x v="371"/>
    <x v="16"/>
    <x v="1"/>
    <x v="13"/>
    <x v="752"/>
    <n v="174.06"/>
    <n v="3"/>
    <n v="-110.76"/>
    <x v="7"/>
    <x v="0"/>
  </r>
  <r>
    <n v="44438"/>
    <x v="372"/>
    <x v="37"/>
    <x v="0"/>
    <x v="3"/>
    <x v="753"/>
    <n v="25.3"/>
    <n v="5"/>
    <n v="11.89"/>
    <x v="7"/>
    <x v="0"/>
  </r>
  <r>
    <n v="44438"/>
    <x v="372"/>
    <x v="37"/>
    <x v="0"/>
    <x v="2"/>
    <x v="555"/>
    <n v="95.94"/>
    <n v="3"/>
    <n v="9.59"/>
    <x v="7"/>
    <x v="0"/>
  </r>
  <r>
    <n v="44439"/>
    <x v="373"/>
    <x v="31"/>
    <x v="2"/>
    <x v="9"/>
    <x v="754"/>
    <n v="92.52"/>
    <n v="9"/>
    <n v="18.5"/>
    <x v="7"/>
    <x v="0"/>
  </r>
  <r>
    <n v="44440"/>
    <x v="374"/>
    <x v="3"/>
    <x v="0"/>
    <x v="4"/>
    <x v="755"/>
    <n v="53.94"/>
    <n v="3"/>
    <n v="15.64"/>
    <x v="8"/>
    <x v="0"/>
  </r>
  <r>
    <n v="44440"/>
    <x v="304"/>
    <x v="0"/>
    <x v="0"/>
    <x v="3"/>
    <x v="756"/>
    <n v="3.65"/>
    <n v="3"/>
    <n v="-6.02"/>
    <x v="8"/>
    <x v="0"/>
  </r>
  <r>
    <n v="44440"/>
    <x v="304"/>
    <x v="0"/>
    <x v="0"/>
    <x v="0"/>
    <x v="757"/>
    <n v="31.1"/>
    <n v="6"/>
    <n v="10.89"/>
    <x v="8"/>
    <x v="0"/>
  </r>
  <r>
    <n v="44440"/>
    <x v="352"/>
    <x v="20"/>
    <x v="0"/>
    <x v="3"/>
    <x v="758"/>
    <n v="23.74"/>
    <n v="2"/>
    <n v="8.31"/>
    <x v="8"/>
    <x v="0"/>
  </r>
  <r>
    <n v="44440"/>
    <x v="352"/>
    <x v="20"/>
    <x v="2"/>
    <x v="9"/>
    <x v="640"/>
    <n v="357"/>
    <n v="3"/>
    <n v="57.12"/>
    <x v="8"/>
    <x v="0"/>
  </r>
  <r>
    <n v="44441"/>
    <x v="176"/>
    <x v="20"/>
    <x v="0"/>
    <x v="12"/>
    <x v="107"/>
    <n v="19.899999999999999"/>
    <n v="1"/>
    <n v="8.9600000000000009"/>
    <x v="8"/>
    <x v="0"/>
  </r>
  <r>
    <n v="44441"/>
    <x v="176"/>
    <x v="20"/>
    <x v="1"/>
    <x v="8"/>
    <x v="759"/>
    <n v="70.709999999999994"/>
    <n v="1"/>
    <n v="4.95"/>
    <x v="8"/>
    <x v="0"/>
  </r>
  <r>
    <n v="44441"/>
    <x v="68"/>
    <x v="20"/>
    <x v="0"/>
    <x v="4"/>
    <x v="760"/>
    <n v="21.24"/>
    <n v="3"/>
    <n v="8.07"/>
    <x v="8"/>
    <x v="0"/>
  </r>
  <r>
    <n v="44441"/>
    <x v="375"/>
    <x v="20"/>
    <x v="0"/>
    <x v="4"/>
    <x v="619"/>
    <n v="57.75"/>
    <n v="5"/>
    <n v="16.170000000000002"/>
    <x v="8"/>
    <x v="0"/>
  </r>
  <r>
    <n v="44441"/>
    <x v="375"/>
    <x v="20"/>
    <x v="0"/>
    <x v="0"/>
    <x v="371"/>
    <n v="14.94"/>
    <n v="3"/>
    <n v="7.02"/>
    <x v="8"/>
    <x v="0"/>
  </r>
  <r>
    <n v="44441"/>
    <x v="107"/>
    <x v="1"/>
    <x v="2"/>
    <x v="9"/>
    <x v="439"/>
    <n v="239.98"/>
    <n v="3"/>
    <n v="53.99"/>
    <x v="8"/>
    <x v="0"/>
  </r>
  <r>
    <n v="44441"/>
    <x v="340"/>
    <x v="0"/>
    <x v="2"/>
    <x v="15"/>
    <x v="761"/>
    <n v="559.71"/>
    <n v="3"/>
    <n v="-121.27"/>
    <x v="8"/>
    <x v="0"/>
  </r>
  <r>
    <n v="44441"/>
    <x v="42"/>
    <x v="13"/>
    <x v="0"/>
    <x v="3"/>
    <x v="717"/>
    <n v="1793.98"/>
    <n v="2"/>
    <n v="843.17"/>
    <x v="8"/>
    <x v="0"/>
  </r>
  <r>
    <n v="44441"/>
    <x v="240"/>
    <x v="1"/>
    <x v="2"/>
    <x v="9"/>
    <x v="711"/>
    <n v="475.94"/>
    <n v="7"/>
    <n v="95.19"/>
    <x v="8"/>
    <x v="0"/>
  </r>
  <r>
    <n v="44442"/>
    <x v="156"/>
    <x v="20"/>
    <x v="0"/>
    <x v="1"/>
    <x v="569"/>
    <n v="14.4"/>
    <n v="5"/>
    <n v="7.06"/>
    <x v="8"/>
    <x v="0"/>
  </r>
  <r>
    <n v="44442"/>
    <x v="376"/>
    <x v="0"/>
    <x v="0"/>
    <x v="3"/>
    <x v="762"/>
    <n v="7.68"/>
    <n v="5"/>
    <n v="-11.52"/>
    <x v="8"/>
    <x v="0"/>
  </r>
  <r>
    <n v="44444"/>
    <x v="377"/>
    <x v="10"/>
    <x v="0"/>
    <x v="2"/>
    <x v="216"/>
    <n v="264.32"/>
    <n v="2"/>
    <n v="19.82"/>
    <x v="8"/>
    <x v="0"/>
  </r>
  <r>
    <n v="44444"/>
    <x v="378"/>
    <x v="16"/>
    <x v="1"/>
    <x v="8"/>
    <x v="763"/>
    <n v="31.98"/>
    <n v="2"/>
    <n v="2"/>
    <x v="8"/>
    <x v="0"/>
  </r>
  <r>
    <n v="44445"/>
    <x v="379"/>
    <x v="3"/>
    <x v="1"/>
    <x v="8"/>
    <x v="480"/>
    <n v="41.88"/>
    <n v="6"/>
    <n v="12.15"/>
    <x v="8"/>
    <x v="0"/>
  </r>
  <r>
    <n v="44445"/>
    <x v="379"/>
    <x v="3"/>
    <x v="0"/>
    <x v="1"/>
    <x v="553"/>
    <n v="58.48"/>
    <n v="8"/>
    <n v="27.49"/>
    <x v="8"/>
    <x v="0"/>
  </r>
  <r>
    <n v="44446"/>
    <x v="191"/>
    <x v="2"/>
    <x v="0"/>
    <x v="2"/>
    <x v="144"/>
    <n v="64.78"/>
    <n v="1"/>
    <n v="-14.58"/>
    <x v="8"/>
    <x v="0"/>
  </r>
  <r>
    <n v="44446"/>
    <x v="191"/>
    <x v="2"/>
    <x v="2"/>
    <x v="6"/>
    <x v="764"/>
    <n v="32.380000000000003"/>
    <n v="3"/>
    <n v="4.32"/>
    <x v="8"/>
    <x v="0"/>
  </r>
  <r>
    <n v="44446"/>
    <x v="191"/>
    <x v="2"/>
    <x v="1"/>
    <x v="8"/>
    <x v="765"/>
    <n v="42.37"/>
    <n v="2"/>
    <n v="8.4700000000000006"/>
    <x v="8"/>
    <x v="0"/>
  </r>
  <r>
    <n v="44446"/>
    <x v="191"/>
    <x v="2"/>
    <x v="2"/>
    <x v="15"/>
    <x v="766"/>
    <n v="399.54"/>
    <n v="4"/>
    <n v="-559.36"/>
    <x v="8"/>
    <x v="0"/>
  </r>
  <r>
    <n v="44446"/>
    <x v="23"/>
    <x v="39"/>
    <x v="1"/>
    <x v="8"/>
    <x v="192"/>
    <n v="57.69"/>
    <n v="3"/>
    <n v="23.65"/>
    <x v="8"/>
    <x v="0"/>
  </r>
  <r>
    <n v="44446"/>
    <x v="23"/>
    <x v="39"/>
    <x v="0"/>
    <x v="3"/>
    <x v="767"/>
    <n v="42.81"/>
    <n v="3"/>
    <n v="20.12"/>
    <x v="8"/>
    <x v="0"/>
  </r>
  <r>
    <n v="44446"/>
    <x v="23"/>
    <x v="39"/>
    <x v="0"/>
    <x v="0"/>
    <x v="768"/>
    <n v="12.96"/>
    <n v="2"/>
    <n v="6.22"/>
    <x v="8"/>
    <x v="0"/>
  </r>
  <r>
    <n v="44446"/>
    <x v="23"/>
    <x v="39"/>
    <x v="1"/>
    <x v="8"/>
    <x v="769"/>
    <n v="821.88"/>
    <n v="6"/>
    <n v="213.69"/>
    <x v="8"/>
    <x v="0"/>
  </r>
  <r>
    <n v="44446"/>
    <x v="23"/>
    <x v="39"/>
    <x v="2"/>
    <x v="6"/>
    <x v="503"/>
    <n v="104.85"/>
    <n v="3"/>
    <n v="28.31"/>
    <x v="8"/>
    <x v="0"/>
  </r>
  <r>
    <n v="44446"/>
    <x v="380"/>
    <x v="20"/>
    <x v="2"/>
    <x v="6"/>
    <x v="770"/>
    <n v="377.97"/>
    <n v="3"/>
    <n v="109.61"/>
    <x v="8"/>
    <x v="0"/>
  </r>
  <r>
    <n v="44446"/>
    <x v="381"/>
    <x v="0"/>
    <x v="2"/>
    <x v="6"/>
    <x v="771"/>
    <n v="196.78"/>
    <n v="3"/>
    <n v="14.76"/>
    <x v="8"/>
    <x v="0"/>
  </r>
  <r>
    <n v="44446"/>
    <x v="381"/>
    <x v="0"/>
    <x v="0"/>
    <x v="3"/>
    <x v="772"/>
    <n v="2.92"/>
    <n v="2"/>
    <n v="-4.82"/>
    <x v="8"/>
    <x v="0"/>
  </r>
  <r>
    <n v="44446"/>
    <x v="381"/>
    <x v="0"/>
    <x v="1"/>
    <x v="13"/>
    <x v="773"/>
    <n v="200.8"/>
    <n v="1"/>
    <n v="-22.95"/>
    <x v="8"/>
    <x v="0"/>
  </r>
  <r>
    <n v="44446"/>
    <x v="381"/>
    <x v="0"/>
    <x v="2"/>
    <x v="9"/>
    <x v="774"/>
    <n v="46.69"/>
    <n v="4"/>
    <n v="-2.92"/>
    <x v="8"/>
    <x v="0"/>
  </r>
  <r>
    <n v="44446"/>
    <x v="381"/>
    <x v="0"/>
    <x v="0"/>
    <x v="4"/>
    <x v="72"/>
    <n v="21.86"/>
    <n v="3"/>
    <n v="3.55"/>
    <x v="8"/>
    <x v="0"/>
  </r>
  <r>
    <n v="44446"/>
    <x v="81"/>
    <x v="39"/>
    <x v="1"/>
    <x v="13"/>
    <x v="278"/>
    <n v="429.9"/>
    <n v="5"/>
    <n v="111.77"/>
    <x v="8"/>
    <x v="0"/>
  </r>
  <r>
    <n v="44446"/>
    <x v="81"/>
    <x v="39"/>
    <x v="0"/>
    <x v="3"/>
    <x v="775"/>
    <n v="32.06"/>
    <n v="2"/>
    <n v="15.39"/>
    <x v="8"/>
    <x v="0"/>
  </r>
  <r>
    <n v="44446"/>
    <x v="81"/>
    <x v="39"/>
    <x v="1"/>
    <x v="5"/>
    <x v="526"/>
    <n v="161.96"/>
    <n v="2"/>
    <n v="45.35"/>
    <x v="8"/>
    <x v="0"/>
  </r>
  <r>
    <n v="44446"/>
    <x v="81"/>
    <x v="39"/>
    <x v="0"/>
    <x v="2"/>
    <x v="776"/>
    <n v="19.86"/>
    <n v="2"/>
    <n v="5.76"/>
    <x v="8"/>
    <x v="0"/>
  </r>
  <r>
    <n v="44446"/>
    <x v="382"/>
    <x v="3"/>
    <x v="0"/>
    <x v="14"/>
    <x v="777"/>
    <n v="27.36"/>
    <n v="4"/>
    <n v="7.39"/>
    <x v="8"/>
    <x v="0"/>
  </r>
  <r>
    <n v="44446"/>
    <x v="382"/>
    <x v="3"/>
    <x v="0"/>
    <x v="0"/>
    <x v="0"/>
    <n v="20.56"/>
    <n v="2"/>
    <n v="9.66"/>
    <x v="8"/>
    <x v="0"/>
  </r>
  <r>
    <n v="44446"/>
    <x v="382"/>
    <x v="3"/>
    <x v="0"/>
    <x v="3"/>
    <x v="778"/>
    <n v="83.92"/>
    <n v="5"/>
    <n v="31.47"/>
    <x v="8"/>
    <x v="0"/>
  </r>
  <r>
    <n v="44446"/>
    <x v="228"/>
    <x v="1"/>
    <x v="0"/>
    <x v="7"/>
    <x v="779"/>
    <n v="13.16"/>
    <n v="5"/>
    <n v="4.1100000000000003"/>
    <x v="8"/>
    <x v="0"/>
  </r>
  <r>
    <n v="44446"/>
    <x v="228"/>
    <x v="1"/>
    <x v="0"/>
    <x v="3"/>
    <x v="405"/>
    <n v="3.83"/>
    <n v="3"/>
    <n v="-6.51"/>
    <x v="8"/>
    <x v="0"/>
  </r>
  <r>
    <n v="44446"/>
    <x v="228"/>
    <x v="1"/>
    <x v="0"/>
    <x v="3"/>
    <x v="8"/>
    <n v="304.99"/>
    <n v="5"/>
    <n v="-533.73"/>
    <x v="8"/>
    <x v="0"/>
  </r>
  <r>
    <n v="44447"/>
    <x v="383"/>
    <x v="0"/>
    <x v="0"/>
    <x v="4"/>
    <x v="780"/>
    <n v="9.94"/>
    <n v="3"/>
    <n v="2.73"/>
    <x v="8"/>
    <x v="0"/>
  </r>
  <r>
    <n v="44447"/>
    <x v="383"/>
    <x v="0"/>
    <x v="2"/>
    <x v="15"/>
    <x v="781"/>
    <n v="8159.95"/>
    <n v="8"/>
    <n v="-1359.99"/>
    <x v="8"/>
    <x v="0"/>
  </r>
  <r>
    <n v="44447"/>
    <x v="383"/>
    <x v="0"/>
    <x v="0"/>
    <x v="2"/>
    <x v="75"/>
    <n v="275.93"/>
    <n v="3"/>
    <n v="-58.63"/>
    <x v="8"/>
    <x v="0"/>
  </r>
  <r>
    <n v="44447"/>
    <x v="383"/>
    <x v="0"/>
    <x v="1"/>
    <x v="5"/>
    <x v="782"/>
    <n v="1740.06"/>
    <n v="9"/>
    <n v="-24.86"/>
    <x v="8"/>
    <x v="0"/>
  </r>
  <r>
    <n v="44447"/>
    <x v="383"/>
    <x v="0"/>
    <x v="0"/>
    <x v="4"/>
    <x v="470"/>
    <n v="32.06"/>
    <n v="6"/>
    <n v="6.81"/>
    <x v="8"/>
    <x v="0"/>
  </r>
  <r>
    <n v="44447"/>
    <x v="383"/>
    <x v="0"/>
    <x v="0"/>
    <x v="12"/>
    <x v="783"/>
    <n v="177.98"/>
    <n v="5"/>
    <n v="-453.85"/>
    <x v="8"/>
    <x v="0"/>
  </r>
  <r>
    <n v="44447"/>
    <x v="383"/>
    <x v="0"/>
    <x v="2"/>
    <x v="6"/>
    <x v="784"/>
    <n v="143.97999999999999"/>
    <n v="3"/>
    <n v="9"/>
    <x v="8"/>
    <x v="0"/>
  </r>
  <r>
    <n v="44447"/>
    <x v="333"/>
    <x v="3"/>
    <x v="2"/>
    <x v="9"/>
    <x v="785"/>
    <n v="49.98"/>
    <n v="2"/>
    <n v="8.5"/>
    <x v="8"/>
    <x v="0"/>
  </r>
  <r>
    <n v="44447"/>
    <x v="384"/>
    <x v="0"/>
    <x v="0"/>
    <x v="3"/>
    <x v="413"/>
    <n v="51.18"/>
    <n v="4"/>
    <n v="-79.34"/>
    <x v="8"/>
    <x v="0"/>
  </r>
  <r>
    <n v="44447"/>
    <x v="385"/>
    <x v="4"/>
    <x v="2"/>
    <x v="9"/>
    <x v="786"/>
    <n v="32.97"/>
    <n v="3"/>
    <n v="12.86"/>
    <x v="8"/>
    <x v="0"/>
  </r>
  <r>
    <n v="44447"/>
    <x v="385"/>
    <x v="4"/>
    <x v="2"/>
    <x v="9"/>
    <x v="606"/>
    <n v="83.88"/>
    <n v="4"/>
    <n v="30.2"/>
    <x v="8"/>
    <x v="0"/>
  </r>
  <r>
    <n v="44447"/>
    <x v="285"/>
    <x v="3"/>
    <x v="0"/>
    <x v="12"/>
    <x v="787"/>
    <n v="56.65"/>
    <n v="5"/>
    <n v="24.36"/>
    <x v="8"/>
    <x v="0"/>
  </r>
  <r>
    <n v="44447"/>
    <x v="285"/>
    <x v="3"/>
    <x v="0"/>
    <x v="2"/>
    <x v="788"/>
    <n v="14.97"/>
    <n v="1"/>
    <n v="4.1900000000000004"/>
    <x v="8"/>
    <x v="0"/>
  </r>
  <r>
    <n v="44447"/>
    <x v="285"/>
    <x v="3"/>
    <x v="0"/>
    <x v="7"/>
    <x v="789"/>
    <n v="4.0199999999999996"/>
    <n v="2"/>
    <n v="1.97"/>
    <x v="8"/>
    <x v="0"/>
  </r>
  <r>
    <n v="44447"/>
    <x v="207"/>
    <x v="6"/>
    <x v="0"/>
    <x v="7"/>
    <x v="790"/>
    <n v="45"/>
    <n v="9"/>
    <n v="21.6"/>
    <x v="8"/>
    <x v="0"/>
  </r>
  <r>
    <n v="44447"/>
    <x v="207"/>
    <x v="6"/>
    <x v="2"/>
    <x v="15"/>
    <x v="791"/>
    <n v="209.97"/>
    <n v="3"/>
    <n v="90.29"/>
    <x v="8"/>
    <x v="0"/>
  </r>
  <r>
    <n v="44447"/>
    <x v="386"/>
    <x v="20"/>
    <x v="0"/>
    <x v="12"/>
    <x v="792"/>
    <n v="16.78"/>
    <n v="2"/>
    <n v="4.2"/>
    <x v="8"/>
    <x v="0"/>
  </r>
  <r>
    <n v="44447"/>
    <x v="387"/>
    <x v="22"/>
    <x v="0"/>
    <x v="4"/>
    <x v="793"/>
    <n v="5.88"/>
    <n v="2"/>
    <n v="2.65"/>
    <x v="8"/>
    <x v="0"/>
  </r>
  <r>
    <n v="44447"/>
    <x v="387"/>
    <x v="22"/>
    <x v="1"/>
    <x v="5"/>
    <x v="528"/>
    <n v="975.92"/>
    <n v="5"/>
    <n v="121.99"/>
    <x v="8"/>
    <x v="0"/>
  </r>
  <r>
    <n v="44447"/>
    <x v="387"/>
    <x v="22"/>
    <x v="0"/>
    <x v="4"/>
    <x v="794"/>
    <n v="303.83999999999997"/>
    <n v="8"/>
    <n v="91.15"/>
    <x v="8"/>
    <x v="0"/>
  </r>
  <r>
    <n v="44447"/>
    <x v="387"/>
    <x v="22"/>
    <x v="0"/>
    <x v="2"/>
    <x v="161"/>
    <n v="485.88"/>
    <n v="6"/>
    <n v="19.440000000000001"/>
    <x v="8"/>
    <x v="0"/>
  </r>
  <r>
    <n v="44447"/>
    <x v="388"/>
    <x v="0"/>
    <x v="0"/>
    <x v="0"/>
    <x v="150"/>
    <n v="17.899999999999999"/>
    <n v="2"/>
    <n v="6.27"/>
    <x v="8"/>
    <x v="0"/>
  </r>
  <r>
    <n v="44447"/>
    <x v="388"/>
    <x v="0"/>
    <x v="1"/>
    <x v="5"/>
    <x v="782"/>
    <n v="966.7"/>
    <n v="5"/>
    <n v="-13.81"/>
    <x v="8"/>
    <x v="0"/>
  </r>
  <r>
    <n v="44447"/>
    <x v="388"/>
    <x v="0"/>
    <x v="0"/>
    <x v="0"/>
    <x v="795"/>
    <n v="182.11"/>
    <n v="6"/>
    <n v="61.46"/>
    <x v="8"/>
    <x v="0"/>
  </r>
  <r>
    <n v="44447"/>
    <x v="367"/>
    <x v="20"/>
    <x v="1"/>
    <x v="5"/>
    <x v="796"/>
    <n v="172.76"/>
    <n v="2"/>
    <n v="13.44"/>
    <x v="8"/>
    <x v="0"/>
  </r>
  <r>
    <n v="44447"/>
    <x v="367"/>
    <x v="20"/>
    <x v="0"/>
    <x v="4"/>
    <x v="510"/>
    <n v="3.52"/>
    <n v="2"/>
    <n v="1.69"/>
    <x v="8"/>
    <x v="0"/>
  </r>
  <r>
    <n v="44447"/>
    <x v="18"/>
    <x v="3"/>
    <x v="0"/>
    <x v="3"/>
    <x v="797"/>
    <n v="8.61"/>
    <n v="2"/>
    <n v="3.01"/>
    <x v="8"/>
    <x v="0"/>
  </r>
  <r>
    <n v="44448"/>
    <x v="389"/>
    <x v="14"/>
    <x v="0"/>
    <x v="1"/>
    <x v="798"/>
    <n v="103.6"/>
    <n v="7"/>
    <n v="51.8"/>
    <x v="8"/>
    <x v="0"/>
  </r>
  <r>
    <n v="44448"/>
    <x v="390"/>
    <x v="32"/>
    <x v="0"/>
    <x v="0"/>
    <x v="546"/>
    <n v="166.44"/>
    <n v="3"/>
    <n v="79.89"/>
    <x v="8"/>
    <x v="0"/>
  </r>
  <r>
    <n v="44448"/>
    <x v="390"/>
    <x v="32"/>
    <x v="1"/>
    <x v="5"/>
    <x v="799"/>
    <n v="785.88"/>
    <n v="6"/>
    <n v="212.19"/>
    <x v="8"/>
    <x v="0"/>
  </r>
  <r>
    <n v="44448"/>
    <x v="390"/>
    <x v="32"/>
    <x v="0"/>
    <x v="0"/>
    <x v="800"/>
    <n v="26.2"/>
    <n v="2"/>
    <n v="12.84"/>
    <x v="8"/>
    <x v="0"/>
  </r>
  <r>
    <n v="44448"/>
    <x v="390"/>
    <x v="32"/>
    <x v="0"/>
    <x v="2"/>
    <x v="27"/>
    <n v="1325.85"/>
    <n v="5"/>
    <n v="238.65"/>
    <x v="8"/>
    <x v="0"/>
  </r>
  <r>
    <n v="44448"/>
    <x v="391"/>
    <x v="2"/>
    <x v="0"/>
    <x v="0"/>
    <x v="801"/>
    <n v="15.55"/>
    <n v="3"/>
    <n v="5.44"/>
    <x v="8"/>
    <x v="0"/>
  </r>
  <r>
    <n v="44448"/>
    <x v="391"/>
    <x v="2"/>
    <x v="2"/>
    <x v="9"/>
    <x v="802"/>
    <n v="64.7"/>
    <n v="6"/>
    <n v="-4.8499999999999996"/>
    <x v="8"/>
    <x v="0"/>
  </r>
  <r>
    <n v="44448"/>
    <x v="391"/>
    <x v="2"/>
    <x v="1"/>
    <x v="8"/>
    <x v="747"/>
    <n v="17.47"/>
    <n v="3"/>
    <n v="5.0199999999999996"/>
    <x v="8"/>
    <x v="0"/>
  </r>
  <r>
    <n v="44448"/>
    <x v="391"/>
    <x v="2"/>
    <x v="2"/>
    <x v="6"/>
    <x v="803"/>
    <n v="135.52000000000001"/>
    <n v="1"/>
    <n v="-31.62"/>
    <x v="8"/>
    <x v="0"/>
  </r>
  <r>
    <n v="44448"/>
    <x v="392"/>
    <x v="25"/>
    <x v="2"/>
    <x v="15"/>
    <x v="804"/>
    <n v="1299.99"/>
    <n v="2"/>
    <n v="-572"/>
    <x v="8"/>
    <x v="0"/>
  </r>
  <r>
    <n v="44448"/>
    <x v="155"/>
    <x v="10"/>
    <x v="1"/>
    <x v="8"/>
    <x v="805"/>
    <n v="60.67"/>
    <n v="6"/>
    <n v="12.89"/>
    <x v="8"/>
    <x v="0"/>
  </r>
  <r>
    <n v="44448"/>
    <x v="155"/>
    <x v="10"/>
    <x v="0"/>
    <x v="4"/>
    <x v="806"/>
    <n v="30.82"/>
    <n v="9"/>
    <n v="2.7"/>
    <x v="8"/>
    <x v="0"/>
  </r>
  <r>
    <n v="44448"/>
    <x v="393"/>
    <x v="1"/>
    <x v="0"/>
    <x v="0"/>
    <x v="443"/>
    <n v="10.9"/>
    <n v="3"/>
    <n v="3.41"/>
    <x v="8"/>
    <x v="0"/>
  </r>
  <r>
    <n v="44449"/>
    <x v="163"/>
    <x v="6"/>
    <x v="0"/>
    <x v="3"/>
    <x v="575"/>
    <n v="9.64"/>
    <n v="2"/>
    <n v="4.72"/>
    <x v="8"/>
    <x v="0"/>
  </r>
  <r>
    <n v="44449"/>
    <x v="68"/>
    <x v="11"/>
    <x v="0"/>
    <x v="10"/>
    <x v="807"/>
    <n v="21.73"/>
    <n v="7"/>
    <n v="7.6"/>
    <x v="8"/>
    <x v="0"/>
  </r>
  <r>
    <n v="44449"/>
    <x v="68"/>
    <x v="11"/>
    <x v="1"/>
    <x v="5"/>
    <x v="341"/>
    <n v="1487.04"/>
    <n v="5"/>
    <n v="148.69999999999999"/>
    <x v="8"/>
    <x v="0"/>
  </r>
  <r>
    <n v="44449"/>
    <x v="394"/>
    <x v="23"/>
    <x v="0"/>
    <x v="12"/>
    <x v="808"/>
    <n v="81.92"/>
    <n v="4"/>
    <n v="22.12"/>
    <x v="8"/>
    <x v="0"/>
  </r>
  <r>
    <n v="44449"/>
    <x v="394"/>
    <x v="23"/>
    <x v="1"/>
    <x v="8"/>
    <x v="193"/>
    <n v="254.9"/>
    <n v="5"/>
    <n v="76.47"/>
    <x v="8"/>
    <x v="0"/>
  </r>
  <r>
    <n v="44450"/>
    <x v="395"/>
    <x v="3"/>
    <x v="1"/>
    <x v="8"/>
    <x v="809"/>
    <n v="127.95"/>
    <n v="3"/>
    <n v="21.75"/>
    <x v="8"/>
    <x v="0"/>
  </r>
  <r>
    <n v="44451"/>
    <x v="26"/>
    <x v="20"/>
    <x v="2"/>
    <x v="15"/>
    <x v="791"/>
    <n v="69.989999999999995"/>
    <n v="1"/>
    <n v="30.1"/>
    <x v="8"/>
    <x v="0"/>
  </r>
  <r>
    <n v="44451"/>
    <x v="396"/>
    <x v="25"/>
    <x v="0"/>
    <x v="0"/>
    <x v="114"/>
    <n v="10.37"/>
    <n v="2"/>
    <n v="3.63"/>
    <x v="8"/>
    <x v="0"/>
  </r>
  <r>
    <n v="44451"/>
    <x v="396"/>
    <x v="25"/>
    <x v="0"/>
    <x v="12"/>
    <x v="810"/>
    <n v="166.84"/>
    <n v="5"/>
    <n v="18.77"/>
    <x v="8"/>
    <x v="0"/>
  </r>
  <r>
    <n v="44451"/>
    <x v="396"/>
    <x v="25"/>
    <x v="2"/>
    <x v="9"/>
    <x v="735"/>
    <n v="15.22"/>
    <n v="1"/>
    <n v="2.2799999999999998"/>
    <x v="8"/>
    <x v="0"/>
  </r>
  <r>
    <n v="44451"/>
    <x v="397"/>
    <x v="0"/>
    <x v="0"/>
    <x v="3"/>
    <x v="811"/>
    <n v="5.18"/>
    <n v="5"/>
    <n v="-8.0299999999999994"/>
    <x v="8"/>
    <x v="0"/>
  </r>
  <r>
    <n v="44451"/>
    <x v="192"/>
    <x v="10"/>
    <x v="0"/>
    <x v="3"/>
    <x v="812"/>
    <n v="63.92"/>
    <n v="7"/>
    <n v="-46.88"/>
    <x v="8"/>
    <x v="0"/>
  </r>
  <r>
    <n v="44451"/>
    <x v="398"/>
    <x v="42"/>
    <x v="0"/>
    <x v="14"/>
    <x v="104"/>
    <n v="357.93"/>
    <n v="3"/>
    <n v="7.16"/>
    <x v="8"/>
    <x v="0"/>
  </r>
  <r>
    <n v="44451"/>
    <x v="398"/>
    <x v="42"/>
    <x v="2"/>
    <x v="9"/>
    <x v="813"/>
    <n v="57.4"/>
    <n v="5"/>
    <n v="10.91"/>
    <x v="8"/>
    <x v="0"/>
  </r>
  <r>
    <n v="44451"/>
    <x v="398"/>
    <x v="42"/>
    <x v="0"/>
    <x v="3"/>
    <x v="398"/>
    <n v="331.96"/>
    <n v="2"/>
    <n v="149.38"/>
    <x v="8"/>
    <x v="0"/>
  </r>
  <r>
    <n v="44451"/>
    <x v="398"/>
    <x v="42"/>
    <x v="1"/>
    <x v="8"/>
    <x v="814"/>
    <n v="40.56"/>
    <n v="2"/>
    <n v="12.98"/>
    <x v="8"/>
    <x v="0"/>
  </r>
  <r>
    <n v="44451"/>
    <x v="399"/>
    <x v="20"/>
    <x v="1"/>
    <x v="5"/>
    <x v="599"/>
    <n v="3785.29"/>
    <n v="6"/>
    <n v="420.59"/>
    <x v="8"/>
    <x v="0"/>
  </r>
  <r>
    <n v="44452"/>
    <x v="400"/>
    <x v="25"/>
    <x v="0"/>
    <x v="3"/>
    <x v="638"/>
    <n v="18.649999999999999"/>
    <n v="7"/>
    <n v="-12.43"/>
    <x v="8"/>
    <x v="0"/>
  </r>
  <r>
    <n v="44452"/>
    <x v="401"/>
    <x v="2"/>
    <x v="0"/>
    <x v="0"/>
    <x v="336"/>
    <n v="15.55"/>
    <n v="3"/>
    <n v="5.44"/>
    <x v="8"/>
    <x v="0"/>
  </r>
  <r>
    <n v="44452"/>
    <x v="401"/>
    <x v="2"/>
    <x v="2"/>
    <x v="9"/>
    <x v="128"/>
    <n v="252"/>
    <n v="5"/>
    <n v="53.55"/>
    <x v="8"/>
    <x v="0"/>
  </r>
  <r>
    <n v="44452"/>
    <x v="284"/>
    <x v="20"/>
    <x v="0"/>
    <x v="4"/>
    <x v="481"/>
    <n v="5.46"/>
    <n v="3"/>
    <n v="1.47"/>
    <x v="8"/>
    <x v="0"/>
  </r>
  <r>
    <n v="44452"/>
    <x v="402"/>
    <x v="12"/>
    <x v="0"/>
    <x v="2"/>
    <x v="815"/>
    <n v="79.400000000000006"/>
    <n v="5"/>
    <n v="5.96"/>
    <x v="8"/>
    <x v="0"/>
  </r>
  <r>
    <n v="44452"/>
    <x v="288"/>
    <x v="0"/>
    <x v="1"/>
    <x v="5"/>
    <x v="526"/>
    <n v="340.12"/>
    <n v="6"/>
    <n v="-9.7200000000000006"/>
    <x v="8"/>
    <x v="0"/>
  </r>
  <r>
    <n v="44452"/>
    <x v="352"/>
    <x v="10"/>
    <x v="0"/>
    <x v="3"/>
    <x v="816"/>
    <n v="2.5"/>
    <n v="3"/>
    <n v="-2"/>
    <x v="8"/>
    <x v="0"/>
  </r>
  <r>
    <n v="44452"/>
    <x v="218"/>
    <x v="22"/>
    <x v="0"/>
    <x v="7"/>
    <x v="364"/>
    <n v="5.7"/>
    <n v="5"/>
    <n v="2.68"/>
    <x v="8"/>
    <x v="0"/>
  </r>
  <r>
    <n v="44452"/>
    <x v="218"/>
    <x v="22"/>
    <x v="1"/>
    <x v="8"/>
    <x v="283"/>
    <n v="14.19"/>
    <n v="3"/>
    <n v="5.53"/>
    <x v="8"/>
    <x v="0"/>
  </r>
  <r>
    <n v="44452"/>
    <x v="218"/>
    <x v="22"/>
    <x v="0"/>
    <x v="14"/>
    <x v="817"/>
    <n v="7.3"/>
    <n v="2"/>
    <n v="2.19"/>
    <x v="8"/>
    <x v="0"/>
  </r>
  <r>
    <n v="44452"/>
    <x v="218"/>
    <x v="22"/>
    <x v="2"/>
    <x v="9"/>
    <x v="439"/>
    <n v="199.98"/>
    <n v="2"/>
    <n v="75.989999999999995"/>
    <x v="8"/>
    <x v="0"/>
  </r>
  <r>
    <n v="44452"/>
    <x v="218"/>
    <x v="22"/>
    <x v="2"/>
    <x v="9"/>
    <x v="306"/>
    <n v="144.96"/>
    <n v="4"/>
    <n v="60.88"/>
    <x v="8"/>
    <x v="0"/>
  </r>
  <r>
    <n v="44452"/>
    <x v="218"/>
    <x v="22"/>
    <x v="2"/>
    <x v="9"/>
    <x v="818"/>
    <n v="118"/>
    <n v="2"/>
    <n v="20.059999999999999"/>
    <x v="8"/>
    <x v="0"/>
  </r>
  <r>
    <n v="44452"/>
    <x v="218"/>
    <x v="22"/>
    <x v="0"/>
    <x v="0"/>
    <x v="819"/>
    <n v="48.94"/>
    <n v="1"/>
    <n v="24.47"/>
    <x v="8"/>
    <x v="0"/>
  </r>
  <r>
    <n v="44452"/>
    <x v="218"/>
    <x v="22"/>
    <x v="0"/>
    <x v="12"/>
    <x v="787"/>
    <n v="22.66"/>
    <n v="2"/>
    <n v="9.74"/>
    <x v="8"/>
    <x v="0"/>
  </r>
  <r>
    <n v="44453"/>
    <x v="403"/>
    <x v="1"/>
    <x v="0"/>
    <x v="12"/>
    <x v="820"/>
    <n v="52.45"/>
    <n v="2"/>
    <n v="-131.12"/>
    <x v="8"/>
    <x v="0"/>
  </r>
  <r>
    <n v="44453"/>
    <x v="403"/>
    <x v="1"/>
    <x v="0"/>
    <x v="1"/>
    <x v="821"/>
    <n v="20.16"/>
    <n v="4"/>
    <n v="6.55"/>
    <x v="8"/>
    <x v="0"/>
  </r>
  <r>
    <n v="44453"/>
    <x v="404"/>
    <x v="20"/>
    <x v="0"/>
    <x v="2"/>
    <x v="437"/>
    <n v="449.15"/>
    <n v="5"/>
    <n v="8.98"/>
    <x v="8"/>
    <x v="0"/>
  </r>
  <r>
    <n v="44453"/>
    <x v="404"/>
    <x v="20"/>
    <x v="0"/>
    <x v="10"/>
    <x v="822"/>
    <n v="11.07"/>
    <n v="3"/>
    <n v="5.09"/>
    <x v="8"/>
    <x v="0"/>
  </r>
  <r>
    <n v="44453"/>
    <x v="273"/>
    <x v="16"/>
    <x v="0"/>
    <x v="12"/>
    <x v="823"/>
    <n v="13"/>
    <n v="5"/>
    <n v="1.3"/>
    <x v="8"/>
    <x v="0"/>
  </r>
  <r>
    <n v="44453"/>
    <x v="273"/>
    <x v="16"/>
    <x v="1"/>
    <x v="8"/>
    <x v="261"/>
    <n v="13.13"/>
    <n v="3"/>
    <n v="3.77"/>
    <x v="8"/>
    <x v="0"/>
  </r>
  <r>
    <n v="44453"/>
    <x v="405"/>
    <x v="4"/>
    <x v="1"/>
    <x v="8"/>
    <x v="467"/>
    <n v="142.4"/>
    <n v="5"/>
    <n v="52.69"/>
    <x v="8"/>
    <x v="0"/>
  </r>
  <r>
    <n v="44453"/>
    <x v="405"/>
    <x v="4"/>
    <x v="0"/>
    <x v="3"/>
    <x v="824"/>
    <n v="7.16"/>
    <n v="2"/>
    <n v="3.44"/>
    <x v="8"/>
    <x v="0"/>
  </r>
  <r>
    <n v="44453"/>
    <x v="406"/>
    <x v="20"/>
    <x v="1"/>
    <x v="13"/>
    <x v="278"/>
    <n v="464.29"/>
    <n v="9"/>
    <n v="-108.33"/>
    <x v="8"/>
    <x v="0"/>
  </r>
  <r>
    <n v="44453"/>
    <x v="406"/>
    <x v="20"/>
    <x v="0"/>
    <x v="10"/>
    <x v="21"/>
    <n v="68.459999999999994"/>
    <n v="7"/>
    <n v="31.49"/>
    <x v="8"/>
    <x v="0"/>
  </r>
  <r>
    <n v="44453"/>
    <x v="406"/>
    <x v="20"/>
    <x v="2"/>
    <x v="15"/>
    <x v="825"/>
    <n v="2799.96"/>
    <n v="4"/>
    <n v="1371.98"/>
    <x v="8"/>
    <x v="0"/>
  </r>
  <r>
    <n v="44453"/>
    <x v="406"/>
    <x v="20"/>
    <x v="0"/>
    <x v="12"/>
    <x v="453"/>
    <n v="601.29999999999995"/>
    <n v="2"/>
    <n v="198.43"/>
    <x v="8"/>
    <x v="0"/>
  </r>
  <r>
    <n v="44453"/>
    <x v="406"/>
    <x v="20"/>
    <x v="2"/>
    <x v="6"/>
    <x v="826"/>
    <n v="16.989999999999998"/>
    <n v="1"/>
    <n v="4.42"/>
    <x v="8"/>
    <x v="0"/>
  </r>
  <r>
    <n v="44453"/>
    <x v="406"/>
    <x v="20"/>
    <x v="2"/>
    <x v="6"/>
    <x v="827"/>
    <n v="287.97000000000003"/>
    <n v="3"/>
    <n v="80.63"/>
    <x v="8"/>
    <x v="0"/>
  </r>
  <r>
    <n v="44453"/>
    <x v="406"/>
    <x v="20"/>
    <x v="0"/>
    <x v="0"/>
    <x v="157"/>
    <n v="44.82"/>
    <n v="9"/>
    <n v="21.07"/>
    <x v="8"/>
    <x v="0"/>
  </r>
  <r>
    <n v="44453"/>
    <x v="134"/>
    <x v="0"/>
    <x v="0"/>
    <x v="7"/>
    <x v="828"/>
    <n v="6.05"/>
    <n v="4"/>
    <n v="-1.36"/>
    <x v="8"/>
    <x v="0"/>
  </r>
  <r>
    <n v="44453"/>
    <x v="134"/>
    <x v="0"/>
    <x v="0"/>
    <x v="0"/>
    <x v="829"/>
    <n v="6.85"/>
    <n v="2"/>
    <n v="2.14"/>
    <x v="8"/>
    <x v="0"/>
  </r>
  <r>
    <n v="44453"/>
    <x v="134"/>
    <x v="0"/>
    <x v="1"/>
    <x v="8"/>
    <x v="517"/>
    <n v="9.9600000000000009"/>
    <n v="5"/>
    <n v="-6.72"/>
    <x v="8"/>
    <x v="0"/>
  </r>
  <r>
    <n v="44453"/>
    <x v="134"/>
    <x v="0"/>
    <x v="0"/>
    <x v="3"/>
    <x v="830"/>
    <n v="8.5500000000000007"/>
    <n v="2"/>
    <n v="-13.68"/>
    <x v="8"/>
    <x v="0"/>
  </r>
  <r>
    <n v="44454"/>
    <x v="407"/>
    <x v="2"/>
    <x v="1"/>
    <x v="8"/>
    <x v="831"/>
    <n v="103.94"/>
    <n v="4"/>
    <n v="16.89"/>
    <x v="8"/>
    <x v="0"/>
  </r>
  <r>
    <n v="44454"/>
    <x v="116"/>
    <x v="20"/>
    <x v="0"/>
    <x v="0"/>
    <x v="371"/>
    <n v="14.94"/>
    <n v="3"/>
    <n v="7.02"/>
    <x v="8"/>
    <x v="0"/>
  </r>
  <r>
    <n v="44454"/>
    <x v="116"/>
    <x v="20"/>
    <x v="1"/>
    <x v="8"/>
    <x v="747"/>
    <n v="14.56"/>
    <n v="2"/>
    <n v="6.26"/>
    <x v="8"/>
    <x v="0"/>
  </r>
  <r>
    <n v="44455"/>
    <x v="211"/>
    <x v="20"/>
    <x v="0"/>
    <x v="3"/>
    <x v="516"/>
    <n v="33.549999999999997"/>
    <n v="1"/>
    <n v="12.58"/>
    <x v="8"/>
    <x v="0"/>
  </r>
  <r>
    <n v="44456"/>
    <x v="408"/>
    <x v="2"/>
    <x v="0"/>
    <x v="3"/>
    <x v="832"/>
    <n v="5.89"/>
    <n v="4"/>
    <n v="-4.12"/>
    <x v="8"/>
    <x v="0"/>
  </r>
  <r>
    <n v="44456"/>
    <x v="388"/>
    <x v="25"/>
    <x v="2"/>
    <x v="9"/>
    <x v="833"/>
    <n v="47.98"/>
    <n v="2"/>
    <n v="13.2"/>
    <x v="8"/>
    <x v="0"/>
  </r>
  <r>
    <n v="44456"/>
    <x v="388"/>
    <x v="25"/>
    <x v="0"/>
    <x v="0"/>
    <x v="834"/>
    <n v="4.62"/>
    <n v="1"/>
    <n v="1.68"/>
    <x v="8"/>
    <x v="0"/>
  </r>
  <r>
    <n v="44456"/>
    <x v="84"/>
    <x v="22"/>
    <x v="0"/>
    <x v="2"/>
    <x v="835"/>
    <n v="30.28"/>
    <n v="2"/>
    <n v="1.21"/>
    <x v="8"/>
    <x v="0"/>
  </r>
  <r>
    <n v="44456"/>
    <x v="84"/>
    <x v="22"/>
    <x v="0"/>
    <x v="2"/>
    <x v="836"/>
    <n v="57.93"/>
    <n v="3"/>
    <n v="16.22"/>
    <x v="8"/>
    <x v="0"/>
  </r>
  <r>
    <n v="44456"/>
    <x v="84"/>
    <x v="22"/>
    <x v="1"/>
    <x v="8"/>
    <x v="837"/>
    <n v="35.340000000000003"/>
    <n v="2"/>
    <n v="13.43"/>
    <x v="8"/>
    <x v="0"/>
  </r>
  <r>
    <n v="44456"/>
    <x v="84"/>
    <x v="22"/>
    <x v="0"/>
    <x v="3"/>
    <x v="213"/>
    <n v="137.24"/>
    <n v="5"/>
    <n v="46.32"/>
    <x v="8"/>
    <x v="0"/>
  </r>
  <r>
    <n v="44456"/>
    <x v="245"/>
    <x v="3"/>
    <x v="0"/>
    <x v="10"/>
    <x v="838"/>
    <n v="182.94"/>
    <n v="3"/>
    <n v="85.98"/>
    <x v="8"/>
    <x v="0"/>
  </r>
  <r>
    <n v="44456"/>
    <x v="409"/>
    <x v="11"/>
    <x v="0"/>
    <x v="4"/>
    <x v="839"/>
    <n v="5.25"/>
    <n v="2"/>
    <n v="0.46"/>
    <x v="8"/>
    <x v="0"/>
  </r>
  <r>
    <n v="44456"/>
    <x v="409"/>
    <x v="11"/>
    <x v="0"/>
    <x v="4"/>
    <x v="840"/>
    <n v="38.26"/>
    <n v="3"/>
    <n v="4.78"/>
    <x v="8"/>
    <x v="0"/>
  </r>
  <r>
    <n v="44456"/>
    <x v="409"/>
    <x v="11"/>
    <x v="0"/>
    <x v="0"/>
    <x v="716"/>
    <n v="40.24"/>
    <n v="5"/>
    <n v="13.08"/>
    <x v="8"/>
    <x v="0"/>
  </r>
  <r>
    <n v="44456"/>
    <x v="409"/>
    <x v="11"/>
    <x v="2"/>
    <x v="15"/>
    <x v="841"/>
    <n v="29.93"/>
    <n v="5"/>
    <n v="-21.95"/>
    <x v="8"/>
    <x v="0"/>
  </r>
  <r>
    <n v="44456"/>
    <x v="409"/>
    <x v="11"/>
    <x v="0"/>
    <x v="0"/>
    <x v="842"/>
    <n v="148.69999999999999"/>
    <n v="6"/>
    <n v="46.47"/>
    <x v="8"/>
    <x v="0"/>
  </r>
  <r>
    <n v="44456"/>
    <x v="409"/>
    <x v="11"/>
    <x v="2"/>
    <x v="9"/>
    <x v="843"/>
    <n v="55.92"/>
    <n v="10"/>
    <n v="16.78"/>
    <x v="8"/>
    <x v="0"/>
  </r>
  <r>
    <n v="44458"/>
    <x v="191"/>
    <x v="0"/>
    <x v="2"/>
    <x v="15"/>
    <x v="781"/>
    <n v="3059.98"/>
    <n v="3"/>
    <n v="-510"/>
    <x v="8"/>
    <x v="0"/>
  </r>
  <r>
    <n v="44458"/>
    <x v="191"/>
    <x v="0"/>
    <x v="2"/>
    <x v="15"/>
    <x v="844"/>
    <n v="2519.96"/>
    <n v="7"/>
    <n v="-252"/>
    <x v="8"/>
    <x v="0"/>
  </r>
  <r>
    <n v="44458"/>
    <x v="410"/>
    <x v="3"/>
    <x v="0"/>
    <x v="7"/>
    <x v="500"/>
    <n v="7.16"/>
    <n v="2"/>
    <n v="3.58"/>
    <x v="8"/>
    <x v="0"/>
  </r>
  <r>
    <n v="44458"/>
    <x v="154"/>
    <x v="25"/>
    <x v="0"/>
    <x v="2"/>
    <x v="845"/>
    <n v="67.34"/>
    <n v="6"/>
    <n v="7.58"/>
    <x v="8"/>
    <x v="0"/>
  </r>
  <r>
    <n v="44458"/>
    <x v="154"/>
    <x v="25"/>
    <x v="2"/>
    <x v="15"/>
    <x v="846"/>
    <n v="2624.99"/>
    <n v="3"/>
    <n v="-944.99"/>
    <x v="8"/>
    <x v="0"/>
  </r>
  <r>
    <n v="44458"/>
    <x v="183"/>
    <x v="20"/>
    <x v="1"/>
    <x v="5"/>
    <x v="433"/>
    <n v="887.1"/>
    <n v="7"/>
    <n v="177.42"/>
    <x v="8"/>
    <x v="0"/>
  </r>
  <r>
    <n v="44458"/>
    <x v="411"/>
    <x v="22"/>
    <x v="0"/>
    <x v="2"/>
    <x v="847"/>
    <n v="92.52"/>
    <n v="6"/>
    <n v="24.98"/>
    <x v="8"/>
    <x v="0"/>
  </r>
  <r>
    <n v="44458"/>
    <x v="412"/>
    <x v="3"/>
    <x v="0"/>
    <x v="7"/>
    <x v="828"/>
    <n v="5.67"/>
    <n v="3"/>
    <n v="0.11"/>
    <x v="8"/>
    <x v="0"/>
  </r>
  <r>
    <n v="44458"/>
    <x v="37"/>
    <x v="12"/>
    <x v="1"/>
    <x v="13"/>
    <x v="848"/>
    <n v="73.92"/>
    <n v="1"/>
    <n v="-45.83"/>
    <x v="8"/>
    <x v="0"/>
  </r>
  <r>
    <n v="44459"/>
    <x v="413"/>
    <x v="1"/>
    <x v="1"/>
    <x v="13"/>
    <x v="490"/>
    <n v="617.70000000000005"/>
    <n v="6"/>
    <n v="-407.68"/>
    <x v="8"/>
    <x v="0"/>
  </r>
  <r>
    <n v="44459"/>
    <x v="414"/>
    <x v="3"/>
    <x v="0"/>
    <x v="1"/>
    <x v="849"/>
    <n v="9.9600000000000009"/>
    <n v="2"/>
    <n v="4.58"/>
    <x v="8"/>
    <x v="0"/>
  </r>
  <r>
    <n v="44459"/>
    <x v="414"/>
    <x v="3"/>
    <x v="0"/>
    <x v="0"/>
    <x v="850"/>
    <n v="21.72"/>
    <n v="4"/>
    <n v="10.64"/>
    <x v="8"/>
    <x v="0"/>
  </r>
  <r>
    <n v="44459"/>
    <x v="159"/>
    <x v="16"/>
    <x v="0"/>
    <x v="4"/>
    <x v="510"/>
    <n v="2.82"/>
    <n v="2"/>
    <n v="0.99"/>
    <x v="8"/>
    <x v="0"/>
  </r>
  <r>
    <n v="44459"/>
    <x v="415"/>
    <x v="3"/>
    <x v="0"/>
    <x v="12"/>
    <x v="394"/>
    <n v="43.92"/>
    <n v="4"/>
    <n v="11.86"/>
    <x v="8"/>
    <x v="0"/>
  </r>
  <r>
    <n v="44459"/>
    <x v="415"/>
    <x v="3"/>
    <x v="0"/>
    <x v="3"/>
    <x v="250"/>
    <n v="20.23"/>
    <n v="3"/>
    <n v="6.58"/>
    <x v="8"/>
    <x v="0"/>
  </r>
  <r>
    <n v="44459"/>
    <x v="416"/>
    <x v="36"/>
    <x v="1"/>
    <x v="8"/>
    <x v="851"/>
    <n v="164.22"/>
    <n v="3"/>
    <n v="50.91"/>
    <x v="8"/>
    <x v="0"/>
  </r>
  <r>
    <n v="44459"/>
    <x v="416"/>
    <x v="36"/>
    <x v="1"/>
    <x v="11"/>
    <x v="238"/>
    <n v="362.94"/>
    <n v="3"/>
    <n v="36.29"/>
    <x v="8"/>
    <x v="0"/>
  </r>
  <r>
    <n v="44459"/>
    <x v="416"/>
    <x v="36"/>
    <x v="2"/>
    <x v="9"/>
    <x v="33"/>
    <n v="59.98"/>
    <n v="2"/>
    <n v="26.39"/>
    <x v="8"/>
    <x v="0"/>
  </r>
  <r>
    <n v="44459"/>
    <x v="417"/>
    <x v="1"/>
    <x v="1"/>
    <x v="11"/>
    <x v="194"/>
    <n v="493.43"/>
    <n v="5"/>
    <n v="-70.489999999999995"/>
    <x v="8"/>
    <x v="0"/>
  </r>
  <r>
    <n v="44459"/>
    <x v="417"/>
    <x v="1"/>
    <x v="2"/>
    <x v="6"/>
    <x v="852"/>
    <n v="11.12"/>
    <n v="2"/>
    <n v="3.48"/>
    <x v="8"/>
    <x v="0"/>
  </r>
  <r>
    <n v="44459"/>
    <x v="418"/>
    <x v="3"/>
    <x v="0"/>
    <x v="0"/>
    <x v="829"/>
    <n v="8.56"/>
    <n v="2"/>
    <n v="3.85"/>
    <x v="8"/>
    <x v="0"/>
  </r>
  <r>
    <n v="44459"/>
    <x v="363"/>
    <x v="20"/>
    <x v="2"/>
    <x v="6"/>
    <x v="217"/>
    <n v="629.95000000000005"/>
    <n v="5"/>
    <n v="157.49"/>
    <x v="8"/>
    <x v="0"/>
  </r>
  <r>
    <n v="44459"/>
    <x v="363"/>
    <x v="20"/>
    <x v="1"/>
    <x v="5"/>
    <x v="354"/>
    <n v="631.78"/>
    <n v="2"/>
    <n v="140.4"/>
    <x v="8"/>
    <x v="0"/>
  </r>
  <r>
    <n v="44459"/>
    <x v="363"/>
    <x v="20"/>
    <x v="1"/>
    <x v="11"/>
    <x v="853"/>
    <n v="801.57"/>
    <n v="2"/>
    <n v="-10.02"/>
    <x v="8"/>
    <x v="0"/>
  </r>
  <r>
    <n v="44459"/>
    <x v="363"/>
    <x v="20"/>
    <x v="0"/>
    <x v="1"/>
    <x v="634"/>
    <n v="75.180000000000007"/>
    <n v="6"/>
    <n v="35.33"/>
    <x v="8"/>
    <x v="0"/>
  </r>
  <r>
    <n v="44459"/>
    <x v="363"/>
    <x v="20"/>
    <x v="0"/>
    <x v="12"/>
    <x v="256"/>
    <n v="30.98"/>
    <n v="1"/>
    <n v="8.0500000000000007"/>
    <x v="8"/>
    <x v="0"/>
  </r>
  <r>
    <n v="44459"/>
    <x v="363"/>
    <x v="20"/>
    <x v="2"/>
    <x v="6"/>
    <x v="854"/>
    <n v="1349.91"/>
    <n v="9"/>
    <n v="661.46"/>
    <x v="8"/>
    <x v="0"/>
  </r>
  <r>
    <n v="44460"/>
    <x v="419"/>
    <x v="22"/>
    <x v="2"/>
    <x v="6"/>
    <x v="855"/>
    <n v="246.38"/>
    <n v="2"/>
    <n v="27.72"/>
    <x v="8"/>
    <x v="0"/>
  </r>
  <r>
    <n v="44460"/>
    <x v="419"/>
    <x v="22"/>
    <x v="2"/>
    <x v="16"/>
    <x v="856"/>
    <n v="1799.97"/>
    <n v="3"/>
    <n v="701.99"/>
    <x v="8"/>
    <x v="0"/>
  </r>
  <r>
    <n v="44460"/>
    <x v="291"/>
    <x v="40"/>
    <x v="0"/>
    <x v="12"/>
    <x v="857"/>
    <n v="25.96"/>
    <n v="2"/>
    <n v="7.53"/>
    <x v="8"/>
    <x v="0"/>
  </r>
  <r>
    <n v="44460"/>
    <x v="291"/>
    <x v="40"/>
    <x v="0"/>
    <x v="12"/>
    <x v="639"/>
    <n v="36.270000000000003"/>
    <n v="3"/>
    <n v="10.88"/>
    <x v="8"/>
    <x v="0"/>
  </r>
  <r>
    <n v="44460"/>
    <x v="291"/>
    <x v="40"/>
    <x v="0"/>
    <x v="0"/>
    <x v="300"/>
    <n v="6.48"/>
    <n v="1"/>
    <n v="3.11"/>
    <x v="8"/>
    <x v="0"/>
  </r>
  <r>
    <n v="44460"/>
    <x v="221"/>
    <x v="3"/>
    <x v="0"/>
    <x v="10"/>
    <x v="21"/>
    <n v="15.56"/>
    <n v="2"/>
    <n v="7.31"/>
    <x v="8"/>
    <x v="0"/>
  </r>
  <r>
    <n v="44460"/>
    <x v="221"/>
    <x v="3"/>
    <x v="0"/>
    <x v="10"/>
    <x v="858"/>
    <n v="78.349999999999994"/>
    <n v="5"/>
    <n v="36.82"/>
    <x v="8"/>
    <x v="0"/>
  </r>
  <r>
    <n v="44460"/>
    <x v="221"/>
    <x v="3"/>
    <x v="0"/>
    <x v="4"/>
    <x v="859"/>
    <n v="59.52"/>
    <n v="3"/>
    <n v="15.48"/>
    <x v="8"/>
    <x v="0"/>
  </r>
  <r>
    <n v="44460"/>
    <x v="221"/>
    <x v="3"/>
    <x v="0"/>
    <x v="0"/>
    <x v="127"/>
    <n v="38.520000000000003"/>
    <n v="9"/>
    <n v="17.329999999999998"/>
    <x v="8"/>
    <x v="0"/>
  </r>
  <r>
    <n v="44460"/>
    <x v="221"/>
    <x v="3"/>
    <x v="2"/>
    <x v="6"/>
    <x v="860"/>
    <n v="239.98"/>
    <n v="2"/>
    <n v="24"/>
    <x v="8"/>
    <x v="0"/>
  </r>
  <r>
    <n v="44460"/>
    <x v="221"/>
    <x v="3"/>
    <x v="0"/>
    <x v="0"/>
    <x v="861"/>
    <n v="19.350000000000001"/>
    <n v="3"/>
    <n v="9.48"/>
    <x v="8"/>
    <x v="0"/>
  </r>
  <r>
    <n v="44460"/>
    <x v="338"/>
    <x v="2"/>
    <x v="0"/>
    <x v="0"/>
    <x v="862"/>
    <n v="11.35"/>
    <n v="3"/>
    <n v="4.12"/>
    <x v="8"/>
    <x v="0"/>
  </r>
  <r>
    <n v="44460"/>
    <x v="338"/>
    <x v="2"/>
    <x v="0"/>
    <x v="1"/>
    <x v="115"/>
    <n v="20.81"/>
    <n v="9"/>
    <n v="7.02"/>
    <x v="8"/>
    <x v="0"/>
  </r>
  <r>
    <n v="44460"/>
    <x v="179"/>
    <x v="0"/>
    <x v="1"/>
    <x v="8"/>
    <x v="863"/>
    <n v="8.5399999999999991"/>
    <n v="2"/>
    <n v="-7.48"/>
    <x v="8"/>
    <x v="0"/>
  </r>
  <r>
    <n v="44460"/>
    <x v="420"/>
    <x v="2"/>
    <x v="0"/>
    <x v="3"/>
    <x v="772"/>
    <n v="6.57"/>
    <n v="3"/>
    <n v="-5.04"/>
    <x v="8"/>
    <x v="0"/>
  </r>
  <r>
    <n v="44460"/>
    <x v="421"/>
    <x v="20"/>
    <x v="0"/>
    <x v="4"/>
    <x v="864"/>
    <n v="66.03"/>
    <n v="3"/>
    <n v="17.170000000000002"/>
    <x v="8"/>
    <x v="0"/>
  </r>
  <r>
    <n v="44461"/>
    <x v="389"/>
    <x v="16"/>
    <x v="0"/>
    <x v="1"/>
    <x v="349"/>
    <n v="4.6100000000000003"/>
    <n v="2"/>
    <n v="1.67"/>
    <x v="8"/>
    <x v="0"/>
  </r>
  <r>
    <n v="44461"/>
    <x v="422"/>
    <x v="1"/>
    <x v="0"/>
    <x v="2"/>
    <x v="332"/>
    <n v="331.54"/>
    <n v="3"/>
    <n v="-82.88"/>
    <x v="8"/>
    <x v="0"/>
  </r>
  <r>
    <n v="44461"/>
    <x v="145"/>
    <x v="3"/>
    <x v="0"/>
    <x v="2"/>
    <x v="865"/>
    <n v="169.45"/>
    <n v="5"/>
    <n v="42.36"/>
    <x v="8"/>
    <x v="0"/>
  </r>
  <r>
    <n v="44461"/>
    <x v="145"/>
    <x v="3"/>
    <x v="0"/>
    <x v="2"/>
    <x v="204"/>
    <n v="40.68"/>
    <n v="2"/>
    <n v="0.41"/>
    <x v="8"/>
    <x v="0"/>
  </r>
  <r>
    <n v="44461"/>
    <x v="423"/>
    <x v="20"/>
    <x v="1"/>
    <x v="8"/>
    <x v="866"/>
    <n v="97.44"/>
    <n v="3"/>
    <n v="35.08"/>
    <x v="8"/>
    <x v="0"/>
  </r>
  <r>
    <n v="44461"/>
    <x v="423"/>
    <x v="20"/>
    <x v="0"/>
    <x v="3"/>
    <x v="547"/>
    <n v="3.98"/>
    <n v="1"/>
    <n v="1.39"/>
    <x v="8"/>
    <x v="0"/>
  </r>
  <r>
    <n v="44461"/>
    <x v="423"/>
    <x v="20"/>
    <x v="0"/>
    <x v="4"/>
    <x v="867"/>
    <n v="13.04"/>
    <n v="4"/>
    <n v="5.74"/>
    <x v="8"/>
    <x v="0"/>
  </r>
  <r>
    <n v="44461"/>
    <x v="423"/>
    <x v="20"/>
    <x v="1"/>
    <x v="5"/>
    <x v="868"/>
    <n v="579.53"/>
    <n v="4"/>
    <n v="83.71"/>
    <x v="8"/>
    <x v="0"/>
  </r>
  <r>
    <n v="44462"/>
    <x v="291"/>
    <x v="3"/>
    <x v="1"/>
    <x v="11"/>
    <x v="644"/>
    <n v="436"/>
    <n v="3"/>
    <n v="20.52"/>
    <x v="8"/>
    <x v="0"/>
  </r>
  <r>
    <n v="44462"/>
    <x v="291"/>
    <x v="3"/>
    <x v="2"/>
    <x v="6"/>
    <x v="432"/>
    <n v="83.98"/>
    <n v="2"/>
    <n v="31.49"/>
    <x v="8"/>
    <x v="0"/>
  </r>
  <r>
    <n v="44462"/>
    <x v="43"/>
    <x v="20"/>
    <x v="0"/>
    <x v="3"/>
    <x v="396"/>
    <n v="139.44"/>
    <n v="3"/>
    <n v="47.06"/>
    <x v="8"/>
    <x v="0"/>
  </r>
  <r>
    <n v="44462"/>
    <x v="42"/>
    <x v="28"/>
    <x v="0"/>
    <x v="0"/>
    <x v="869"/>
    <n v="32.4"/>
    <n v="5"/>
    <n v="15.55"/>
    <x v="8"/>
    <x v="0"/>
  </r>
  <r>
    <n v="44462"/>
    <x v="42"/>
    <x v="28"/>
    <x v="0"/>
    <x v="2"/>
    <x v="161"/>
    <n v="404.9"/>
    <n v="5"/>
    <n v="16.2"/>
    <x v="8"/>
    <x v="0"/>
  </r>
  <r>
    <n v="44462"/>
    <x v="42"/>
    <x v="28"/>
    <x v="0"/>
    <x v="3"/>
    <x v="870"/>
    <n v="9449.9500000000007"/>
    <n v="5"/>
    <n v="4630.4799999999996"/>
    <x v="8"/>
    <x v="0"/>
  </r>
  <r>
    <n v="44462"/>
    <x v="42"/>
    <x v="28"/>
    <x v="0"/>
    <x v="3"/>
    <x v="871"/>
    <n v="12.94"/>
    <n v="2"/>
    <n v="6.47"/>
    <x v="8"/>
    <x v="0"/>
  </r>
  <r>
    <n v="44462"/>
    <x v="412"/>
    <x v="10"/>
    <x v="0"/>
    <x v="0"/>
    <x v="187"/>
    <n v="28.8"/>
    <n v="9"/>
    <n v="10.08"/>
    <x v="8"/>
    <x v="0"/>
  </r>
  <r>
    <n v="44462"/>
    <x v="424"/>
    <x v="7"/>
    <x v="0"/>
    <x v="3"/>
    <x v="334"/>
    <n v="11.12"/>
    <n v="4"/>
    <n v="5.45"/>
    <x v="8"/>
    <x v="0"/>
  </r>
  <r>
    <n v="44462"/>
    <x v="425"/>
    <x v="20"/>
    <x v="0"/>
    <x v="3"/>
    <x v="872"/>
    <n v="18.46"/>
    <n v="4"/>
    <n v="6.92"/>
    <x v="8"/>
    <x v="0"/>
  </r>
  <r>
    <n v="44462"/>
    <x v="426"/>
    <x v="7"/>
    <x v="0"/>
    <x v="4"/>
    <x v="44"/>
    <n v="9.84"/>
    <n v="3"/>
    <n v="2.85"/>
    <x v="8"/>
    <x v="0"/>
  </r>
  <r>
    <n v="44462"/>
    <x v="426"/>
    <x v="7"/>
    <x v="0"/>
    <x v="3"/>
    <x v="873"/>
    <n v="34.5"/>
    <n v="3"/>
    <n v="15.53"/>
    <x v="8"/>
    <x v="0"/>
  </r>
  <r>
    <n v="44463"/>
    <x v="427"/>
    <x v="3"/>
    <x v="0"/>
    <x v="2"/>
    <x v="874"/>
    <n v="211.96"/>
    <n v="4"/>
    <n v="8.48"/>
    <x v="8"/>
    <x v="0"/>
  </r>
  <r>
    <n v="44464"/>
    <x v="428"/>
    <x v="0"/>
    <x v="0"/>
    <x v="0"/>
    <x v="875"/>
    <n v="33.79"/>
    <n v="8"/>
    <n v="10.56"/>
    <x v="8"/>
    <x v="0"/>
  </r>
  <r>
    <n v="44464"/>
    <x v="428"/>
    <x v="0"/>
    <x v="1"/>
    <x v="11"/>
    <x v="469"/>
    <n v="300.52999999999997"/>
    <n v="2"/>
    <n v="-97.23"/>
    <x v="8"/>
    <x v="0"/>
  </r>
  <r>
    <n v="44464"/>
    <x v="428"/>
    <x v="0"/>
    <x v="0"/>
    <x v="3"/>
    <x v="876"/>
    <n v="2.72"/>
    <n v="2"/>
    <n v="-4.3600000000000003"/>
    <x v="8"/>
    <x v="0"/>
  </r>
  <r>
    <n v="44464"/>
    <x v="428"/>
    <x v="0"/>
    <x v="0"/>
    <x v="10"/>
    <x v="229"/>
    <n v="3.26"/>
    <n v="2"/>
    <n v="1.1000000000000001"/>
    <x v="8"/>
    <x v="0"/>
  </r>
  <r>
    <n v="44464"/>
    <x v="429"/>
    <x v="26"/>
    <x v="0"/>
    <x v="4"/>
    <x v="72"/>
    <n v="14.58"/>
    <n v="2"/>
    <n v="2.37"/>
    <x v="8"/>
    <x v="0"/>
  </r>
  <r>
    <n v="44465"/>
    <x v="388"/>
    <x v="3"/>
    <x v="1"/>
    <x v="5"/>
    <x v="877"/>
    <n v="145.57"/>
    <n v="2"/>
    <n v="0"/>
    <x v="8"/>
    <x v="0"/>
  </r>
  <r>
    <n v="44465"/>
    <x v="418"/>
    <x v="0"/>
    <x v="0"/>
    <x v="3"/>
    <x v="878"/>
    <n v="0.88"/>
    <n v="1"/>
    <n v="-1.4"/>
    <x v="8"/>
    <x v="0"/>
  </r>
  <r>
    <n v="44465"/>
    <x v="430"/>
    <x v="2"/>
    <x v="0"/>
    <x v="12"/>
    <x v="879"/>
    <n v="143.94999999999999"/>
    <n v="3"/>
    <n v="14.4"/>
    <x v="8"/>
    <x v="0"/>
  </r>
  <r>
    <n v="44465"/>
    <x v="431"/>
    <x v="22"/>
    <x v="0"/>
    <x v="2"/>
    <x v="880"/>
    <n v="310.12"/>
    <n v="2"/>
    <n v="80.63"/>
    <x v="8"/>
    <x v="0"/>
  </r>
  <r>
    <n v="44465"/>
    <x v="432"/>
    <x v="3"/>
    <x v="1"/>
    <x v="5"/>
    <x v="528"/>
    <n v="585.54999999999995"/>
    <n v="3"/>
    <n v="73.19"/>
    <x v="8"/>
    <x v="0"/>
  </r>
  <r>
    <n v="44465"/>
    <x v="432"/>
    <x v="3"/>
    <x v="0"/>
    <x v="0"/>
    <x v="869"/>
    <n v="19.440000000000001"/>
    <n v="3"/>
    <n v="9.33"/>
    <x v="8"/>
    <x v="0"/>
  </r>
  <r>
    <n v="44465"/>
    <x v="71"/>
    <x v="2"/>
    <x v="0"/>
    <x v="3"/>
    <x v="881"/>
    <n v="5.97"/>
    <n v="5"/>
    <n v="-4.58"/>
    <x v="8"/>
    <x v="0"/>
  </r>
  <r>
    <n v="44465"/>
    <x v="71"/>
    <x v="2"/>
    <x v="1"/>
    <x v="8"/>
    <x v="34"/>
    <n v="21.18"/>
    <n v="1"/>
    <n v="4.7699999999999996"/>
    <x v="8"/>
    <x v="0"/>
  </r>
  <r>
    <n v="44465"/>
    <x v="71"/>
    <x v="2"/>
    <x v="0"/>
    <x v="12"/>
    <x v="882"/>
    <n v="41.38"/>
    <n v="6"/>
    <n v="3.1"/>
    <x v="8"/>
    <x v="0"/>
  </r>
  <r>
    <n v="44465"/>
    <x v="163"/>
    <x v="10"/>
    <x v="0"/>
    <x v="12"/>
    <x v="883"/>
    <n v="16.7"/>
    <n v="6"/>
    <n v="1.25"/>
    <x v="8"/>
    <x v="0"/>
  </r>
  <r>
    <n v="44465"/>
    <x v="163"/>
    <x v="10"/>
    <x v="2"/>
    <x v="9"/>
    <x v="884"/>
    <n v="3.15"/>
    <n v="2"/>
    <n v="0.47"/>
    <x v="8"/>
    <x v="0"/>
  </r>
  <r>
    <n v="44465"/>
    <x v="163"/>
    <x v="10"/>
    <x v="0"/>
    <x v="0"/>
    <x v="0"/>
    <n v="32.9"/>
    <n v="4"/>
    <n v="11.1"/>
    <x v="8"/>
    <x v="0"/>
  </r>
  <r>
    <n v="44465"/>
    <x v="13"/>
    <x v="1"/>
    <x v="2"/>
    <x v="9"/>
    <x v="885"/>
    <n v="153.82"/>
    <n v="11"/>
    <n v="38.46"/>
    <x v="8"/>
    <x v="0"/>
  </r>
  <r>
    <n v="44466"/>
    <x v="93"/>
    <x v="23"/>
    <x v="1"/>
    <x v="8"/>
    <x v="886"/>
    <n v="87.54"/>
    <n v="3"/>
    <n v="37.64"/>
    <x v="8"/>
    <x v="0"/>
  </r>
  <r>
    <n v="44466"/>
    <x v="433"/>
    <x v="3"/>
    <x v="1"/>
    <x v="5"/>
    <x v="322"/>
    <n v="603.91999999999996"/>
    <n v="5"/>
    <n v="45.29"/>
    <x v="8"/>
    <x v="0"/>
  </r>
  <r>
    <n v="44466"/>
    <x v="433"/>
    <x v="3"/>
    <x v="0"/>
    <x v="0"/>
    <x v="207"/>
    <n v="81.98"/>
    <n v="2"/>
    <n v="40.17"/>
    <x v="8"/>
    <x v="0"/>
  </r>
  <r>
    <n v="44467"/>
    <x v="434"/>
    <x v="32"/>
    <x v="0"/>
    <x v="2"/>
    <x v="847"/>
    <n v="46.26"/>
    <n v="3"/>
    <n v="12.49"/>
    <x v="8"/>
    <x v="0"/>
  </r>
  <r>
    <n v="44467"/>
    <x v="435"/>
    <x v="25"/>
    <x v="0"/>
    <x v="0"/>
    <x v="887"/>
    <n v="96.26"/>
    <n v="8"/>
    <n v="31.28"/>
    <x v="8"/>
    <x v="0"/>
  </r>
  <r>
    <n v="44467"/>
    <x v="435"/>
    <x v="25"/>
    <x v="0"/>
    <x v="0"/>
    <x v="59"/>
    <n v="10.69"/>
    <n v="2"/>
    <n v="3.74"/>
    <x v="8"/>
    <x v="0"/>
  </r>
  <r>
    <n v="44467"/>
    <x v="21"/>
    <x v="16"/>
    <x v="1"/>
    <x v="8"/>
    <x v="888"/>
    <n v="337.09"/>
    <n v="4"/>
    <n v="16.850000000000001"/>
    <x v="8"/>
    <x v="0"/>
  </r>
  <r>
    <n v="44468"/>
    <x v="358"/>
    <x v="3"/>
    <x v="1"/>
    <x v="8"/>
    <x v="889"/>
    <n v="204.6"/>
    <n v="2"/>
    <n v="53.2"/>
    <x v="8"/>
    <x v="0"/>
  </r>
  <r>
    <n v="44468"/>
    <x v="358"/>
    <x v="3"/>
    <x v="0"/>
    <x v="7"/>
    <x v="153"/>
    <n v="8.7200000000000006"/>
    <n v="4"/>
    <n v="2.88"/>
    <x v="8"/>
    <x v="0"/>
  </r>
  <r>
    <n v="44468"/>
    <x v="358"/>
    <x v="3"/>
    <x v="0"/>
    <x v="0"/>
    <x v="890"/>
    <n v="6.48"/>
    <n v="1"/>
    <n v="3.11"/>
    <x v="8"/>
    <x v="0"/>
  </r>
  <r>
    <n v="44468"/>
    <x v="358"/>
    <x v="3"/>
    <x v="2"/>
    <x v="15"/>
    <x v="891"/>
    <n v="686.32"/>
    <n v="2"/>
    <n v="223.05"/>
    <x v="8"/>
    <x v="0"/>
  </r>
  <r>
    <n v="44468"/>
    <x v="358"/>
    <x v="3"/>
    <x v="0"/>
    <x v="2"/>
    <x v="892"/>
    <n v="62.18"/>
    <n v="1"/>
    <n v="16.79"/>
    <x v="8"/>
    <x v="0"/>
  </r>
  <r>
    <n v="44468"/>
    <x v="436"/>
    <x v="2"/>
    <x v="0"/>
    <x v="4"/>
    <x v="510"/>
    <n v="4.22"/>
    <n v="3"/>
    <n v="1.48"/>
    <x v="8"/>
    <x v="0"/>
  </r>
  <r>
    <n v="44468"/>
    <x v="436"/>
    <x v="2"/>
    <x v="1"/>
    <x v="13"/>
    <x v="179"/>
    <n v="409.27"/>
    <n v="2"/>
    <n v="-81.849999999999994"/>
    <x v="8"/>
    <x v="0"/>
  </r>
  <r>
    <n v="44468"/>
    <x v="436"/>
    <x v="2"/>
    <x v="0"/>
    <x v="1"/>
    <x v="893"/>
    <n v="55.44"/>
    <n v="11"/>
    <n v="18.02"/>
    <x v="8"/>
    <x v="0"/>
  </r>
  <r>
    <n v="44468"/>
    <x v="436"/>
    <x v="2"/>
    <x v="0"/>
    <x v="0"/>
    <x v="894"/>
    <n v="20.93"/>
    <n v="4"/>
    <n v="6.8"/>
    <x v="8"/>
    <x v="0"/>
  </r>
  <r>
    <n v="44468"/>
    <x v="436"/>
    <x v="2"/>
    <x v="0"/>
    <x v="2"/>
    <x v="694"/>
    <n v="1801.63"/>
    <n v="6"/>
    <n v="-337.81"/>
    <x v="8"/>
    <x v="0"/>
  </r>
  <r>
    <n v="44468"/>
    <x v="436"/>
    <x v="2"/>
    <x v="1"/>
    <x v="13"/>
    <x v="534"/>
    <n v="67.180000000000007"/>
    <n v="1"/>
    <n v="-20.149999999999999"/>
    <x v="8"/>
    <x v="0"/>
  </r>
  <r>
    <n v="44468"/>
    <x v="367"/>
    <x v="22"/>
    <x v="1"/>
    <x v="8"/>
    <x v="895"/>
    <n v="6.16"/>
    <n v="2"/>
    <n v="2.96"/>
    <x v="8"/>
    <x v="0"/>
  </r>
  <r>
    <n v="44468"/>
    <x v="367"/>
    <x v="22"/>
    <x v="1"/>
    <x v="13"/>
    <x v="134"/>
    <n v="2348.8200000000002"/>
    <n v="9"/>
    <n v="399.3"/>
    <x v="8"/>
    <x v="0"/>
  </r>
  <r>
    <n v="44468"/>
    <x v="437"/>
    <x v="20"/>
    <x v="0"/>
    <x v="2"/>
    <x v="880"/>
    <n v="1395.54"/>
    <n v="9"/>
    <n v="362.84"/>
    <x v="8"/>
    <x v="0"/>
  </r>
  <r>
    <n v="44468"/>
    <x v="437"/>
    <x v="20"/>
    <x v="1"/>
    <x v="8"/>
    <x v="896"/>
    <n v="117.36"/>
    <n v="4"/>
    <n v="36.380000000000003"/>
    <x v="8"/>
    <x v="0"/>
  </r>
  <r>
    <n v="44468"/>
    <x v="437"/>
    <x v="20"/>
    <x v="0"/>
    <x v="1"/>
    <x v="897"/>
    <n v="18.899999999999999"/>
    <n v="3"/>
    <n v="8.69"/>
    <x v="8"/>
    <x v="0"/>
  </r>
  <r>
    <n v="44468"/>
    <x v="437"/>
    <x v="20"/>
    <x v="0"/>
    <x v="0"/>
    <x v="655"/>
    <n v="77.52"/>
    <n v="2"/>
    <n v="37.979999999999997"/>
    <x v="8"/>
    <x v="0"/>
  </r>
  <r>
    <n v="44468"/>
    <x v="438"/>
    <x v="22"/>
    <x v="0"/>
    <x v="3"/>
    <x v="898"/>
    <n v="10.050000000000001"/>
    <n v="2"/>
    <n v="3.14"/>
    <x v="8"/>
    <x v="0"/>
  </r>
  <r>
    <n v="44468"/>
    <x v="438"/>
    <x v="22"/>
    <x v="0"/>
    <x v="2"/>
    <x v="899"/>
    <n v="807.75"/>
    <n v="5"/>
    <n v="153.47"/>
    <x v="8"/>
    <x v="0"/>
  </r>
  <r>
    <n v="44469"/>
    <x v="277"/>
    <x v="20"/>
    <x v="0"/>
    <x v="0"/>
    <x v="900"/>
    <n v="48.94"/>
    <n v="1"/>
    <n v="24.47"/>
    <x v="8"/>
    <x v="0"/>
  </r>
  <r>
    <n v="44469"/>
    <x v="346"/>
    <x v="16"/>
    <x v="0"/>
    <x v="0"/>
    <x v="869"/>
    <n v="15.55"/>
    <n v="3"/>
    <n v="5.44"/>
    <x v="8"/>
    <x v="0"/>
  </r>
  <r>
    <n v="44469"/>
    <x v="439"/>
    <x v="15"/>
    <x v="0"/>
    <x v="12"/>
    <x v="366"/>
    <n v="69.22"/>
    <n v="6"/>
    <n v="11.25"/>
    <x v="8"/>
    <x v="0"/>
  </r>
  <r>
    <n v="44469"/>
    <x v="440"/>
    <x v="22"/>
    <x v="0"/>
    <x v="3"/>
    <x v="483"/>
    <n v="43.18"/>
    <n v="7"/>
    <n v="13.49"/>
    <x v="8"/>
    <x v="0"/>
  </r>
  <r>
    <n v="44469"/>
    <x v="223"/>
    <x v="20"/>
    <x v="1"/>
    <x v="8"/>
    <x v="112"/>
    <n v="15.24"/>
    <n v="3"/>
    <n v="5.18"/>
    <x v="8"/>
    <x v="0"/>
  </r>
  <r>
    <n v="44469"/>
    <x v="441"/>
    <x v="10"/>
    <x v="0"/>
    <x v="12"/>
    <x v="901"/>
    <n v="795.41"/>
    <n v="6"/>
    <n v="59.66"/>
    <x v="8"/>
    <x v="0"/>
  </r>
  <r>
    <n v="44470"/>
    <x v="82"/>
    <x v="17"/>
    <x v="0"/>
    <x v="7"/>
    <x v="902"/>
    <n v="4.71"/>
    <n v="1"/>
    <n v="0"/>
    <x v="9"/>
    <x v="0"/>
  </r>
  <r>
    <n v="44471"/>
    <x v="442"/>
    <x v="12"/>
    <x v="0"/>
    <x v="0"/>
    <x v="903"/>
    <n v="9.41"/>
    <n v="2"/>
    <n v="3.41"/>
    <x v="9"/>
    <x v="0"/>
  </r>
  <r>
    <n v="44471"/>
    <x v="442"/>
    <x v="12"/>
    <x v="0"/>
    <x v="7"/>
    <x v="78"/>
    <n v="4.67"/>
    <n v="2"/>
    <n v="1.46"/>
    <x v="9"/>
    <x v="0"/>
  </r>
  <r>
    <n v="44471"/>
    <x v="442"/>
    <x v="12"/>
    <x v="2"/>
    <x v="6"/>
    <x v="904"/>
    <n v="318.39999999999998"/>
    <n v="2"/>
    <n v="107.46"/>
    <x v="9"/>
    <x v="0"/>
  </r>
  <r>
    <n v="44471"/>
    <x v="442"/>
    <x v="12"/>
    <x v="0"/>
    <x v="10"/>
    <x v="905"/>
    <n v="12.77"/>
    <n v="6"/>
    <n v="4.63"/>
    <x v="9"/>
    <x v="0"/>
  </r>
  <r>
    <n v="44471"/>
    <x v="442"/>
    <x v="12"/>
    <x v="0"/>
    <x v="14"/>
    <x v="906"/>
    <n v="15.36"/>
    <n v="2"/>
    <n v="-3.26"/>
    <x v="9"/>
    <x v="0"/>
  </r>
  <r>
    <n v="44471"/>
    <x v="442"/>
    <x v="12"/>
    <x v="2"/>
    <x v="6"/>
    <x v="307"/>
    <n v="230.38"/>
    <n v="3"/>
    <n v="20.16"/>
    <x v="9"/>
    <x v="0"/>
  </r>
  <r>
    <n v="44471"/>
    <x v="442"/>
    <x v="12"/>
    <x v="2"/>
    <x v="9"/>
    <x v="907"/>
    <n v="7.16"/>
    <n v="1"/>
    <n v="-0.09"/>
    <x v="9"/>
    <x v="0"/>
  </r>
  <r>
    <n v="44472"/>
    <x v="443"/>
    <x v="1"/>
    <x v="1"/>
    <x v="5"/>
    <x v="561"/>
    <n v="258.27999999999997"/>
    <n v="3"/>
    <n v="-70.099999999999994"/>
    <x v="9"/>
    <x v="0"/>
  </r>
  <r>
    <n v="44472"/>
    <x v="444"/>
    <x v="3"/>
    <x v="1"/>
    <x v="13"/>
    <x v="125"/>
    <n v="143.43"/>
    <n v="1"/>
    <n v="3.59"/>
    <x v="9"/>
    <x v="0"/>
  </r>
  <r>
    <n v="44472"/>
    <x v="444"/>
    <x v="3"/>
    <x v="1"/>
    <x v="5"/>
    <x v="908"/>
    <n v="122.35"/>
    <n v="3"/>
    <n v="13.76"/>
    <x v="9"/>
    <x v="0"/>
  </r>
  <r>
    <n v="44472"/>
    <x v="421"/>
    <x v="25"/>
    <x v="0"/>
    <x v="2"/>
    <x v="678"/>
    <n v="61.57"/>
    <n v="2"/>
    <n v="4.62"/>
    <x v="9"/>
    <x v="0"/>
  </r>
  <r>
    <n v="44472"/>
    <x v="421"/>
    <x v="25"/>
    <x v="0"/>
    <x v="4"/>
    <x v="491"/>
    <n v="6.19"/>
    <n v="3"/>
    <n v="0.46"/>
    <x v="9"/>
    <x v="0"/>
  </r>
  <r>
    <n v="44472"/>
    <x v="445"/>
    <x v="10"/>
    <x v="0"/>
    <x v="4"/>
    <x v="358"/>
    <n v="55.98"/>
    <n v="2"/>
    <n v="4.2"/>
    <x v="9"/>
    <x v="0"/>
  </r>
  <r>
    <n v="44472"/>
    <x v="445"/>
    <x v="10"/>
    <x v="0"/>
    <x v="10"/>
    <x v="909"/>
    <n v="14.48"/>
    <n v="5"/>
    <n v="4.8899999999999997"/>
    <x v="9"/>
    <x v="0"/>
  </r>
  <r>
    <n v="44472"/>
    <x v="445"/>
    <x v="10"/>
    <x v="2"/>
    <x v="9"/>
    <x v="910"/>
    <n v="142.49"/>
    <n v="3"/>
    <n v="-3.56"/>
    <x v="9"/>
    <x v="0"/>
  </r>
  <r>
    <n v="44472"/>
    <x v="446"/>
    <x v="0"/>
    <x v="0"/>
    <x v="7"/>
    <x v="710"/>
    <n v="4.34"/>
    <n v="3"/>
    <n v="0.87"/>
    <x v="9"/>
    <x v="0"/>
  </r>
  <r>
    <n v="44472"/>
    <x v="446"/>
    <x v="0"/>
    <x v="1"/>
    <x v="8"/>
    <x v="765"/>
    <n v="31.78"/>
    <n v="3"/>
    <n v="-19.07"/>
    <x v="9"/>
    <x v="0"/>
  </r>
  <r>
    <n v="44472"/>
    <x v="446"/>
    <x v="0"/>
    <x v="0"/>
    <x v="1"/>
    <x v="911"/>
    <n v="4.93"/>
    <n v="2"/>
    <n v="1.72"/>
    <x v="9"/>
    <x v="0"/>
  </r>
  <r>
    <n v="44472"/>
    <x v="446"/>
    <x v="0"/>
    <x v="0"/>
    <x v="3"/>
    <x v="566"/>
    <n v="1.79"/>
    <n v="3"/>
    <n v="-3.04"/>
    <x v="9"/>
    <x v="0"/>
  </r>
  <r>
    <n v="44472"/>
    <x v="446"/>
    <x v="0"/>
    <x v="0"/>
    <x v="7"/>
    <x v="902"/>
    <n v="15.07"/>
    <n v="4"/>
    <n v="-3.77"/>
    <x v="9"/>
    <x v="0"/>
  </r>
  <r>
    <n v="44473"/>
    <x v="447"/>
    <x v="3"/>
    <x v="0"/>
    <x v="1"/>
    <x v="912"/>
    <n v="14.45"/>
    <n v="5"/>
    <n v="6.79"/>
    <x v="9"/>
    <x v="0"/>
  </r>
  <r>
    <n v="44473"/>
    <x v="447"/>
    <x v="3"/>
    <x v="0"/>
    <x v="3"/>
    <x v="542"/>
    <n v="95.65"/>
    <n v="2"/>
    <n v="31.09"/>
    <x v="9"/>
    <x v="0"/>
  </r>
  <r>
    <n v="44473"/>
    <x v="448"/>
    <x v="22"/>
    <x v="0"/>
    <x v="1"/>
    <x v="913"/>
    <n v="29.24"/>
    <n v="4"/>
    <n v="13.74"/>
    <x v="9"/>
    <x v="0"/>
  </r>
  <r>
    <n v="44473"/>
    <x v="393"/>
    <x v="20"/>
    <x v="1"/>
    <x v="5"/>
    <x v="914"/>
    <n v="589.41"/>
    <n v="5"/>
    <n v="-6.55"/>
    <x v="9"/>
    <x v="0"/>
  </r>
  <r>
    <n v="44474"/>
    <x v="449"/>
    <x v="10"/>
    <x v="0"/>
    <x v="12"/>
    <x v="484"/>
    <n v="91.92"/>
    <n v="5"/>
    <n v="11.49"/>
    <x v="9"/>
    <x v="0"/>
  </r>
  <r>
    <n v="44474"/>
    <x v="348"/>
    <x v="3"/>
    <x v="2"/>
    <x v="9"/>
    <x v="399"/>
    <n v="99.98"/>
    <n v="2"/>
    <n v="34.99"/>
    <x v="9"/>
    <x v="0"/>
  </r>
  <r>
    <n v="44475"/>
    <x v="21"/>
    <x v="3"/>
    <x v="2"/>
    <x v="9"/>
    <x v="915"/>
    <n v="9.09"/>
    <n v="3"/>
    <n v="1.91"/>
    <x v="9"/>
    <x v="0"/>
  </r>
  <r>
    <n v="44475"/>
    <x v="450"/>
    <x v="40"/>
    <x v="0"/>
    <x v="3"/>
    <x v="762"/>
    <n v="15.36"/>
    <n v="2"/>
    <n v="7.68"/>
    <x v="9"/>
    <x v="0"/>
  </r>
  <r>
    <n v="44475"/>
    <x v="448"/>
    <x v="2"/>
    <x v="0"/>
    <x v="2"/>
    <x v="916"/>
    <n v="83.92"/>
    <n v="5"/>
    <n v="-13.64"/>
    <x v="9"/>
    <x v="0"/>
  </r>
  <r>
    <n v="44475"/>
    <x v="379"/>
    <x v="18"/>
    <x v="0"/>
    <x v="2"/>
    <x v="917"/>
    <n v="386.34"/>
    <n v="2"/>
    <n v="54.09"/>
    <x v="9"/>
    <x v="0"/>
  </r>
  <r>
    <n v="44476"/>
    <x v="376"/>
    <x v="2"/>
    <x v="1"/>
    <x v="8"/>
    <x v="831"/>
    <n v="129.91999999999999"/>
    <n v="5"/>
    <n v="21.11"/>
    <x v="9"/>
    <x v="0"/>
  </r>
  <r>
    <n v="44476"/>
    <x v="130"/>
    <x v="0"/>
    <x v="0"/>
    <x v="2"/>
    <x v="624"/>
    <n v="107.44"/>
    <n v="10"/>
    <n v="10.74"/>
    <x v="9"/>
    <x v="0"/>
  </r>
  <r>
    <n v="44477"/>
    <x v="419"/>
    <x v="25"/>
    <x v="2"/>
    <x v="9"/>
    <x v="918"/>
    <n v="23.47"/>
    <n v="3"/>
    <n v="4.99"/>
    <x v="9"/>
    <x v="0"/>
  </r>
  <r>
    <n v="44477"/>
    <x v="416"/>
    <x v="20"/>
    <x v="0"/>
    <x v="0"/>
    <x v="919"/>
    <n v="123.92"/>
    <n v="4"/>
    <n v="55.76"/>
    <x v="9"/>
    <x v="0"/>
  </r>
  <r>
    <n v="44478"/>
    <x v="244"/>
    <x v="25"/>
    <x v="0"/>
    <x v="0"/>
    <x v="267"/>
    <n v="88.77"/>
    <n v="2"/>
    <n v="31.07"/>
    <x v="9"/>
    <x v="0"/>
  </r>
  <r>
    <n v="44478"/>
    <x v="373"/>
    <x v="3"/>
    <x v="0"/>
    <x v="4"/>
    <x v="456"/>
    <n v="144.6"/>
    <n v="3"/>
    <n v="41.93"/>
    <x v="9"/>
    <x v="0"/>
  </r>
  <r>
    <n v="44478"/>
    <x v="373"/>
    <x v="3"/>
    <x v="2"/>
    <x v="6"/>
    <x v="585"/>
    <n v="15.99"/>
    <n v="1"/>
    <n v="-3"/>
    <x v="9"/>
    <x v="0"/>
  </r>
  <r>
    <n v="44479"/>
    <x v="451"/>
    <x v="3"/>
    <x v="1"/>
    <x v="5"/>
    <x v="908"/>
    <n v="122.35"/>
    <n v="3"/>
    <n v="13.76"/>
    <x v="9"/>
    <x v="0"/>
  </r>
  <r>
    <n v="44479"/>
    <x v="451"/>
    <x v="3"/>
    <x v="0"/>
    <x v="10"/>
    <x v="920"/>
    <n v="15.28"/>
    <n v="2"/>
    <n v="7.49"/>
    <x v="9"/>
    <x v="0"/>
  </r>
  <r>
    <n v="44479"/>
    <x v="26"/>
    <x v="12"/>
    <x v="1"/>
    <x v="8"/>
    <x v="598"/>
    <n v="46.87"/>
    <n v="7"/>
    <n v="3.52"/>
    <x v="9"/>
    <x v="0"/>
  </r>
  <r>
    <n v="44479"/>
    <x v="71"/>
    <x v="0"/>
    <x v="2"/>
    <x v="6"/>
    <x v="255"/>
    <n v="719.95"/>
    <n v="6"/>
    <n v="72"/>
    <x v="9"/>
    <x v="0"/>
  </r>
  <r>
    <n v="44479"/>
    <x v="71"/>
    <x v="0"/>
    <x v="2"/>
    <x v="6"/>
    <x v="197"/>
    <n v="755.94"/>
    <n v="7"/>
    <n v="66.150000000000006"/>
    <x v="9"/>
    <x v="0"/>
  </r>
  <r>
    <n v="44479"/>
    <x v="71"/>
    <x v="0"/>
    <x v="0"/>
    <x v="3"/>
    <x v="302"/>
    <n v="11.98"/>
    <n v="5"/>
    <n v="-19.170000000000002"/>
    <x v="9"/>
    <x v="0"/>
  </r>
  <r>
    <n v="44479"/>
    <x v="71"/>
    <x v="0"/>
    <x v="0"/>
    <x v="3"/>
    <x v="263"/>
    <n v="0.9"/>
    <n v="1"/>
    <n v="-1.57"/>
    <x v="9"/>
    <x v="0"/>
  </r>
  <r>
    <n v="44479"/>
    <x v="77"/>
    <x v="10"/>
    <x v="2"/>
    <x v="15"/>
    <x v="921"/>
    <n v="101.99"/>
    <n v="2"/>
    <n v="-71.400000000000006"/>
    <x v="9"/>
    <x v="0"/>
  </r>
  <r>
    <n v="44479"/>
    <x v="77"/>
    <x v="10"/>
    <x v="0"/>
    <x v="3"/>
    <x v="812"/>
    <n v="18.260000000000002"/>
    <n v="2"/>
    <n v="-13.39"/>
    <x v="9"/>
    <x v="0"/>
  </r>
  <r>
    <n v="44479"/>
    <x v="452"/>
    <x v="31"/>
    <x v="0"/>
    <x v="4"/>
    <x v="922"/>
    <n v="255.85"/>
    <n v="7"/>
    <n v="112.57"/>
    <x v="9"/>
    <x v="0"/>
  </r>
  <r>
    <n v="44480"/>
    <x v="453"/>
    <x v="2"/>
    <x v="0"/>
    <x v="2"/>
    <x v="923"/>
    <n v="281.89999999999998"/>
    <n v="2"/>
    <n v="10.57"/>
    <x v="9"/>
    <x v="0"/>
  </r>
  <r>
    <n v="44480"/>
    <x v="453"/>
    <x v="2"/>
    <x v="0"/>
    <x v="10"/>
    <x v="239"/>
    <n v="201.43"/>
    <n v="3"/>
    <n v="67.98"/>
    <x v="9"/>
    <x v="0"/>
  </r>
  <r>
    <n v="44480"/>
    <x v="222"/>
    <x v="22"/>
    <x v="1"/>
    <x v="8"/>
    <x v="924"/>
    <n v="63.47"/>
    <n v="11"/>
    <n v="19.04"/>
    <x v="9"/>
    <x v="0"/>
  </r>
  <r>
    <n v="44480"/>
    <x v="222"/>
    <x v="22"/>
    <x v="2"/>
    <x v="9"/>
    <x v="925"/>
    <n v="345"/>
    <n v="5"/>
    <n v="58.65"/>
    <x v="9"/>
    <x v="0"/>
  </r>
  <r>
    <n v="44480"/>
    <x v="454"/>
    <x v="3"/>
    <x v="0"/>
    <x v="2"/>
    <x v="926"/>
    <n v="31.92"/>
    <n v="4"/>
    <n v="8.3000000000000007"/>
    <x v="9"/>
    <x v="0"/>
  </r>
  <r>
    <n v="44480"/>
    <x v="454"/>
    <x v="3"/>
    <x v="1"/>
    <x v="5"/>
    <x v="927"/>
    <n v="433.57"/>
    <n v="2"/>
    <n v="-65.040000000000006"/>
    <x v="9"/>
    <x v="0"/>
  </r>
  <r>
    <n v="44480"/>
    <x v="159"/>
    <x v="13"/>
    <x v="0"/>
    <x v="1"/>
    <x v="645"/>
    <n v="7.31"/>
    <n v="1"/>
    <n v="3.44"/>
    <x v="9"/>
    <x v="0"/>
  </r>
  <r>
    <n v="44480"/>
    <x v="159"/>
    <x v="13"/>
    <x v="1"/>
    <x v="8"/>
    <x v="928"/>
    <n v="8.92"/>
    <n v="4"/>
    <n v="3.92"/>
    <x v="9"/>
    <x v="0"/>
  </r>
  <r>
    <n v="44480"/>
    <x v="83"/>
    <x v="3"/>
    <x v="0"/>
    <x v="10"/>
    <x v="920"/>
    <n v="7.64"/>
    <n v="1"/>
    <n v="3.74"/>
    <x v="9"/>
    <x v="0"/>
  </r>
  <r>
    <n v="44481"/>
    <x v="416"/>
    <x v="3"/>
    <x v="0"/>
    <x v="4"/>
    <x v="614"/>
    <n v="14.9"/>
    <n v="5"/>
    <n v="4.17"/>
    <x v="9"/>
    <x v="0"/>
  </r>
  <r>
    <n v="44481"/>
    <x v="416"/>
    <x v="3"/>
    <x v="0"/>
    <x v="2"/>
    <x v="929"/>
    <n v="21.39"/>
    <n v="1"/>
    <n v="6.2"/>
    <x v="9"/>
    <x v="0"/>
  </r>
  <r>
    <n v="44481"/>
    <x v="455"/>
    <x v="1"/>
    <x v="0"/>
    <x v="14"/>
    <x v="930"/>
    <n v="22.24"/>
    <n v="2"/>
    <n v="2.5"/>
    <x v="9"/>
    <x v="0"/>
  </r>
  <r>
    <n v="44482"/>
    <x v="456"/>
    <x v="22"/>
    <x v="0"/>
    <x v="4"/>
    <x v="616"/>
    <n v="11.52"/>
    <n v="4"/>
    <n v="3.23"/>
    <x v="9"/>
    <x v="0"/>
  </r>
  <r>
    <n v="44482"/>
    <x v="456"/>
    <x v="22"/>
    <x v="1"/>
    <x v="13"/>
    <x v="931"/>
    <n v="1298.55"/>
    <n v="5"/>
    <n v="311.64999999999998"/>
    <x v="9"/>
    <x v="0"/>
  </r>
  <r>
    <n v="44482"/>
    <x v="456"/>
    <x v="22"/>
    <x v="0"/>
    <x v="12"/>
    <x v="316"/>
    <n v="213.92"/>
    <n v="4"/>
    <n v="62.04"/>
    <x v="9"/>
    <x v="0"/>
  </r>
  <r>
    <n v="44482"/>
    <x v="456"/>
    <x v="22"/>
    <x v="2"/>
    <x v="9"/>
    <x v="932"/>
    <n v="25.78"/>
    <n v="2"/>
    <n v="2.58"/>
    <x v="9"/>
    <x v="0"/>
  </r>
  <r>
    <n v="44482"/>
    <x v="44"/>
    <x v="23"/>
    <x v="1"/>
    <x v="5"/>
    <x v="561"/>
    <n v="245.98"/>
    <n v="2"/>
    <n v="27.06"/>
    <x v="9"/>
    <x v="0"/>
  </r>
  <r>
    <n v="44482"/>
    <x v="44"/>
    <x v="23"/>
    <x v="0"/>
    <x v="3"/>
    <x v="933"/>
    <n v="18.940000000000001"/>
    <n v="1"/>
    <n v="9.4700000000000006"/>
    <x v="9"/>
    <x v="0"/>
  </r>
  <r>
    <n v="44482"/>
    <x v="457"/>
    <x v="20"/>
    <x v="0"/>
    <x v="3"/>
    <x v="309"/>
    <n v="7.75"/>
    <n v="3"/>
    <n v="2.81"/>
    <x v="9"/>
    <x v="0"/>
  </r>
  <r>
    <n v="44482"/>
    <x v="415"/>
    <x v="6"/>
    <x v="0"/>
    <x v="10"/>
    <x v="934"/>
    <n v="36.4"/>
    <n v="5"/>
    <n v="17.47"/>
    <x v="9"/>
    <x v="0"/>
  </r>
  <r>
    <n v="44482"/>
    <x v="415"/>
    <x v="6"/>
    <x v="2"/>
    <x v="9"/>
    <x v="813"/>
    <n v="22.96"/>
    <n v="2"/>
    <n v="4.3600000000000003"/>
    <x v="9"/>
    <x v="0"/>
  </r>
  <r>
    <n v="44482"/>
    <x v="415"/>
    <x v="6"/>
    <x v="0"/>
    <x v="2"/>
    <x v="935"/>
    <n v="315.2"/>
    <n v="4"/>
    <n v="6.3"/>
    <x v="9"/>
    <x v="0"/>
  </r>
  <r>
    <n v="44482"/>
    <x v="415"/>
    <x v="6"/>
    <x v="0"/>
    <x v="3"/>
    <x v="753"/>
    <n v="15.18"/>
    <n v="3"/>
    <n v="7.13"/>
    <x v="9"/>
    <x v="0"/>
  </r>
  <r>
    <n v="44483"/>
    <x v="458"/>
    <x v="38"/>
    <x v="0"/>
    <x v="3"/>
    <x v="31"/>
    <n v="22.92"/>
    <n v="4"/>
    <n v="11"/>
    <x v="9"/>
    <x v="0"/>
  </r>
  <r>
    <n v="44483"/>
    <x v="458"/>
    <x v="38"/>
    <x v="0"/>
    <x v="2"/>
    <x v="124"/>
    <n v="269.89999999999998"/>
    <n v="5"/>
    <n v="16.190000000000001"/>
    <x v="9"/>
    <x v="0"/>
  </r>
  <r>
    <n v="44483"/>
    <x v="459"/>
    <x v="0"/>
    <x v="0"/>
    <x v="12"/>
    <x v="936"/>
    <n v="3.16"/>
    <n v="4"/>
    <n v="-8.5299999999999994"/>
    <x v="9"/>
    <x v="0"/>
  </r>
  <r>
    <n v="44483"/>
    <x v="459"/>
    <x v="0"/>
    <x v="2"/>
    <x v="16"/>
    <x v="937"/>
    <n v="1999.96"/>
    <n v="5"/>
    <n v="624.99"/>
    <x v="9"/>
    <x v="0"/>
  </r>
  <r>
    <n v="44483"/>
    <x v="32"/>
    <x v="1"/>
    <x v="0"/>
    <x v="0"/>
    <x v="214"/>
    <n v="322.19"/>
    <n v="13"/>
    <n v="100.69"/>
    <x v="9"/>
    <x v="0"/>
  </r>
  <r>
    <n v="44483"/>
    <x v="32"/>
    <x v="1"/>
    <x v="0"/>
    <x v="3"/>
    <x v="73"/>
    <n v="2.95"/>
    <n v="3"/>
    <n v="-4.8600000000000003"/>
    <x v="9"/>
    <x v="0"/>
  </r>
  <r>
    <n v="44483"/>
    <x v="32"/>
    <x v="1"/>
    <x v="0"/>
    <x v="0"/>
    <x v="938"/>
    <n v="19.14"/>
    <n v="4"/>
    <n v="6.94"/>
    <x v="9"/>
    <x v="0"/>
  </r>
  <r>
    <n v="44483"/>
    <x v="460"/>
    <x v="32"/>
    <x v="2"/>
    <x v="9"/>
    <x v="818"/>
    <n v="177"/>
    <n v="3"/>
    <n v="30.09"/>
    <x v="9"/>
    <x v="0"/>
  </r>
  <r>
    <n v="44483"/>
    <x v="460"/>
    <x v="32"/>
    <x v="0"/>
    <x v="2"/>
    <x v="939"/>
    <n v="79.45"/>
    <n v="7"/>
    <n v="22.25"/>
    <x v="9"/>
    <x v="0"/>
  </r>
  <r>
    <n v="44483"/>
    <x v="460"/>
    <x v="32"/>
    <x v="1"/>
    <x v="5"/>
    <x v="940"/>
    <n v="1628.82"/>
    <n v="9"/>
    <n v="260.61"/>
    <x v="9"/>
    <x v="0"/>
  </r>
  <r>
    <n v="44484"/>
    <x v="275"/>
    <x v="16"/>
    <x v="1"/>
    <x v="8"/>
    <x v="192"/>
    <n v="15.38"/>
    <n v="1"/>
    <n v="4.04"/>
    <x v="9"/>
    <x v="0"/>
  </r>
  <r>
    <n v="44484"/>
    <x v="461"/>
    <x v="10"/>
    <x v="1"/>
    <x v="5"/>
    <x v="799"/>
    <n v="183.37"/>
    <n v="2"/>
    <n v="-7.86"/>
    <x v="9"/>
    <x v="0"/>
  </r>
  <r>
    <n v="44484"/>
    <x v="461"/>
    <x v="10"/>
    <x v="0"/>
    <x v="0"/>
    <x v="602"/>
    <n v="7.97"/>
    <n v="2"/>
    <n v="2.89"/>
    <x v="9"/>
    <x v="0"/>
  </r>
  <r>
    <n v="44485"/>
    <x v="462"/>
    <x v="3"/>
    <x v="0"/>
    <x v="3"/>
    <x v="176"/>
    <n v="14.35"/>
    <n v="3"/>
    <n v="5.0199999999999996"/>
    <x v="9"/>
    <x v="0"/>
  </r>
  <r>
    <n v="44485"/>
    <x v="462"/>
    <x v="3"/>
    <x v="2"/>
    <x v="9"/>
    <x v="941"/>
    <n v="179.97"/>
    <n v="3"/>
    <n v="86.39"/>
    <x v="9"/>
    <x v="0"/>
  </r>
  <r>
    <n v="44486"/>
    <x v="463"/>
    <x v="0"/>
    <x v="0"/>
    <x v="3"/>
    <x v="39"/>
    <n v="10.78"/>
    <n v="5"/>
    <n v="-17.25"/>
    <x v="9"/>
    <x v="0"/>
  </r>
  <r>
    <n v="44486"/>
    <x v="463"/>
    <x v="0"/>
    <x v="2"/>
    <x v="9"/>
    <x v="621"/>
    <n v="119.98"/>
    <n v="3"/>
    <n v="-18"/>
    <x v="9"/>
    <x v="0"/>
  </r>
  <r>
    <n v="44486"/>
    <x v="438"/>
    <x v="0"/>
    <x v="1"/>
    <x v="8"/>
    <x v="731"/>
    <n v="5.31"/>
    <n v="2"/>
    <n v="-1.59"/>
    <x v="9"/>
    <x v="0"/>
  </r>
  <r>
    <n v="44487"/>
    <x v="464"/>
    <x v="33"/>
    <x v="0"/>
    <x v="2"/>
    <x v="554"/>
    <n v="275.97000000000003"/>
    <n v="3"/>
    <n v="11.04"/>
    <x v="9"/>
    <x v="0"/>
  </r>
  <r>
    <n v="44487"/>
    <x v="464"/>
    <x v="33"/>
    <x v="2"/>
    <x v="6"/>
    <x v="942"/>
    <n v="1394.95"/>
    <n v="5"/>
    <n v="362.69"/>
    <x v="9"/>
    <x v="0"/>
  </r>
  <r>
    <n v="44487"/>
    <x v="464"/>
    <x v="33"/>
    <x v="1"/>
    <x v="5"/>
    <x v="943"/>
    <n v="545.88"/>
    <n v="6"/>
    <n v="70.959999999999994"/>
    <x v="9"/>
    <x v="0"/>
  </r>
  <r>
    <n v="44487"/>
    <x v="150"/>
    <x v="2"/>
    <x v="0"/>
    <x v="10"/>
    <x v="944"/>
    <n v="52.51"/>
    <n v="6"/>
    <n v="19.690000000000001"/>
    <x v="9"/>
    <x v="0"/>
  </r>
  <r>
    <n v="44487"/>
    <x v="150"/>
    <x v="2"/>
    <x v="0"/>
    <x v="2"/>
    <x v="945"/>
    <n v="186.91"/>
    <n v="6"/>
    <n v="-35.049999999999997"/>
    <x v="9"/>
    <x v="0"/>
  </r>
  <r>
    <n v="44487"/>
    <x v="150"/>
    <x v="2"/>
    <x v="0"/>
    <x v="0"/>
    <x v="367"/>
    <n v="10.050000000000001"/>
    <n v="4"/>
    <n v="3.14"/>
    <x v="9"/>
    <x v="0"/>
  </r>
  <r>
    <n v="44487"/>
    <x v="465"/>
    <x v="13"/>
    <x v="1"/>
    <x v="5"/>
    <x v="946"/>
    <n v="605.34"/>
    <n v="6"/>
    <n v="145.28"/>
    <x v="9"/>
    <x v="0"/>
  </r>
  <r>
    <n v="44487"/>
    <x v="466"/>
    <x v="22"/>
    <x v="0"/>
    <x v="0"/>
    <x v="705"/>
    <n v="61.96"/>
    <n v="2"/>
    <n v="27.88"/>
    <x v="9"/>
    <x v="0"/>
  </r>
  <r>
    <n v="44487"/>
    <x v="466"/>
    <x v="22"/>
    <x v="0"/>
    <x v="3"/>
    <x v="947"/>
    <n v="1.34"/>
    <n v="1"/>
    <n v="0.47"/>
    <x v="9"/>
    <x v="0"/>
  </r>
  <r>
    <n v="44488"/>
    <x v="467"/>
    <x v="3"/>
    <x v="0"/>
    <x v="0"/>
    <x v="948"/>
    <n v="13.44"/>
    <n v="3"/>
    <n v="6.59"/>
    <x v="9"/>
    <x v="0"/>
  </r>
  <r>
    <n v="44488"/>
    <x v="468"/>
    <x v="3"/>
    <x v="0"/>
    <x v="3"/>
    <x v="949"/>
    <n v="2.99"/>
    <n v="1"/>
    <n v="1.1200000000000001"/>
    <x v="9"/>
    <x v="0"/>
  </r>
  <r>
    <n v="44488"/>
    <x v="468"/>
    <x v="3"/>
    <x v="0"/>
    <x v="3"/>
    <x v="950"/>
    <n v="20.059999999999999"/>
    <n v="6"/>
    <n v="7.02"/>
    <x v="9"/>
    <x v="0"/>
  </r>
  <r>
    <n v="44488"/>
    <x v="468"/>
    <x v="3"/>
    <x v="0"/>
    <x v="0"/>
    <x v="951"/>
    <n v="146.72999999999999"/>
    <n v="3"/>
    <n v="68.959999999999994"/>
    <x v="9"/>
    <x v="0"/>
  </r>
  <r>
    <n v="44488"/>
    <x v="468"/>
    <x v="3"/>
    <x v="0"/>
    <x v="1"/>
    <x v="85"/>
    <n v="18.75"/>
    <n v="5"/>
    <n v="9"/>
    <x v="9"/>
    <x v="0"/>
  </r>
  <r>
    <n v="44488"/>
    <x v="468"/>
    <x v="3"/>
    <x v="2"/>
    <x v="6"/>
    <x v="952"/>
    <n v="117.58"/>
    <n v="3"/>
    <n v="11.76"/>
    <x v="9"/>
    <x v="0"/>
  </r>
  <r>
    <n v="44488"/>
    <x v="469"/>
    <x v="3"/>
    <x v="2"/>
    <x v="6"/>
    <x v="292"/>
    <n v="321.55"/>
    <n v="6"/>
    <n v="20.100000000000001"/>
    <x v="9"/>
    <x v="0"/>
  </r>
  <r>
    <n v="44489"/>
    <x v="99"/>
    <x v="14"/>
    <x v="0"/>
    <x v="2"/>
    <x v="874"/>
    <n v="211.96"/>
    <n v="4"/>
    <n v="8.48"/>
    <x v="9"/>
    <x v="0"/>
  </r>
  <r>
    <n v="44489"/>
    <x v="470"/>
    <x v="15"/>
    <x v="1"/>
    <x v="13"/>
    <x v="953"/>
    <n v="328.59"/>
    <n v="3"/>
    <n v="-147.87"/>
    <x v="9"/>
    <x v="0"/>
  </r>
  <r>
    <n v="44489"/>
    <x v="470"/>
    <x v="15"/>
    <x v="0"/>
    <x v="2"/>
    <x v="147"/>
    <n v="98.35"/>
    <n v="3"/>
    <n v="-24.59"/>
    <x v="9"/>
    <x v="0"/>
  </r>
  <r>
    <n v="44489"/>
    <x v="471"/>
    <x v="1"/>
    <x v="2"/>
    <x v="9"/>
    <x v="439"/>
    <n v="319.97000000000003"/>
    <n v="4"/>
    <n v="71.989999999999995"/>
    <x v="9"/>
    <x v="0"/>
  </r>
  <r>
    <n v="44489"/>
    <x v="471"/>
    <x v="1"/>
    <x v="0"/>
    <x v="2"/>
    <x v="954"/>
    <n v="505.32"/>
    <n v="3"/>
    <n v="31.58"/>
    <x v="9"/>
    <x v="0"/>
  </r>
  <r>
    <n v="44489"/>
    <x v="471"/>
    <x v="1"/>
    <x v="0"/>
    <x v="0"/>
    <x v="955"/>
    <n v="3.81"/>
    <n v="1"/>
    <n v="1.24"/>
    <x v="9"/>
    <x v="0"/>
  </r>
  <r>
    <n v="44489"/>
    <x v="471"/>
    <x v="1"/>
    <x v="0"/>
    <x v="3"/>
    <x v="715"/>
    <n v="8.68"/>
    <n v="1"/>
    <n v="-14.76"/>
    <x v="9"/>
    <x v="0"/>
  </r>
  <r>
    <n v="44489"/>
    <x v="471"/>
    <x v="1"/>
    <x v="0"/>
    <x v="1"/>
    <x v="956"/>
    <n v="24.42"/>
    <n v="1"/>
    <n v="7.94"/>
    <x v="9"/>
    <x v="0"/>
  </r>
  <r>
    <n v="44490"/>
    <x v="463"/>
    <x v="10"/>
    <x v="0"/>
    <x v="12"/>
    <x v="672"/>
    <n v="121.79"/>
    <n v="4"/>
    <n v="13.7"/>
    <x v="9"/>
    <x v="0"/>
  </r>
  <r>
    <n v="44490"/>
    <x v="463"/>
    <x v="10"/>
    <x v="1"/>
    <x v="13"/>
    <x v="957"/>
    <n v="409.59"/>
    <n v="3"/>
    <n v="-122.88"/>
    <x v="9"/>
    <x v="0"/>
  </r>
  <r>
    <n v="44490"/>
    <x v="472"/>
    <x v="3"/>
    <x v="0"/>
    <x v="3"/>
    <x v="958"/>
    <n v="36.36"/>
    <n v="3"/>
    <n v="12.27"/>
    <x v="9"/>
    <x v="0"/>
  </r>
  <r>
    <n v="44490"/>
    <x v="136"/>
    <x v="6"/>
    <x v="0"/>
    <x v="2"/>
    <x v="945"/>
    <n v="194.7"/>
    <n v="5"/>
    <n v="9.74"/>
    <x v="9"/>
    <x v="0"/>
  </r>
  <r>
    <n v="44490"/>
    <x v="136"/>
    <x v="6"/>
    <x v="1"/>
    <x v="13"/>
    <x v="848"/>
    <n v="591.32000000000005"/>
    <n v="4"/>
    <n v="112.35"/>
    <x v="9"/>
    <x v="0"/>
  </r>
  <r>
    <n v="44490"/>
    <x v="136"/>
    <x v="6"/>
    <x v="0"/>
    <x v="4"/>
    <x v="959"/>
    <n v="2.84"/>
    <n v="1"/>
    <n v="0.88"/>
    <x v="9"/>
    <x v="0"/>
  </r>
  <r>
    <n v="44491"/>
    <x v="473"/>
    <x v="10"/>
    <x v="1"/>
    <x v="8"/>
    <x v="896"/>
    <n v="93.89"/>
    <n v="4"/>
    <n v="12.91"/>
    <x v="9"/>
    <x v="0"/>
  </r>
  <r>
    <n v="44491"/>
    <x v="430"/>
    <x v="8"/>
    <x v="1"/>
    <x v="8"/>
    <x v="960"/>
    <n v="129.91999999999999"/>
    <n v="4"/>
    <n v="10.39"/>
    <x v="9"/>
    <x v="0"/>
  </r>
  <r>
    <n v="44493"/>
    <x v="474"/>
    <x v="16"/>
    <x v="0"/>
    <x v="0"/>
    <x v="801"/>
    <n v="10.37"/>
    <n v="2"/>
    <n v="3.63"/>
    <x v="9"/>
    <x v="0"/>
  </r>
  <r>
    <n v="44493"/>
    <x v="158"/>
    <x v="3"/>
    <x v="0"/>
    <x v="3"/>
    <x v="496"/>
    <n v="34.270000000000003"/>
    <n v="3"/>
    <n v="11.14"/>
    <x v="9"/>
    <x v="0"/>
  </r>
  <r>
    <n v="44493"/>
    <x v="358"/>
    <x v="9"/>
    <x v="0"/>
    <x v="7"/>
    <x v="961"/>
    <n v="11.85"/>
    <n v="3"/>
    <n v="3.79"/>
    <x v="9"/>
    <x v="0"/>
  </r>
  <r>
    <n v="44494"/>
    <x v="160"/>
    <x v="3"/>
    <x v="0"/>
    <x v="3"/>
    <x v="962"/>
    <n v="49.41"/>
    <n v="4"/>
    <n v="18.53"/>
    <x v="9"/>
    <x v="0"/>
  </r>
  <r>
    <n v="44494"/>
    <x v="216"/>
    <x v="2"/>
    <x v="2"/>
    <x v="9"/>
    <x v="963"/>
    <n v="40.78"/>
    <n v="3"/>
    <n v="0.51"/>
    <x v="9"/>
    <x v="0"/>
  </r>
  <r>
    <n v="44494"/>
    <x v="216"/>
    <x v="2"/>
    <x v="0"/>
    <x v="3"/>
    <x v="185"/>
    <n v="13.7"/>
    <n v="3"/>
    <n v="-9.59"/>
    <x v="9"/>
    <x v="0"/>
  </r>
  <r>
    <n v="44495"/>
    <x v="475"/>
    <x v="22"/>
    <x v="1"/>
    <x v="8"/>
    <x v="964"/>
    <n v="63.92"/>
    <n v="4"/>
    <n v="3.2"/>
    <x v="9"/>
    <x v="0"/>
  </r>
  <r>
    <n v="44495"/>
    <x v="475"/>
    <x v="22"/>
    <x v="2"/>
    <x v="6"/>
    <x v="827"/>
    <n v="383.96"/>
    <n v="5"/>
    <n v="38.4"/>
    <x v="9"/>
    <x v="0"/>
  </r>
  <r>
    <n v="44496"/>
    <x v="476"/>
    <x v="25"/>
    <x v="0"/>
    <x v="0"/>
    <x v="507"/>
    <n v="10.37"/>
    <n v="2"/>
    <n v="3.63"/>
    <x v="9"/>
    <x v="0"/>
  </r>
  <r>
    <n v="44496"/>
    <x v="476"/>
    <x v="25"/>
    <x v="0"/>
    <x v="0"/>
    <x v="371"/>
    <n v="11.95"/>
    <n v="3"/>
    <n v="4.03"/>
    <x v="9"/>
    <x v="0"/>
  </r>
  <r>
    <n v="44497"/>
    <x v="477"/>
    <x v="3"/>
    <x v="0"/>
    <x v="3"/>
    <x v="263"/>
    <n v="7.18"/>
    <n v="2"/>
    <n v="2.25"/>
    <x v="9"/>
    <x v="0"/>
  </r>
  <r>
    <n v="44497"/>
    <x v="477"/>
    <x v="3"/>
    <x v="0"/>
    <x v="14"/>
    <x v="965"/>
    <n v="6.28"/>
    <n v="2"/>
    <n v="0.06"/>
    <x v="9"/>
    <x v="0"/>
  </r>
  <r>
    <n v="44497"/>
    <x v="477"/>
    <x v="3"/>
    <x v="0"/>
    <x v="14"/>
    <x v="966"/>
    <n v="480.74"/>
    <n v="2"/>
    <n v="14.42"/>
    <x v="9"/>
    <x v="0"/>
  </r>
  <r>
    <n v="44497"/>
    <x v="477"/>
    <x v="3"/>
    <x v="1"/>
    <x v="11"/>
    <x v="238"/>
    <n v="617"/>
    <n v="6"/>
    <n v="-36.29"/>
    <x v="9"/>
    <x v="0"/>
  </r>
  <r>
    <n v="44497"/>
    <x v="477"/>
    <x v="3"/>
    <x v="0"/>
    <x v="2"/>
    <x v="370"/>
    <n v="141.4"/>
    <n v="5"/>
    <n v="38.18"/>
    <x v="9"/>
    <x v="0"/>
  </r>
  <r>
    <n v="44497"/>
    <x v="478"/>
    <x v="42"/>
    <x v="2"/>
    <x v="6"/>
    <x v="967"/>
    <n v="257.98"/>
    <n v="2"/>
    <n v="74.81"/>
    <x v="9"/>
    <x v="0"/>
  </r>
  <r>
    <n v="44498"/>
    <x v="52"/>
    <x v="1"/>
    <x v="2"/>
    <x v="6"/>
    <x v="628"/>
    <n v="2735.95"/>
    <n v="6"/>
    <n v="341.99"/>
    <x v="9"/>
    <x v="0"/>
  </r>
  <r>
    <n v="44498"/>
    <x v="479"/>
    <x v="18"/>
    <x v="2"/>
    <x v="9"/>
    <x v="968"/>
    <n v="1.98"/>
    <n v="2"/>
    <n v="0.89"/>
    <x v="9"/>
    <x v="0"/>
  </r>
  <r>
    <n v="44498"/>
    <x v="479"/>
    <x v="18"/>
    <x v="0"/>
    <x v="0"/>
    <x v="795"/>
    <n v="75.88"/>
    <n v="2"/>
    <n v="35.659999999999997"/>
    <x v="9"/>
    <x v="0"/>
  </r>
  <r>
    <n v="44500"/>
    <x v="480"/>
    <x v="3"/>
    <x v="0"/>
    <x v="7"/>
    <x v="78"/>
    <n v="11.34"/>
    <n v="3"/>
    <n v="5.22"/>
    <x v="9"/>
    <x v="0"/>
  </r>
  <r>
    <n v="44500"/>
    <x v="480"/>
    <x v="3"/>
    <x v="0"/>
    <x v="2"/>
    <x v="969"/>
    <n v="80.3"/>
    <n v="5"/>
    <n v="20.88"/>
    <x v="9"/>
    <x v="0"/>
  </r>
  <r>
    <n v="44500"/>
    <x v="480"/>
    <x v="3"/>
    <x v="0"/>
    <x v="3"/>
    <x v="970"/>
    <n v="15.97"/>
    <n v="2"/>
    <n v="5.39"/>
    <x v="9"/>
    <x v="0"/>
  </r>
  <r>
    <n v="44500"/>
    <x v="480"/>
    <x v="3"/>
    <x v="0"/>
    <x v="0"/>
    <x v="971"/>
    <n v="64.739999999999995"/>
    <n v="13"/>
    <n v="30.43"/>
    <x v="9"/>
    <x v="0"/>
  </r>
  <r>
    <n v="44500"/>
    <x v="480"/>
    <x v="3"/>
    <x v="0"/>
    <x v="3"/>
    <x v="274"/>
    <n v="19.3"/>
    <n v="3"/>
    <n v="6.03"/>
    <x v="9"/>
    <x v="0"/>
  </r>
  <r>
    <n v="44500"/>
    <x v="480"/>
    <x v="3"/>
    <x v="0"/>
    <x v="2"/>
    <x v="972"/>
    <n v="405.64"/>
    <n v="4"/>
    <n v="12.17"/>
    <x v="9"/>
    <x v="0"/>
  </r>
  <r>
    <n v="44500"/>
    <x v="480"/>
    <x v="3"/>
    <x v="1"/>
    <x v="5"/>
    <x v="707"/>
    <n v="146.35"/>
    <n v="3"/>
    <n v="-9.15"/>
    <x v="9"/>
    <x v="0"/>
  </r>
  <r>
    <n v="44500"/>
    <x v="480"/>
    <x v="3"/>
    <x v="2"/>
    <x v="9"/>
    <x v="973"/>
    <n v="251.91"/>
    <n v="9"/>
    <n v="47.86"/>
    <x v="9"/>
    <x v="0"/>
  </r>
  <r>
    <n v="44500"/>
    <x v="480"/>
    <x v="3"/>
    <x v="0"/>
    <x v="4"/>
    <x v="974"/>
    <n v="12.39"/>
    <n v="3"/>
    <n v="3.72"/>
    <x v="9"/>
    <x v="0"/>
  </r>
  <r>
    <n v="44500"/>
    <x v="481"/>
    <x v="43"/>
    <x v="0"/>
    <x v="4"/>
    <x v="975"/>
    <n v="49.25"/>
    <n v="5"/>
    <n v="18.72"/>
    <x v="9"/>
    <x v="0"/>
  </r>
  <r>
    <n v="44500"/>
    <x v="481"/>
    <x v="43"/>
    <x v="0"/>
    <x v="0"/>
    <x v="976"/>
    <n v="10.16"/>
    <n v="2"/>
    <n v="4.78"/>
    <x v="9"/>
    <x v="0"/>
  </r>
  <r>
    <n v="44500"/>
    <x v="481"/>
    <x v="43"/>
    <x v="1"/>
    <x v="8"/>
    <x v="977"/>
    <n v="14.76"/>
    <n v="2"/>
    <n v="4.28"/>
    <x v="9"/>
    <x v="0"/>
  </r>
  <r>
    <n v="44500"/>
    <x v="481"/>
    <x v="43"/>
    <x v="0"/>
    <x v="3"/>
    <x v="978"/>
    <n v="34.08"/>
    <n v="2"/>
    <n v="15.68"/>
    <x v="9"/>
    <x v="0"/>
  </r>
  <r>
    <n v="44500"/>
    <x v="481"/>
    <x v="43"/>
    <x v="1"/>
    <x v="8"/>
    <x v="152"/>
    <n v="17.670000000000002"/>
    <n v="3"/>
    <n v="7.77"/>
    <x v="9"/>
    <x v="0"/>
  </r>
  <r>
    <n v="44500"/>
    <x v="481"/>
    <x v="43"/>
    <x v="1"/>
    <x v="5"/>
    <x v="389"/>
    <n v="1604.9"/>
    <n v="5"/>
    <n v="481.47"/>
    <x v="9"/>
    <x v="0"/>
  </r>
  <r>
    <n v="44500"/>
    <x v="481"/>
    <x v="43"/>
    <x v="1"/>
    <x v="13"/>
    <x v="473"/>
    <n v="385.69"/>
    <n v="1"/>
    <n v="-60.61"/>
    <x v="9"/>
    <x v="0"/>
  </r>
  <r>
    <n v="44500"/>
    <x v="482"/>
    <x v="12"/>
    <x v="2"/>
    <x v="6"/>
    <x v="438"/>
    <n v="742.34"/>
    <n v="8"/>
    <n v="83.51"/>
    <x v="9"/>
    <x v="0"/>
  </r>
  <r>
    <n v="44500"/>
    <x v="8"/>
    <x v="10"/>
    <x v="1"/>
    <x v="13"/>
    <x v="230"/>
    <n v="1421.66"/>
    <n v="8"/>
    <n v="-734.53"/>
    <x v="9"/>
    <x v="0"/>
  </r>
  <r>
    <n v="44500"/>
    <x v="483"/>
    <x v="3"/>
    <x v="2"/>
    <x v="6"/>
    <x v="422"/>
    <n v="73.58"/>
    <n v="2"/>
    <n v="8.2799999999999994"/>
    <x v="9"/>
    <x v="0"/>
  </r>
  <r>
    <n v="44501"/>
    <x v="277"/>
    <x v="26"/>
    <x v="0"/>
    <x v="4"/>
    <x v="373"/>
    <n v="43.18"/>
    <n v="3"/>
    <n v="4.32"/>
    <x v="10"/>
    <x v="0"/>
  </r>
  <r>
    <n v="44501"/>
    <x v="277"/>
    <x v="26"/>
    <x v="2"/>
    <x v="6"/>
    <x v="979"/>
    <n v="1983.97"/>
    <n v="4"/>
    <n v="248"/>
    <x v="10"/>
    <x v="0"/>
  </r>
  <r>
    <n v="44501"/>
    <x v="11"/>
    <x v="11"/>
    <x v="0"/>
    <x v="2"/>
    <x v="351"/>
    <n v="443.92"/>
    <n v="5"/>
    <n v="-94.33"/>
    <x v="10"/>
    <x v="0"/>
  </r>
  <r>
    <n v="44501"/>
    <x v="11"/>
    <x v="11"/>
    <x v="2"/>
    <x v="6"/>
    <x v="980"/>
    <n v="155.97999999999999"/>
    <n v="3"/>
    <n v="54.59"/>
    <x v="10"/>
    <x v="0"/>
  </r>
  <r>
    <n v="44501"/>
    <x v="484"/>
    <x v="25"/>
    <x v="0"/>
    <x v="7"/>
    <x v="78"/>
    <n v="7.52"/>
    <n v="5"/>
    <n v="1.41"/>
    <x v="10"/>
    <x v="0"/>
  </r>
  <r>
    <n v="44501"/>
    <x v="484"/>
    <x v="25"/>
    <x v="0"/>
    <x v="4"/>
    <x v="806"/>
    <n v="10.27"/>
    <n v="3"/>
    <n v="0.9"/>
    <x v="10"/>
    <x v="0"/>
  </r>
  <r>
    <n v="44501"/>
    <x v="484"/>
    <x v="25"/>
    <x v="0"/>
    <x v="1"/>
    <x v="465"/>
    <n v="47.81"/>
    <n v="12"/>
    <n v="15.54"/>
    <x v="10"/>
    <x v="0"/>
  </r>
  <r>
    <n v="44501"/>
    <x v="484"/>
    <x v="25"/>
    <x v="2"/>
    <x v="6"/>
    <x v="981"/>
    <n v="978.84"/>
    <n v="9"/>
    <n v="110.12"/>
    <x v="10"/>
    <x v="0"/>
  </r>
  <r>
    <n v="44501"/>
    <x v="436"/>
    <x v="1"/>
    <x v="0"/>
    <x v="0"/>
    <x v="894"/>
    <n v="15.7"/>
    <n v="3"/>
    <n v="5.0999999999999996"/>
    <x v="10"/>
    <x v="0"/>
  </r>
  <r>
    <n v="44501"/>
    <x v="4"/>
    <x v="5"/>
    <x v="0"/>
    <x v="2"/>
    <x v="982"/>
    <n v="69.52"/>
    <n v="2"/>
    <n v="19.47"/>
    <x v="10"/>
    <x v="0"/>
  </r>
  <r>
    <n v="44501"/>
    <x v="4"/>
    <x v="5"/>
    <x v="0"/>
    <x v="4"/>
    <x v="513"/>
    <n v="5.64"/>
    <n v="3"/>
    <n v="1.64"/>
    <x v="10"/>
    <x v="0"/>
  </r>
  <r>
    <n v="44501"/>
    <x v="485"/>
    <x v="3"/>
    <x v="0"/>
    <x v="1"/>
    <x v="983"/>
    <n v="44.4"/>
    <n v="3"/>
    <n v="22.2"/>
    <x v="10"/>
    <x v="0"/>
  </r>
  <r>
    <n v="44501"/>
    <x v="485"/>
    <x v="3"/>
    <x v="0"/>
    <x v="0"/>
    <x v="371"/>
    <n v="21.4"/>
    <n v="5"/>
    <n v="9.6300000000000008"/>
    <x v="10"/>
    <x v="0"/>
  </r>
  <r>
    <n v="44501"/>
    <x v="392"/>
    <x v="20"/>
    <x v="0"/>
    <x v="12"/>
    <x v="783"/>
    <n v="533.94000000000005"/>
    <n v="3"/>
    <n v="154.84"/>
    <x v="10"/>
    <x v="0"/>
  </r>
  <r>
    <n v="44501"/>
    <x v="392"/>
    <x v="20"/>
    <x v="0"/>
    <x v="0"/>
    <x v="657"/>
    <n v="167.94"/>
    <n v="3"/>
    <n v="82.29"/>
    <x v="10"/>
    <x v="0"/>
  </r>
  <r>
    <n v="44501"/>
    <x v="392"/>
    <x v="20"/>
    <x v="1"/>
    <x v="8"/>
    <x v="984"/>
    <n v="31.68"/>
    <n v="6"/>
    <n v="9.82"/>
    <x v="10"/>
    <x v="0"/>
  </r>
  <r>
    <n v="44501"/>
    <x v="486"/>
    <x v="23"/>
    <x v="0"/>
    <x v="12"/>
    <x v="672"/>
    <n v="76.12"/>
    <n v="2"/>
    <n v="22.07"/>
    <x v="10"/>
    <x v="0"/>
  </r>
  <r>
    <n v="44501"/>
    <x v="400"/>
    <x v="10"/>
    <x v="1"/>
    <x v="8"/>
    <x v="985"/>
    <n v="68.7"/>
    <n v="2"/>
    <n v="16.32"/>
    <x v="10"/>
    <x v="0"/>
  </r>
  <r>
    <n v="44501"/>
    <x v="400"/>
    <x v="10"/>
    <x v="0"/>
    <x v="3"/>
    <x v="613"/>
    <n v="3.13"/>
    <n v="2"/>
    <n v="-2.61"/>
    <x v="10"/>
    <x v="0"/>
  </r>
  <r>
    <n v="44501"/>
    <x v="400"/>
    <x v="10"/>
    <x v="0"/>
    <x v="3"/>
    <x v="461"/>
    <n v="22.43"/>
    <n v="3"/>
    <n v="-17.940000000000001"/>
    <x v="10"/>
    <x v="0"/>
  </r>
  <r>
    <n v="44502"/>
    <x v="310"/>
    <x v="20"/>
    <x v="0"/>
    <x v="1"/>
    <x v="849"/>
    <n v="34.86"/>
    <n v="7"/>
    <n v="16.04"/>
    <x v="10"/>
    <x v="0"/>
  </r>
  <r>
    <n v="44502"/>
    <x v="310"/>
    <x v="20"/>
    <x v="1"/>
    <x v="8"/>
    <x v="630"/>
    <n v="89.34"/>
    <n v="6"/>
    <n v="24.12"/>
    <x v="10"/>
    <x v="0"/>
  </r>
  <r>
    <n v="44502"/>
    <x v="487"/>
    <x v="0"/>
    <x v="2"/>
    <x v="6"/>
    <x v="550"/>
    <n v="88.78"/>
    <n v="3"/>
    <n v="7.77"/>
    <x v="10"/>
    <x v="0"/>
  </r>
  <r>
    <n v="44502"/>
    <x v="31"/>
    <x v="10"/>
    <x v="2"/>
    <x v="6"/>
    <x v="860"/>
    <n v="539.96"/>
    <n v="6"/>
    <n v="-107.99"/>
    <x v="10"/>
    <x v="0"/>
  </r>
  <r>
    <n v="44502"/>
    <x v="31"/>
    <x v="10"/>
    <x v="2"/>
    <x v="6"/>
    <x v="441"/>
    <n v="50.23"/>
    <n v="7"/>
    <n v="-10.050000000000001"/>
    <x v="10"/>
    <x v="0"/>
  </r>
  <r>
    <n v="44502"/>
    <x v="31"/>
    <x v="10"/>
    <x v="0"/>
    <x v="3"/>
    <x v="583"/>
    <n v="19.239999999999998"/>
    <n v="3"/>
    <n v="-13.47"/>
    <x v="10"/>
    <x v="0"/>
  </r>
  <r>
    <n v="44502"/>
    <x v="488"/>
    <x v="16"/>
    <x v="2"/>
    <x v="9"/>
    <x v="288"/>
    <n v="799.92"/>
    <n v="10"/>
    <n v="239.98"/>
    <x v="10"/>
    <x v="0"/>
  </r>
  <r>
    <n v="44502"/>
    <x v="489"/>
    <x v="3"/>
    <x v="2"/>
    <x v="6"/>
    <x v="87"/>
    <n v="46.38"/>
    <n v="2"/>
    <n v="5.22"/>
    <x v="10"/>
    <x v="0"/>
  </r>
  <r>
    <n v="44502"/>
    <x v="489"/>
    <x v="3"/>
    <x v="0"/>
    <x v="2"/>
    <x v="986"/>
    <n v="362.92"/>
    <n v="2"/>
    <n v="105.25"/>
    <x v="10"/>
    <x v="0"/>
  </r>
  <r>
    <n v="44502"/>
    <x v="490"/>
    <x v="22"/>
    <x v="2"/>
    <x v="9"/>
    <x v="606"/>
    <n v="41.94"/>
    <n v="2"/>
    <n v="15.1"/>
    <x v="10"/>
    <x v="0"/>
  </r>
  <r>
    <n v="44502"/>
    <x v="490"/>
    <x v="22"/>
    <x v="2"/>
    <x v="6"/>
    <x v="987"/>
    <n v="52.79"/>
    <n v="1"/>
    <n v="4.62"/>
    <x v="10"/>
    <x v="0"/>
  </r>
  <r>
    <n v="44503"/>
    <x v="282"/>
    <x v="2"/>
    <x v="0"/>
    <x v="14"/>
    <x v="104"/>
    <n v="286.33999999999997"/>
    <n v="3"/>
    <n v="-64.430000000000007"/>
    <x v="10"/>
    <x v="0"/>
  </r>
  <r>
    <n v="44503"/>
    <x v="25"/>
    <x v="20"/>
    <x v="2"/>
    <x v="6"/>
    <x v="156"/>
    <n v="783.96"/>
    <n v="4"/>
    <n v="219.51"/>
    <x v="10"/>
    <x v="0"/>
  </r>
  <r>
    <n v="44503"/>
    <x v="25"/>
    <x v="20"/>
    <x v="0"/>
    <x v="3"/>
    <x v="79"/>
    <n v="48.9"/>
    <n v="2"/>
    <n v="18.34"/>
    <x v="10"/>
    <x v="0"/>
  </r>
  <r>
    <n v="44503"/>
    <x v="25"/>
    <x v="20"/>
    <x v="0"/>
    <x v="3"/>
    <x v="832"/>
    <n v="7.86"/>
    <n v="2"/>
    <n v="2.85"/>
    <x v="10"/>
    <x v="0"/>
  </r>
  <r>
    <n v="44503"/>
    <x v="218"/>
    <x v="37"/>
    <x v="0"/>
    <x v="14"/>
    <x v="532"/>
    <n v="11.64"/>
    <n v="3"/>
    <n v="3.38"/>
    <x v="10"/>
    <x v="0"/>
  </r>
  <r>
    <n v="44503"/>
    <x v="372"/>
    <x v="15"/>
    <x v="0"/>
    <x v="0"/>
    <x v="988"/>
    <n v="3.49"/>
    <n v="2"/>
    <n v="1.18"/>
    <x v="10"/>
    <x v="0"/>
  </r>
  <r>
    <n v="44503"/>
    <x v="372"/>
    <x v="15"/>
    <x v="0"/>
    <x v="0"/>
    <x v="653"/>
    <n v="143.86000000000001"/>
    <n v="9"/>
    <n v="48.55"/>
    <x v="10"/>
    <x v="0"/>
  </r>
  <r>
    <n v="44503"/>
    <x v="489"/>
    <x v="25"/>
    <x v="0"/>
    <x v="2"/>
    <x v="90"/>
    <n v="25.98"/>
    <n v="2"/>
    <n v="-1.62"/>
    <x v="10"/>
    <x v="0"/>
  </r>
  <r>
    <n v="44503"/>
    <x v="489"/>
    <x v="25"/>
    <x v="1"/>
    <x v="13"/>
    <x v="989"/>
    <n v="945.04"/>
    <n v="6"/>
    <n v="-299.26"/>
    <x v="10"/>
    <x v="0"/>
  </r>
  <r>
    <n v="44503"/>
    <x v="489"/>
    <x v="25"/>
    <x v="0"/>
    <x v="3"/>
    <x v="876"/>
    <n v="14.3"/>
    <n v="7"/>
    <n v="-10.49"/>
    <x v="10"/>
    <x v="0"/>
  </r>
  <r>
    <n v="44503"/>
    <x v="489"/>
    <x v="25"/>
    <x v="1"/>
    <x v="8"/>
    <x v="990"/>
    <n v="410.35"/>
    <n v="3"/>
    <n v="-51.29"/>
    <x v="10"/>
    <x v="0"/>
  </r>
  <r>
    <n v="44503"/>
    <x v="491"/>
    <x v="23"/>
    <x v="0"/>
    <x v="3"/>
    <x v="549"/>
    <n v="5.76"/>
    <n v="2"/>
    <n v="2.82"/>
    <x v="10"/>
    <x v="0"/>
  </r>
  <r>
    <n v="44503"/>
    <x v="153"/>
    <x v="40"/>
    <x v="2"/>
    <x v="9"/>
    <x v="991"/>
    <n v="89.97"/>
    <n v="3"/>
    <n v="18.89"/>
    <x v="10"/>
    <x v="0"/>
  </r>
  <r>
    <n v="44503"/>
    <x v="492"/>
    <x v="3"/>
    <x v="0"/>
    <x v="4"/>
    <x v="321"/>
    <n v="6.72"/>
    <n v="4"/>
    <n v="3.36"/>
    <x v="10"/>
    <x v="0"/>
  </r>
  <r>
    <n v="44504"/>
    <x v="39"/>
    <x v="20"/>
    <x v="1"/>
    <x v="5"/>
    <x v="322"/>
    <n v="135.88"/>
    <n v="1"/>
    <n v="24.16"/>
    <x v="10"/>
    <x v="0"/>
  </r>
  <r>
    <n v="44504"/>
    <x v="39"/>
    <x v="20"/>
    <x v="2"/>
    <x v="15"/>
    <x v="992"/>
    <n v="3991.98"/>
    <n v="2"/>
    <n v="1995.99"/>
    <x v="10"/>
    <x v="0"/>
  </r>
  <r>
    <n v="44504"/>
    <x v="39"/>
    <x v="20"/>
    <x v="2"/>
    <x v="6"/>
    <x v="527"/>
    <n v="275.94"/>
    <n v="6"/>
    <n v="80.02"/>
    <x v="10"/>
    <x v="0"/>
  </r>
  <r>
    <n v="44504"/>
    <x v="39"/>
    <x v="20"/>
    <x v="2"/>
    <x v="9"/>
    <x v="993"/>
    <n v="360"/>
    <n v="4"/>
    <n v="129.6"/>
    <x v="10"/>
    <x v="0"/>
  </r>
  <r>
    <n v="44504"/>
    <x v="39"/>
    <x v="20"/>
    <x v="0"/>
    <x v="2"/>
    <x v="994"/>
    <n v="43.57"/>
    <n v="1"/>
    <n v="13.07"/>
    <x v="10"/>
    <x v="0"/>
  </r>
  <r>
    <n v="44504"/>
    <x v="402"/>
    <x v="25"/>
    <x v="0"/>
    <x v="7"/>
    <x v="995"/>
    <n v="8.3800000000000008"/>
    <n v="3"/>
    <n v="2.72"/>
    <x v="10"/>
    <x v="0"/>
  </r>
  <r>
    <n v="44504"/>
    <x v="402"/>
    <x v="25"/>
    <x v="0"/>
    <x v="12"/>
    <x v="460"/>
    <n v="58.24"/>
    <n v="5"/>
    <n v="5.0999999999999996"/>
    <x v="10"/>
    <x v="0"/>
  </r>
  <r>
    <n v="44504"/>
    <x v="493"/>
    <x v="3"/>
    <x v="1"/>
    <x v="8"/>
    <x v="837"/>
    <n v="35.340000000000003"/>
    <n v="2"/>
    <n v="13.43"/>
    <x v="10"/>
    <x v="0"/>
  </r>
  <r>
    <n v="44504"/>
    <x v="494"/>
    <x v="3"/>
    <x v="2"/>
    <x v="6"/>
    <x v="996"/>
    <n v="666.34"/>
    <n v="7"/>
    <n v="66.63"/>
    <x v="10"/>
    <x v="0"/>
  </r>
  <r>
    <n v="44504"/>
    <x v="494"/>
    <x v="3"/>
    <x v="1"/>
    <x v="13"/>
    <x v="476"/>
    <n v="573.73"/>
    <n v="4"/>
    <n v="-64.540000000000006"/>
    <x v="10"/>
    <x v="0"/>
  </r>
  <r>
    <n v="44504"/>
    <x v="494"/>
    <x v="3"/>
    <x v="0"/>
    <x v="3"/>
    <x v="997"/>
    <n v="21.94"/>
    <n v="3"/>
    <n v="8.23"/>
    <x v="10"/>
    <x v="0"/>
  </r>
  <r>
    <n v="44504"/>
    <x v="494"/>
    <x v="3"/>
    <x v="0"/>
    <x v="0"/>
    <x v="768"/>
    <n v="19.440000000000001"/>
    <n v="3"/>
    <n v="9.33"/>
    <x v="10"/>
    <x v="0"/>
  </r>
  <r>
    <n v="44504"/>
    <x v="494"/>
    <x v="3"/>
    <x v="2"/>
    <x v="15"/>
    <x v="998"/>
    <n v="447.97"/>
    <n v="4"/>
    <n v="139.99"/>
    <x v="10"/>
    <x v="0"/>
  </r>
  <r>
    <n v="44504"/>
    <x v="381"/>
    <x v="20"/>
    <x v="0"/>
    <x v="3"/>
    <x v="999"/>
    <n v="52.06"/>
    <n v="4"/>
    <n v="18.87"/>
    <x v="10"/>
    <x v="0"/>
  </r>
  <r>
    <n v="44504"/>
    <x v="495"/>
    <x v="3"/>
    <x v="0"/>
    <x v="4"/>
    <x v="1000"/>
    <n v="2.94"/>
    <n v="1"/>
    <n v="0.79"/>
    <x v="10"/>
    <x v="0"/>
  </r>
  <r>
    <n v="44505"/>
    <x v="354"/>
    <x v="3"/>
    <x v="1"/>
    <x v="8"/>
    <x v="1001"/>
    <n v="20.04"/>
    <n v="6"/>
    <n v="8.82"/>
    <x v="10"/>
    <x v="0"/>
  </r>
  <r>
    <n v="44505"/>
    <x v="50"/>
    <x v="6"/>
    <x v="2"/>
    <x v="9"/>
    <x v="357"/>
    <n v="47.79"/>
    <n v="3"/>
    <n v="16.25"/>
    <x v="10"/>
    <x v="0"/>
  </r>
  <r>
    <n v="44505"/>
    <x v="496"/>
    <x v="2"/>
    <x v="1"/>
    <x v="8"/>
    <x v="990"/>
    <n v="273.57"/>
    <n v="2"/>
    <n v="-34.200000000000003"/>
    <x v="10"/>
    <x v="0"/>
  </r>
  <r>
    <n v="44505"/>
    <x v="496"/>
    <x v="2"/>
    <x v="0"/>
    <x v="3"/>
    <x v="372"/>
    <n v="13.19"/>
    <n v="2"/>
    <n v="-8.8000000000000007"/>
    <x v="10"/>
    <x v="0"/>
  </r>
  <r>
    <n v="44505"/>
    <x v="496"/>
    <x v="2"/>
    <x v="0"/>
    <x v="2"/>
    <x v="1002"/>
    <n v="1080.0999999999999"/>
    <n v="6"/>
    <n v="-94.51"/>
    <x v="10"/>
    <x v="0"/>
  </r>
  <r>
    <n v="44505"/>
    <x v="496"/>
    <x v="2"/>
    <x v="2"/>
    <x v="9"/>
    <x v="932"/>
    <n v="51.56"/>
    <n v="5"/>
    <n v="-6.45"/>
    <x v="10"/>
    <x v="0"/>
  </r>
  <r>
    <n v="44505"/>
    <x v="496"/>
    <x v="2"/>
    <x v="2"/>
    <x v="9"/>
    <x v="1003"/>
    <n v="58.42"/>
    <n v="2"/>
    <n v="16.79"/>
    <x v="10"/>
    <x v="0"/>
  </r>
  <r>
    <n v="44505"/>
    <x v="497"/>
    <x v="6"/>
    <x v="1"/>
    <x v="5"/>
    <x v="1004"/>
    <n v="149.9"/>
    <n v="5"/>
    <n v="40.47"/>
    <x v="10"/>
    <x v="0"/>
  </r>
  <r>
    <n v="44506"/>
    <x v="208"/>
    <x v="4"/>
    <x v="0"/>
    <x v="0"/>
    <x v="126"/>
    <n v="43.68"/>
    <n v="6"/>
    <n v="20.97"/>
    <x v="10"/>
    <x v="0"/>
  </r>
  <r>
    <n v="44507"/>
    <x v="498"/>
    <x v="0"/>
    <x v="0"/>
    <x v="3"/>
    <x v="715"/>
    <n v="26.05"/>
    <n v="3"/>
    <n v="-44.28"/>
    <x v="10"/>
    <x v="0"/>
  </r>
  <r>
    <n v="44507"/>
    <x v="498"/>
    <x v="0"/>
    <x v="0"/>
    <x v="10"/>
    <x v="21"/>
    <n v="74.349999999999994"/>
    <n v="3"/>
    <n v="26.95"/>
    <x v="10"/>
    <x v="0"/>
  </r>
  <r>
    <n v="44507"/>
    <x v="352"/>
    <x v="3"/>
    <x v="0"/>
    <x v="3"/>
    <x v="372"/>
    <n v="123.14"/>
    <n v="7"/>
    <n v="46.18"/>
    <x v="10"/>
    <x v="0"/>
  </r>
  <r>
    <n v="44507"/>
    <x v="236"/>
    <x v="0"/>
    <x v="1"/>
    <x v="5"/>
    <x v="477"/>
    <n v="683.14"/>
    <n v="4"/>
    <n v="0"/>
    <x v="10"/>
    <x v="0"/>
  </r>
  <r>
    <n v="44507"/>
    <x v="236"/>
    <x v="0"/>
    <x v="0"/>
    <x v="3"/>
    <x v="1005"/>
    <n v="1.48"/>
    <n v="3"/>
    <n v="-2.21"/>
    <x v="10"/>
    <x v="0"/>
  </r>
  <r>
    <n v="44507"/>
    <x v="236"/>
    <x v="0"/>
    <x v="0"/>
    <x v="14"/>
    <x v="1006"/>
    <n v="40.71"/>
    <n v="7"/>
    <n v="3.56"/>
    <x v="10"/>
    <x v="0"/>
  </r>
  <r>
    <n v="44507"/>
    <x v="389"/>
    <x v="21"/>
    <x v="0"/>
    <x v="12"/>
    <x v="103"/>
    <n v="245.88"/>
    <n v="6"/>
    <n v="68.849999999999994"/>
    <x v="10"/>
    <x v="0"/>
  </r>
  <r>
    <n v="44507"/>
    <x v="389"/>
    <x v="21"/>
    <x v="0"/>
    <x v="2"/>
    <x v="737"/>
    <n v="36.630000000000003"/>
    <n v="3"/>
    <n v="9.89"/>
    <x v="10"/>
    <x v="0"/>
  </r>
  <r>
    <n v="44507"/>
    <x v="389"/>
    <x v="21"/>
    <x v="0"/>
    <x v="2"/>
    <x v="350"/>
    <n v="22.58"/>
    <n v="2"/>
    <n v="5.87"/>
    <x v="10"/>
    <x v="0"/>
  </r>
  <r>
    <n v="44507"/>
    <x v="389"/>
    <x v="21"/>
    <x v="0"/>
    <x v="3"/>
    <x v="333"/>
    <n v="12.39"/>
    <n v="3"/>
    <n v="5.82"/>
    <x v="10"/>
    <x v="0"/>
  </r>
  <r>
    <n v="44507"/>
    <x v="244"/>
    <x v="20"/>
    <x v="0"/>
    <x v="7"/>
    <x v="293"/>
    <n v="5.92"/>
    <n v="4"/>
    <n v="2.84"/>
    <x v="10"/>
    <x v="0"/>
  </r>
  <r>
    <n v="44507"/>
    <x v="244"/>
    <x v="20"/>
    <x v="0"/>
    <x v="0"/>
    <x v="716"/>
    <n v="30.18"/>
    <n v="3"/>
    <n v="13.88"/>
    <x v="10"/>
    <x v="0"/>
  </r>
  <r>
    <n v="44507"/>
    <x v="47"/>
    <x v="11"/>
    <x v="0"/>
    <x v="0"/>
    <x v="537"/>
    <n v="25.92"/>
    <n v="5"/>
    <n v="9.07"/>
    <x v="10"/>
    <x v="0"/>
  </r>
  <r>
    <n v="44507"/>
    <x v="47"/>
    <x v="11"/>
    <x v="0"/>
    <x v="4"/>
    <x v="1007"/>
    <n v="120.77"/>
    <n v="4"/>
    <n v="9.06"/>
    <x v="10"/>
    <x v="0"/>
  </r>
  <r>
    <n v="44508"/>
    <x v="185"/>
    <x v="3"/>
    <x v="2"/>
    <x v="6"/>
    <x v="1008"/>
    <n v="333.58"/>
    <n v="3"/>
    <n v="25.02"/>
    <x v="10"/>
    <x v="0"/>
  </r>
  <r>
    <n v="44509"/>
    <x v="355"/>
    <x v="3"/>
    <x v="0"/>
    <x v="2"/>
    <x v="2"/>
    <n v="340.92"/>
    <n v="3"/>
    <n v="3.41"/>
    <x v="10"/>
    <x v="0"/>
  </r>
  <r>
    <n v="44509"/>
    <x v="355"/>
    <x v="3"/>
    <x v="1"/>
    <x v="11"/>
    <x v="1009"/>
    <n v="222.67"/>
    <n v="2"/>
    <n v="10.48"/>
    <x v="10"/>
    <x v="0"/>
  </r>
  <r>
    <n v="44509"/>
    <x v="355"/>
    <x v="3"/>
    <x v="2"/>
    <x v="6"/>
    <x v="449"/>
    <n v="703.97"/>
    <n v="4"/>
    <n v="88"/>
    <x v="10"/>
    <x v="0"/>
  </r>
  <r>
    <n v="44509"/>
    <x v="355"/>
    <x v="3"/>
    <x v="0"/>
    <x v="2"/>
    <x v="847"/>
    <n v="92.52"/>
    <n v="6"/>
    <n v="24.98"/>
    <x v="10"/>
    <x v="0"/>
  </r>
  <r>
    <n v="44509"/>
    <x v="355"/>
    <x v="3"/>
    <x v="0"/>
    <x v="0"/>
    <x v="1010"/>
    <n v="62.65"/>
    <n v="7"/>
    <n v="28.82"/>
    <x v="10"/>
    <x v="0"/>
  </r>
  <r>
    <n v="44509"/>
    <x v="355"/>
    <x v="3"/>
    <x v="0"/>
    <x v="0"/>
    <x v="1011"/>
    <n v="94.85"/>
    <n v="5"/>
    <n v="45.53"/>
    <x v="10"/>
    <x v="0"/>
  </r>
  <r>
    <n v="44509"/>
    <x v="499"/>
    <x v="20"/>
    <x v="1"/>
    <x v="8"/>
    <x v="1012"/>
    <n v="56.52"/>
    <n v="9"/>
    <n v="21.48"/>
    <x v="10"/>
    <x v="0"/>
  </r>
  <r>
    <n v="44510"/>
    <x v="131"/>
    <x v="3"/>
    <x v="2"/>
    <x v="6"/>
    <x v="67"/>
    <n v="601.54"/>
    <n v="8"/>
    <n v="60.15"/>
    <x v="10"/>
    <x v="0"/>
  </r>
  <r>
    <n v="44510"/>
    <x v="131"/>
    <x v="3"/>
    <x v="2"/>
    <x v="9"/>
    <x v="786"/>
    <n v="10.99"/>
    <n v="1"/>
    <n v="4.29"/>
    <x v="10"/>
    <x v="0"/>
  </r>
  <r>
    <n v="44510"/>
    <x v="131"/>
    <x v="3"/>
    <x v="1"/>
    <x v="8"/>
    <x v="1013"/>
    <n v="39.880000000000003"/>
    <n v="2"/>
    <n v="11.17"/>
    <x v="10"/>
    <x v="0"/>
  </r>
  <r>
    <n v="44510"/>
    <x v="131"/>
    <x v="3"/>
    <x v="0"/>
    <x v="0"/>
    <x v="154"/>
    <n v="62.24"/>
    <n v="8"/>
    <n v="28.01"/>
    <x v="10"/>
    <x v="0"/>
  </r>
  <r>
    <n v="44510"/>
    <x v="131"/>
    <x v="3"/>
    <x v="1"/>
    <x v="8"/>
    <x v="1014"/>
    <n v="53.2"/>
    <n v="5"/>
    <n v="14.9"/>
    <x v="10"/>
    <x v="0"/>
  </r>
  <r>
    <n v="44510"/>
    <x v="131"/>
    <x v="3"/>
    <x v="0"/>
    <x v="1"/>
    <x v="1015"/>
    <n v="39.840000000000003"/>
    <n v="8"/>
    <n v="18.329999999999998"/>
    <x v="10"/>
    <x v="0"/>
  </r>
  <r>
    <n v="44510"/>
    <x v="66"/>
    <x v="14"/>
    <x v="0"/>
    <x v="4"/>
    <x v="1016"/>
    <n v="3.9"/>
    <n v="2"/>
    <n v="1.52"/>
    <x v="10"/>
    <x v="0"/>
  </r>
  <r>
    <n v="44510"/>
    <x v="66"/>
    <x v="14"/>
    <x v="0"/>
    <x v="0"/>
    <x v="1017"/>
    <n v="12.84"/>
    <n v="3"/>
    <n v="5.78"/>
    <x v="10"/>
    <x v="0"/>
  </r>
  <r>
    <n v="44510"/>
    <x v="66"/>
    <x v="14"/>
    <x v="0"/>
    <x v="0"/>
    <x v="1018"/>
    <n v="15.84"/>
    <n v="3"/>
    <n v="7.13"/>
    <x v="10"/>
    <x v="0"/>
  </r>
  <r>
    <n v="44510"/>
    <x v="66"/>
    <x v="14"/>
    <x v="1"/>
    <x v="5"/>
    <x v="612"/>
    <n v="563.94000000000005"/>
    <n v="3"/>
    <n v="112.79"/>
    <x v="10"/>
    <x v="0"/>
  </r>
  <r>
    <n v="44510"/>
    <x v="66"/>
    <x v="14"/>
    <x v="0"/>
    <x v="2"/>
    <x v="1019"/>
    <n v="62.94"/>
    <n v="3"/>
    <n v="11.96"/>
    <x v="10"/>
    <x v="0"/>
  </r>
  <r>
    <n v="44510"/>
    <x v="66"/>
    <x v="14"/>
    <x v="0"/>
    <x v="2"/>
    <x v="168"/>
    <n v="535.41"/>
    <n v="3"/>
    <n v="160.62"/>
    <x v="10"/>
    <x v="0"/>
  </r>
  <r>
    <n v="44511"/>
    <x v="500"/>
    <x v="21"/>
    <x v="0"/>
    <x v="2"/>
    <x v="1020"/>
    <n v="665.88"/>
    <n v="6"/>
    <n v="13.32"/>
    <x v="10"/>
    <x v="0"/>
  </r>
  <r>
    <n v="44511"/>
    <x v="501"/>
    <x v="26"/>
    <x v="0"/>
    <x v="4"/>
    <x v="224"/>
    <n v="3.39"/>
    <n v="1"/>
    <n v="0.81"/>
    <x v="10"/>
    <x v="0"/>
  </r>
  <r>
    <n v="44511"/>
    <x v="501"/>
    <x v="26"/>
    <x v="2"/>
    <x v="6"/>
    <x v="1021"/>
    <n v="559.98"/>
    <n v="2"/>
    <n v="56"/>
    <x v="10"/>
    <x v="0"/>
  </r>
  <r>
    <n v="44511"/>
    <x v="501"/>
    <x v="26"/>
    <x v="1"/>
    <x v="5"/>
    <x v="1022"/>
    <n v="603.91999999999996"/>
    <n v="5"/>
    <n v="75.489999999999995"/>
    <x v="10"/>
    <x v="0"/>
  </r>
  <r>
    <n v="44511"/>
    <x v="502"/>
    <x v="0"/>
    <x v="0"/>
    <x v="3"/>
    <x v="717"/>
    <n v="896.99"/>
    <n v="5"/>
    <n v="-1480.03"/>
    <x v="10"/>
    <x v="0"/>
  </r>
  <r>
    <n v="44511"/>
    <x v="502"/>
    <x v="0"/>
    <x v="0"/>
    <x v="3"/>
    <x v="1023"/>
    <n v="1.23"/>
    <n v="1"/>
    <n v="-1.97"/>
    <x v="10"/>
    <x v="0"/>
  </r>
  <r>
    <n v="44511"/>
    <x v="502"/>
    <x v="0"/>
    <x v="0"/>
    <x v="4"/>
    <x v="1024"/>
    <n v="67.56"/>
    <n v="3"/>
    <n v="6.76"/>
    <x v="10"/>
    <x v="0"/>
  </r>
  <r>
    <n v="44511"/>
    <x v="502"/>
    <x v="0"/>
    <x v="0"/>
    <x v="0"/>
    <x v="850"/>
    <n v="21.72"/>
    <n v="5"/>
    <n v="7.87"/>
    <x v="10"/>
    <x v="0"/>
  </r>
  <r>
    <n v="44511"/>
    <x v="502"/>
    <x v="0"/>
    <x v="0"/>
    <x v="0"/>
    <x v="1025"/>
    <n v="262.33999999999997"/>
    <n v="8"/>
    <n v="95.1"/>
    <x v="10"/>
    <x v="0"/>
  </r>
  <r>
    <n v="44511"/>
    <x v="502"/>
    <x v="0"/>
    <x v="2"/>
    <x v="6"/>
    <x v="446"/>
    <n v="148.47999999999999"/>
    <n v="2"/>
    <n v="16.7"/>
    <x v="10"/>
    <x v="0"/>
  </r>
  <r>
    <n v="44511"/>
    <x v="502"/>
    <x v="0"/>
    <x v="2"/>
    <x v="6"/>
    <x v="1026"/>
    <n v="241.18"/>
    <n v="3"/>
    <n v="15.07"/>
    <x v="10"/>
    <x v="0"/>
  </r>
  <r>
    <n v="44511"/>
    <x v="358"/>
    <x v="3"/>
    <x v="0"/>
    <x v="4"/>
    <x v="1027"/>
    <n v="30.48"/>
    <n v="3"/>
    <n v="7.92"/>
    <x v="10"/>
    <x v="0"/>
  </r>
  <r>
    <n v="44511"/>
    <x v="358"/>
    <x v="3"/>
    <x v="1"/>
    <x v="5"/>
    <x v="433"/>
    <n v="112.65"/>
    <n v="1"/>
    <n v="11.26"/>
    <x v="10"/>
    <x v="0"/>
  </r>
  <r>
    <n v="44511"/>
    <x v="324"/>
    <x v="2"/>
    <x v="1"/>
    <x v="8"/>
    <x v="330"/>
    <n v="23.97"/>
    <n v="2"/>
    <n v="7.79"/>
    <x v="10"/>
    <x v="0"/>
  </r>
  <r>
    <n v="44511"/>
    <x v="324"/>
    <x v="2"/>
    <x v="1"/>
    <x v="11"/>
    <x v="1028"/>
    <n v="521.96"/>
    <n v="4"/>
    <n v="-250.54"/>
    <x v="10"/>
    <x v="0"/>
  </r>
  <r>
    <n v="44511"/>
    <x v="338"/>
    <x v="3"/>
    <x v="2"/>
    <x v="6"/>
    <x v="463"/>
    <n v="575.92999999999995"/>
    <n v="9"/>
    <n v="57.59"/>
    <x v="10"/>
    <x v="0"/>
  </r>
  <r>
    <n v="44511"/>
    <x v="338"/>
    <x v="3"/>
    <x v="0"/>
    <x v="12"/>
    <x v="468"/>
    <n v="7.78"/>
    <n v="2"/>
    <n v="2.02"/>
    <x v="10"/>
    <x v="0"/>
  </r>
  <r>
    <n v="44511"/>
    <x v="338"/>
    <x v="3"/>
    <x v="0"/>
    <x v="0"/>
    <x v="1029"/>
    <n v="123.92"/>
    <n v="4"/>
    <n v="55.76"/>
    <x v="10"/>
    <x v="0"/>
  </r>
  <r>
    <n v="44511"/>
    <x v="126"/>
    <x v="22"/>
    <x v="0"/>
    <x v="12"/>
    <x v="484"/>
    <n v="22.98"/>
    <n v="1"/>
    <n v="6.89"/>
    <x v="10"/>
    <x v="0"/>
  </r>
  <r>
    <n v="44511"/>
    <x v="126"/>
    <x v="22"/>
    <x v="2"/>
    <x v="9"/>
    <x v="774"/>
    <n v="102.13"/>
    <n v="7"/>
    <n v="15.32"/>
    <x v="10"/>
    <x v="0"/>
  </r>
  <r>
    <n v="44511"/>
    <x v="126"/>
    <x v="22"/>
    <x v="0"/>
    <x v="3"/>
    <x v="1030"/>
    <n v="2033.58"/>
    <n v="2"/>
    <n v="762.59"/>
    <x v="10"/>
    <x v="0"/>
  </r>
  <r>
    <n v="44511"/>
    <x v="248"/>
    <x v="1"/>
    <x v="1"/>
    <x v="8"/>
    <x v="1031"/>
    <n v="10.98"/>
    <n v="2"/>
    <n v="-7.96"/>
    <x v="10"/>
    <x v="0"/>
  </r>
  <r>
    <n v="44511"/>
    <x v="248"/>
    <x v="1"/>
    <x v="1"/>
    <x v="5"/>
    <x v="160"/>
    <n v="797.94"/>
    <n v="4"/>
    <n v="-57"/>
    <x v="10"/>
    <x v="0"/>
  </r>
  <r>
    <n v="44511"/>
    <x v="61"/>
    <x v="20"/>
    <x v="0"/>
    <x v="0"/>
    <x v="1032"/>
    <n v="46.35"/>
    <n v="5"/>
    <n v="21.78"/>
    <x v="10"/>
    <x v="0"/>
  </r>
  <r>
    <n v="44511"/>
    <x v="61"/>
    <x v="20"/>
    <x v="0"/>
    <x v="0"/>
    <x v="1033"/>
    <n v="223.92"/>
    <n v="4"/>
    <n v="109.72"/>
    <x v="10"/>
    <x v="0"/>
  </r>
  <r>
    <n v="44511"/>
    <x v="61"/>
    <x v="20"/>
    <x v="0"/>
    <x v="14"/>
    <x v="817"/>
    <n v="7.3"/>
    <n v="2"/>
    <n v="2.19"/>
    <x v="10"/>
    <x v="0"/>
  </r>
  <r>
    <n v="44512"/>
    <x v="503"/>
    <x v="0"/>
    <x v="0"/>
    <x v="2"/>
    <x v="1034"/>
    <n v="49.63"/>
    <n v="4"/>
    <n v="4.96"/>
    <x v="10"/>
    <x v="0"/>
  </r>
  <r>
    <n v="44512"/>
    <x v="409"/>
    <x v="3"/>
    <x v="0"/>
    <x v="0"/>
    <x v="1035"/>
    <n v="11.96"/>
    <n v="2"/>
    <n v="5.86"/>
    <x v="10"/>
    <x v="0"/>
  </r>
  <r>
    <n v="44512"/>
    <x v="409"/>
    <x v="3"/>
    <x v="1"/>
    <x v="13"/>
    <x v="1036"/>
    <n v="629.05999999999995"/>
    <n v="3"/>
    <n v="31.45"/>
    <x v="10"/>
    <x v="0"/>
  </r>
  <r>
    <n v="44512"/>
    <x v="491"/>
    <x v="25"/>
    <x v="0"/>
    <x v="4"/>
    <x v="368"/>
    <n v="7.87"/>
    <n v="3"/>
    <n v="0.89"/>
    <x v="10"/>
    <x v="0"/>
  </r>
  <r>
    <n v="44512"/>
    <x v="504"/>
    <x v="0"/>
    <x v="0"/>
    <x v="4"/>
    <x v="191"/>
    <n v="2.67"/>
    <n v="1"/>
    <n v="0.33"/>
    <x v="10"/>
    <x v="0"/>
  </r>
  <r>
    <n v="44512"/>
    <x v="504"/>
    <x v="0"/>
    <x v="0"/>
    <x v="14"/>
    <x v="700"/>
    <n v="16.66"/>
    <n v="6"/>
    <n v="-3.12"/>
    <x v="10"/>
    <x v="0"/>
  </r>
  <r>
    <n v="44512"/>
    <x v="504"/>
    <x v="0"/>
    <x v="2"/>
    <x v="9"/>
    <x v="1037"/>
    <n v="79.510000000000005"/>
    <n v="3"/>
    <n v="20.87"/>
    <x v="10"/>
    <x v="0"/>
  </r>
  <r>
    <n v="44512"/>
    <x v="504"/>
    <x v="0"/>
    <x v="0"/>
    <x v="0"/>
    <x v="757"/>
    <n v="36.29"/>
    <n v="7"/>
    <n v="12.7"/>
    <x v="10"/>
    <x v="0"/>
  </r>
  <r>
    <n v="44512"/>
    <x v="504"/>
    <x v="0"/>
    <x v="1"/>
    <x v="11"/>
    <x v="384"/>
    <n v="67.989999999999995"/>
    <n v="1"/>
    <n v="-13"/>
    <x v="10"/>
    <x v="0"/>
  </r>
  <r>
    <n v="44512"/>
    <x v="0"/>
    <x v="0"/>
    <x v="1"/>
    <x v="8"/>
    <x v="61"/>
    <n v="25.13"/>
    <n v="3"/>
    <n v="-6.91"/>
    <x v="10"/>
    <x v="0"/>
  </r>
  <r>
    <n v="44512"/>
    <x v="0"/>
    <x v="0"/>
    <x v="2"/>
    <x v="9"/>
    <x v="615"/>
    <n v="127.98"/>
    <n v="2"/>
    <n v="25.6"/>
    <x v="10"/>
    <x v="0"/>
  </r>
  <r>
    <n v="44514"/>
    <x v="505"/>
    <x v="37"/>
    <x v="2"/>
    <x v="6"/>
    <x v="996"/>
    <n v="832.93"/>
    <n v="7"/>
    <n v="233.22"/>
    <x v="10"/>
    <x v="0"/>
  </r>
  <r>
    <n v="44514"/>
    <x v="505"/>
    <x v="37"/>
    <x v="0"/>
    <x v="3"/>
    <x v="878"/>
    <n v="43.8"/>
    <n v="10"/>
    <n v="21.02"/>
    <x v="10"/>
    <x v="0"/>
  </r>
  <r>
    <n v="44514"/>
    <x v="506"/>
    <x v="14"/>
    <x v="0"/>
    <x v="3"/>
    <x v="505"/>
    <n v="12.72"/>
    <n v="3"/>
    <n v="6.36"/>
    <x v="10"/>
    <x v="0"/>
  </r>
  <r>
    <n v="44514"/>
    <x v="506"/>
    <x v="14"/>
    <x v="0"/>
    <x v="3"/>
    <x v="549"/>
    <n v="11.52"/>
    <n v="4"/>
    <n v="5.64"/>
    <x v="10"/>
    <x v="0"/>
  </r>
  <r>
    <n v="44514"/>
    <x v="507"/>
    <x v="0"/>
    <x v="0"/>
    <x v="0"/>
    <x v="1038"/>
    <n v="20.74"/>
    <n v="4"/>
    <n v="7.26"/>
    <x v="10"/>
    <x v="0"/>
  </r>
  <r>
    <n v="44514"/>
    <x v="508"/>
    <x v="20"/>
    <x v="0"/>
    <x v="0"/>
    <x v="1039"/>
    <n v="11.36"/>
    <n v="2"/>
    <n v="5.23"/>
    <x v="10"/>
    <x v="0"/>
  </r>
  <r>
    <n v="44514"/>
    <x v="508"/>
    <x v="20"/>
    <x v="1"/>
    <x v="5"/>
    <x v="578"/>
    <n v="69.260000000000005"/>
    <n v="2"/>
    <n v="14.62"/>
    <x v="10"/>
    <x v="0"/>
  </r>
  <r>
    <n v="44514"/>
    <x v="393"/>
    <x v="6"/>
    <x v="0"/>
    <x v="0"/>
    <x v="1040"/>
    <n v="32.4"/>
    <n v="5"/>
    <n v="15.55"/>
    <x v="10"/>
    <x v="0"/>
  </r>
  <r>
    <n v="44515"/>
    <x v="509"/>
    <x v="15"/>
    <x v="0"/>
    <x v="4"/>
    <x v="1041"/>
    <n v="4.22"/>
    <n v="3"/>
    <n v="0.48"/>
    <x v="10"/>
    <x v="0"/>
  </r>
  <r>
    <n v="44515"/>
    <x v="509"/>
    <x v="15"/>
    <x v="0"/>
    <x v="12"/>
    <x v="425"/>
    <n v="333.06"/>
    <n v="2"/>
    <n v="29.14"/>
    <x v="10"/>
    <x v="0"/>
  </r>
  <r>
    <n v="44515"/>
    <x v="509"/>
    <x v="15"/>
    <x v="0"/>
    <x v="0"/>
    <x v="154"/>
    <n v="24.9"/>
    <n v="4"/>
    <n v="7.78"/>
    <x v="10"/>
    <x v="0"/>
  </r>
  <r>
    <n v="44515"/>
    <x v="510"/>
    <x v="0"/>
    <x v="0"/>
    <x v="10"/>
    <x v="1042"/>
    <n v="604.66"/>
    <n v="9"/>
    <n v="204.07"/>
    <x v="10"/>
    <x v="0"/>
  </r>
  <r>
    <n v="44515"/>
    <x v="228"/>
    <x v="3"/>
    <x v="1"/>
    <x v="8"/>
    <x v="1043"/>
    <n v="10.11"/>
    <n v="3"/>
    <n v="3.24"/>
    <x v="10"/>
    <x v="0"/>
  </r>
  <r>
    <n v="44515"/>
    <x v="228"/>
    <x v="3"/>
    <x v="2"/>
    <x v="9"/>
    <x v="1044"/>
    <n v="772.47"/>
    <n v="3"/>
    <n v="146.77000000000001"/>
    <x v="10"/>
    <x v="0"/>
  </r>
  <r>
    <n v="44515"/>
    <x v="228"/>
    <x v="3"/>
    <x v="0"/>
    <x v="14"/>
    <x v="654"/>
    <n v="20.46"/>
    <n v="2"/>
    <n v="5.32"/>
    <x v="10"/>
    <x v="0"/>
  </r>
  <r>
    <n v="44515"/>
    <x v="134"/>
    <x v="3"/>
    <x v="0"/>
    <x v="14"/>
    <x v="817"/>
    <n v="10.95"/>
    <n v="3"/>
    <n v="3.29"/>
    <x v="10"/>
    <x v="0"/>
  </r>
  <r>
    <n v="44516"/>
    <x v="511"/>
    <x v="42"/>
    <x v="2"/>
    <x v="6"/>
    <x v="687"/>
    <n v="273.95999999999998"/>
    <n v="2"/>
    <n v="10.96"/>
    <x v="10"/>
    <x v="0"/>
  </r>
  <r>
    <n v="44516"/>
    <x v="50"/>
    <x v="18"/>
    <x v="0"/>
    <x v="10"/>
    <x v="858"/>
    <n v="78.349999999999994"/>
    <n v="5"/>
    <n v="36.82"/>
    <x v="10"/>
    <x v="0"/>
  </r>
  <r>
    <n v="44516"/>
    <x v="50"/>
    <x v="18"/>
    <x v="0"/>
    <x v="0"/>
    <x v="875"/>
    <n v="31.68"/>
    <n v="6"/>
    <n v="14.26"/>
    <x v="10"/>
    <x v="0"/>
  </r>
  <r>
    <n v="44516"/>
    <x v="50"/>
    <x v="18"/>
    <x v="0"/>
    <x v="3"/>
    <x v="1045"/>
    <n v="29.12"/>
    <n v="4"/>
    <n v="14.27"/>
    <x v="10"/>
    <x v="0"/>
  </r>
  <r>
    <n v="44516"/>
    <x v="50"/>
    <x v="18"/>
    <x v="0"/>
    <x v="2"/>
    <x v="865"/>
    <n v="169.45"/>
    <n v="5"/>
    <n v="42.36"/>
    <x v="10"/>
    <x v="0"/>
  </r>
  <r>
    <n v="44516"/>
    <x v="512"/>
    <x v="3"/>
    <x v="0"/>
    <x v="1"/>
    <x v="1046"/>
    <n v="5.22"/>
    <n v="2"/>
    <n v="2.4"/>
    <x v="10"/>
    <x v="0"/>
  </r>
  <r>
    <n v="44516"/>
    <x v="513"/>
    <x v="1"/>
    <x v="1"/>
    <x v="5"/>
    <x v="1047"/>
    <n v="37.299999999999997"/>
    <n v="2"/>
    <n v="-1.07"/>
    <x v="10"/>
    <x v="0"/>
  </r>
  <r>
    <n v="44516"/>
    <x v="514"/>
    <x v="3"/>
    <x v="2"/>
    <x v="6"/>
    <x v="1048"/>
    <n v="79.97"/>
    <n v="4"/>
    <n v="-17.989999999999998"/>
    <x v="10"/>
    <x v="0"/>
  </r>
  <r>
    <n v="44516"/>
    <x v="514"/>
    <x v="3"/>
    <x v="1"/>
    <x v="11"/>
    <x v="1049"/>
    <n v="305.97000000000003"/>
    <n v="3"/>
    <n v="25.2"/>
    <x v="10"/>
    <x v="0"/>
  </r>
  <r>
    <n v="44516"/>
    <x v="514"/>
    <x v="3"/>
    <x v="0"/>
    <x v="2"/>
    <x v="75"/>
    <n v="344.91"/>
    <n v="3"/>
    <n v="10.35"/>
    <x v="10"/>
    <x v="0"/>
  </r>
  <r>
    <n v="44517"/>
    <x v="114"/>
    <x v="28"/>
    <x v="1"/>
    <x v="5"/>
    <x v="796"/>
    <n v="479.9"/>
    <n v="5"/>
    <n v="81.58"/>
    <x v="10"/>
    <x v="0"/>
  </r>
  <r>
    <n v="44517"/>
    <x v="515"/>
    <x v="7"/>
    <x v="0"/>
    <x v="2"/>
    <x v="650"/>
    <n v="2934.33"/>
    <n v="7"/>
    <n v="792.27"/>
    <x v="10"/>
    <x v="0"/>
  </r>
  <r>
    <n v="44517"/>
    <x v="515"/>
    <x v="7"/>
    <x v="1"/>
    <x v="8"/>
    <x v="1050"/>
    <n v="124.41"/>
    <n v="3"/>
    <n v="14.93"/>
    <x v="10"/>
    <x v="0"/>
  </r>
  <r>
    <n v="44517"/>
    <x v="515"/>
    <x v="7"/>
    <x v="0"/>
    <x v="4"/>
    <x v="489"/>
    <n v="57.75"/>
    <n v="5"/>
    <n v="26.57"/>
    <x v="10"/>
    <x v="0"/>
  </r>
  <r>
    <n v="44517"/>
    <x v="93"/>
    <x v="3"/>
    <x v="2"/>
    <x v="9"/>
    <x v="621"/>
    <n v="99.98"/>
    <n v="2"/>
    <n v="8"/>
    <x v="10"/>
    <x v="0"/>
  </r>
  <r>
    <n v="44517"/>
    <x v="93"/>
    <x v="3"/>
    <x v="0"/>
    <x v="0"/>
    <x v="539"/>
    <n v="733.95"/>
    <n v="7"/>
    <n v="352.3"/>
    <x v="10"/>
    <x v="0"/>
  </r>
  <r>
    <n v="44517"/>
    <x v="93"/>
    <x v="3"/>
    <x v="0"/>
    <x v="12"/>
    <x v="1051"/>
    <n v="241.44"/>
    <n v="3"/>
    <n v="72.430000000000007"/>
    <x v="10"/>
    <x v="0"/>
  </r>
  <r>
    <n v="44517"/>
    <x v="516"/>
    <x v="2"/>
    <x v="0"/>
    <x v="0"/>
    <x v="154"/>
    <n v="12.45"/>
    <n v="2"/>
    <n v="3.89"/>
    <x v="10"/>
    <x v="0"/>
  </r>
  <r>
    <n v="44517"/>
    <x v="516"/>
    <x v="2"/>
    <x v="1"/>
    <x v="5"/>
    <x v="612"/>
    <n v="657.93"/>
    <n v="5"/>
    <n v="-93.99"/>
    <x v="10"/>
    <x v="0"/>
  </r>
  <r>
    <n v="44517"/>
    <x v="92"/>
    <x v="0"/>
    <x v="0"/>
    <x v="10"/>
    <x v="732"/>
    <n v="7.08"/>
    <n v="3"/>
    <n v="2.48"/>
    <x v="10"/>
    <x v="0"/>
  </r>
  <r>
    <n v="44517"/>
    <x v="217"/>
    <x v="20"/>
    <x v="0"/>
    <x v="3"/>
    <x v="717"/>
    <n v="2152.7800000000002"/>
    <n v="3"/>
    <n v="726.56"/>
    <x v="10"/>
    <x v="0"/>
  </r>
  <r>
    <n v="44517"/>
    <x v="217"/>
    <x v="20"/>
    <x v="1"/>
    <x v="11"/>
    <x v="853"/>
    <n v="4007.84"/>
    <n v="10"/>
    <n v="-50.1"/>
    <x v="10"/>
    <x v="0"/>
  </r>
  <r>
    <n v="44517"/>
    <x v="215"/>
    <x v="20"/>
    <x v="0"/>
    <x v="0"/>
    <x v="1052"/>
    <n v="34.44"/>
    <n v="3"/>
    <n v="17.22"/>
    <x v="10"/>
    <x v="0"/>
  </r>
  <r>
    <n v="44518"/>
    <x v="517"/>
    <x v="26"/>
    <x v="1"/>
    <x v="13"/>
    <x v="1053"/>
    <n v="145.97999999999999"/>
    <n v="2"/>
    <n v="-99.27"/>
    <x v="10"/>
    <x v="0"/>
  </r>
  <r>
    <n v="44518"/>
    <x v="517"/>
    <x v="26"/>
    <x v="0"/>
    <x v="0"/>
    <x v="150"/>
    <n v="35.81"/>
    <n v="4"/>
    <n v="12.53"/>
    <x v="10"/>
    <x v="0"/>
  </r>
  <r>
    <n v="44518"/>
    <x v="246"/>
    <x v="2"/>
    <x v="0"/>
    <x v="3"/>
    <x v="313"/>
    <n v="51"/>
    <n v="1"/>
    <n v="-40.799999999999997"/>
    <x v="10"/>
    <x v="0"/>
  </r>
  <r>
    <n v="44518"/>
    <x v="246"/>
    <x v="2"/>
    <x v="0"/>
    <x v="2"/>
    <x v="1054"/>
    <n v="76.790000000000006"/>
    <n v="1"/>
    <n v="-16.32"/>
    <x v="10"/>
    <x v="0"/>
  </r>
  <r>
    <n v="44518"/>
    <x v="246"/>
    <x v="2"/>
    <x v="2"/>
    <x v="6"/>
    <x v="255"/>
    <n v="539.96"/>
    <n v="6"/>
    <n v="-107.99"/>
    <x v="10"/>
    <x v="0"/>
  </r>
  <r>
    <n v="44518"/>
    <x v="246"/>
    <x v="2"/>
    <x v="1"/>
    <x v="8"/>
    <x v="1055"/>
    <n v="60.31"/>
    <n v="3"/>
    <n v="5.28"/>
    <x v="10"/>
    <x v="0"/>
  </r>
  <r>
    <n v="44518"/>
    <x v="246"/>
    <x v="2"/>
    <x v="0"/>
    <x v="3"/>
    <x v="1056"/>
    <n v="1.94"/>
    <n v="3"/>
    <n v="-1.43"/>
    <x v="10"/>
    <x v="0"/>
  </r>
  <r>
    <n v="44518"/>
    <x v="518"/>
    <x v="1"/>
    <x v="0"/>
    <x v="3"/>
    <x v="1057"/>
    <n v="14.48"/>
    <n v="5"/>
    <n v="-23.89"/>
    <x v="10"/>
    <x v="0"/>
  </r>
  <r>
    <n v="44518"/>
    <x v="493"/>
    <x v="10"/>
    <x v="0"/>
    <x v="3"/>
    <x v="1058"/>
    <n v="11.81"/>
    <n v="8"/>
    <n v="-8.66"/>
    <x v="10"/>
    <x v="0"/>
  </r>
  <r>
    <n v="44518"/>
    <x v="493"/>
    <x v="10"/>
    <x v="2"/>
    <x v="6"/>
    <x v="1059"/>
    <n v="9.59"/>
    <n v="2"/>
    <n v="-2.08"/>
    <x v="10"/>
    <x v="0"/>
  </r>
  <r>
    <n v="44518"/>
    <x v="130"/>
    <x v="27"/>
    <x v="0"/>
    <x v="0"/>
    <x v="367"/>
    <n v="21.98"/>
    <n v="7"/>
    <n v="9.89"/>
    <x v="10"/>
    <x v="0"/>
  </r>
  <r>
    <n v="44518"/>
    <x v="519"/>
    <x v="1"/>
    <x v="1"/>
    <x v="13"/>
    <x v="1060"/>
    <n v="292.10000000000002"/>
    <n v="4"/>
    <n v="-175.26"/>
    <x v="10"/>
    <x v="0"/>
  </r>
  <r>
    <n v="44518"/>
    <x v="519"/>
    <x v="1"/>
    <x v="1"/>
    <x v="8"/>
    <x v="863"/>
    <n v="8.5399999999999991"/>
    <n v="2"/>
    <n v="-7.48"/>
    <x v="10"/>
    <x v="0"/>
  </r>
  <r>
    <n v="44518"/>
    <x v="519"/>
    <x v="1"/>
    <x v="1"/>
    <x v="11"/>
    <x v="1061"/>
    <n v="424.12"/>
    <n v="6"/>
    <n v="-30.29"/>
    <x v="10"/>
    <x v="0"/>
  </r>
  <r>
    <n v="44518"/>
    <x v="519"/>
    <x v="1"/>
    <x v="0"/>
    <x v="3"/>
    <x v="96"/>
    <n v="2.89"/>
    <n v="3"/>
    <n v="-4.92"/>
    <x v="10"/>
    <x v="0"/>
  </r>
  <r>
    <n v="44518"/>
    <x v="519"/>
    <x v="1"/>
    <x v="0"/>
    <x v="2"/>
    <x v="25"/>
    <n v="381.72"/>
    <n v="5"/>
    <n v="-66.8"/>
    <x v="10"/>
    <x v="0"/>
  </r>
  <r>
    <n v="44518"/>
    <x v="520"/>
    <x v="28"/>
    <x v="0"/>
    <x v="2"/>
    <x v="1062"/>
    <n v="67.150000000000006"/>
    <n v="5"/>
    <n v="16.79"/>
    <x v="10"/>
    <x v="0"/>
  </r>
  <r>
    <n v="44518"/>
    <x v="521"/>
    <x v="21"/>
    <x v="1"/>
    <x v="5"/>
    <x v="215"/>
    <n v="392.94"/>
    <n v="3"/>
    <n v="43.22"/>
    <x v="10"/>
    <x v="0"/>
  </r>
  <r>
    <n v="44518"/>
    <x v="223"/>
    <x v="22"/>
    <x v="1"/>
    <x v="8"/>
    <x v="1063"/>
    <n v="137.54"/>
    <n v="2"/>
    <n v="55.02"/>
    <x v="10"/>
    <x v="0"/>
  </r>
  <r>
    <n v="44518"/>
    <x v="223"/>
    <x v="22"/>
    <x v="1"/>
    <x v="13"/>
    <x v="953"/>
    <n v="730.2"/>
    <n v="4"/>
    <n v="94.93"/>
    <x v="10"/>
    <x v="0"/>
  </r>
  <r>
    <n v="44519"/>
    <x v="508"/>
    <x v="8"/>
    <x v="2"/>
    <x v="6"/>
    <x v="231"/>
    <n v="503.96"/>
    <n v="4"/>
    <n v="131.03"/>
    <x v="10"/>
    <x v="0"/>
  </r>
  <r>
    <n v="44519"/>
    <x v="508"/>
    <x v="8"/>
    <x v="2"/>
    <x v="6"/>
    <x v="1064"/>
    <n v="149.94999999999999"/>
    <n v="5"/>
    <n v="41.99"/>
    <x v="10"/>
    <x v="0"/>
  </r>
  <r>
    <n v="44519"/>
    <x v="508"/>
    <x v="8"/>
    <x v="2"/>
    <x v="9"/>
    <x v="1065"/>
    <n v="29"/>
    <n v="2"/>
    <n v="7.25"/>
    <x v="10"/>
    <x v="0"/>
  </r>
  <r>
    <n v="44519"/>
    <x v="522"/>
    <x v="20"/>
    <x v="2"/>
    <x v="6"/>
    <x v="402"/>
    <n v="4548.8100000000004"/>
    <n v="7"/>
    <n v="1228.18"/>
    <x v="10"/>
    <x v="0"/>
  </r>
  <r>
    <n v="44519"/>
    <x v="523"/>
    <x v="7"/>
    <x v="0"/>
    <x v="1"/>
    <x v="85"/>
    <n v="22.5"/>
    <n v="6"/>
    <n v="10.8"/>
    <x v="10"/>
    <x v="0"/>
  </r>
  <r>
    <n v="44519"/>
    <x v="523"/>
    <x v="7"/>
    <x v="0"/>
    <x v="1"/>
    <x v="849"/>
    <n v="9.9600000000000009"/>
    <n v="2"/>
    <n v="4.58"/>
    <x v="10"/>
    <x v="0"/>
  </r>
  <r>
    <n v="44519"/>
    <x v="523"/>
    <x v="7"/>
    <x v="0"/>
    <x v="3"/>
    <x v="812"/>
    <n v="213.08"/>
    <n v="7"/>
    <n v="102.28"/>
    <x v="10"/>
    <x v="0"/>
  </r>
  <r>
    <n v="44519"/>
    <x v="523"/>
    <x v="7"/>
    <x v="1"/>
    <x v="11"/>
    <x v="430"/>
    <n v="1025.8800000000001"/>
    <n v="6"/>
    <n v="235.95"/>
    <x v="10"/>
    <x v="0"/>
  </r>
  <r>
    <n v="44519"/>
    <x v="524"/>
    <x v="27"/>
    <x v="0"/>
    <x v="0"/>
    <x v="1066"/>
    <n v="166.44"/>
    <n v="3"/>
    <n v="79.89"/>
    <x v="10"/>
    <x v="0"/>
  </r>
  <r>
    <n v="44519"/>
    <x v="131"/>
    <x v="2"/>
    <x v="2"/>
    <x v="9"/>
    <x v="910"/>
    <n v="47.5"/>
    <n v="1"/>
    <n v="-1.19"/>
    <x v="10"/>
    <x v="0"/>
  </r>
  <r>
    <n v="44519"/>
    <x v="363"/>
    <x v="28"/>
    <x v="0"/>
    <x v="2"/>
    <x v="346"/>
    <n v="221.16"/>
    <n v="4"/>
    <n v="57.5"/>
    <x v="10"/>
    <x v="0"/>
  </r>
  <r>
    <n v="44519"/>
    <x v="363"/>
    <x v="28"/>
    <x v="2"/>
    <x v="6"/>
    <x v="67"/>
    <n v="281.97000000000003"/>
    <n v="3"/>
    <n v="78.95"/>
    <x v="10"/>
    <x v="0"/>
  </r>
  <r>
    <n v="44519"/>
    <x v="525"/>
    <x v="2"/>
    <x v="0"/>
    <x v="0"/>
    <x v="1067"/>
    <n v="5.88"/>
    <n v="1"/>
    <n v="1.98"/>
    <x v="10"/>
    <x v="0"/>
  </r>
  <r>
    <n v="44520"/>
    <x v="121"/>
    <x v="20"/>
    <x v="0"/>
    <x v="10"/>
    <x v="1068"/>
    <n v="34.74"/>
    <n v="3"/>
    <n v="17.37"/>
    <x v="10"/>
    <x v="0"/>
  </r>
  <r>
    <n v="44520"/>
    <x v="121"/>
    <x v="20"/>
    <x v="2"/>
    <x v="6"/>
    <x v="1008"/>
    <n v="833.94"/>
    <n v="6"/>
    <n v="216.82"/>
    <x v="10"/>
    <x v="0"/>
  </r>
  <r>
    <n v="44520"/>
    <x v="121"/>
    <x v="20"/>
    <x v="0"/>
    <x v="3"/>
    <x v="1069"/>
    <n v="12.96"/>
    <n v="3"/>
    <n v="4.54"/>
    <x v="10"/>
    <x v="0"/>
  </r>
  <r>
    <n v="44520"/>
    <x v="121"/>
    <x v="20"/>
    <x v="0"/>
    <x v="0"/>
    <x v="768"/>
    <n v="25.92"/>
    <n v="4"/>
    <n v="12.44"/>
    <x v="10"/>
    <x v="0"/>
  </r>
  <r>
    <n v="44521"/>
    <x v="526"/>
    <x v="5"/>
    <x v="2"/>
    <x v="6"/>
    <x v="550"/>
    <n v="36.99"/>
    <n v="1"/>
    <n v="9.99"/>
    <x v="10"/>
    <x v="0"/>
  </r>
  <r>
    <n v="44521"/>
    <x v="526"/>
    <x v="5"/>
    <x v="0"/>
    <x v="0"/>
    <x v="1070"/>
    <n v="629.1"/>
    <n v="6"/>
    <n v="301.97000000000003"/>
    <x v="10"/>
    <x v="0"/>
  </r>
  <r>
    <n v="44521"/>
    <x v="526"/>
    <x v="5"/>
    <x v="0"/>
    <x v="2"/>
    <x v="242"/>
    <n v="193.95"/>
    <n v="3"/>
    <n v="9.6999999999999993"/>
    <x v="10"/>
    <x v="0"/>
  </r>
  <r>
    <n v="44521"/>
    <x v="526"/>
    <x v="5"/>
    <x v="0"/>
    <x v="4"/>
    <x v="481"/>
    <n v="5.46"/>
    <n v="3"/>
    <n v="1.47"/>
    <x v="10"/>
    <x v="0"/>
  </r>
  <r>
    <n v="44521"/>
    <x v="523"/>
    <x v="3"/>
    <x v="0"/>
    <x v="0"/>
    <x v="284"/>
    <n v="12.96"/>
    <n v="2"/>
    <n v="6.22"/>
    <x v="10"/>
    <x v="0"/>
  </r>
  <r>
    <n v="44521"/>
    <x v="527"/>
    <x v="0"/>
    <x v="0"/>
    <x v="10"/>
    <x v="229"/>
    <n v="1.63"/>
    <n v="1"/>
    <n v="0.55000000000000004"/>
    <x v="10"/>
    <x v="0"/>
  </r>
  <r>
    <n v="44521"/>
    <x v="527"/>
    <x v="0"/>
    <x v="2"/>
    <x v="6"/>
    <x v="292"/>
    <n v="267.95999999999998"/>
    <n v="5"/>
    <n v="16.75"/>
    <x v="10"/>
    <x v="0"/>
  </r>
  <r>
    <n v="44521"/>
    <x v="528"/>
    <x v="3"/>
    <x v="0"/>
    <x v="0"/>
    <x v="1071"/>
    <n v="6.58"/>
    <n v="2"/>
    <n v="3.03"/>
    <x v="10"/>
    <x v="0"/>
  </r>
  <r>
    <n v="44521"/>
    <x v="528"/>
    <x v="3"/>
    <x v="2"/>
    <x v="9"/>
    <x v="324"/>
    <n v="94.99"/>
    <n v="1"/>
    <n v="28.5"/>
    <x v="10"/>
    <x v="0"/>
  </r>
  <r>
    <n v="44522"/>
    <x v="141"/>
    <x v="4"/>
    <x v="0"/>
    <x v="10"/>
    <x v="1072"/>
    <n v="16.23"/>
    <n v="3"/>
    <n v="7.95"/>
    <x v="10"/>
    <x v="0"/>
  </r>
  <r>
    <n v="44522"/>
    <x v="141"/>
    <x v="4"/>
    <x v="0"/>
    <x v="3"/>
    <x v="413"/>
    <n v="319.89999999999998"/>
    <n v="5"/>
    <n v="156.75"/>
    <x v="10"/>
    <x v="0"/>
  </r>
  <r>
    <n v="44522"/>
    <x v="141"/>
    <x v="4"/>
    <x v="0"/>
    <x v="10"/>
    <x v="21"/>
    <n v="11.36"/>
    <n v="2"/>
    <n v="5.34"/>
    <x v="10"/>
    <x v="0"/>
  </r>
  <r>
    <n v="44522"/>
    <x v="141"/>
    <x v="4"/>
    <x v="0"/>
    <x v="12"/>
    <x v="1073"/>
    <n v="675.12"/>
    <n v="3"/>
    <n v="290.3"/>
    <x v="10"/>
    <x v="0"/>
  </r>
  <r>
    <n v="44522"/>
    <x v="216"/>
    <x v="0"/>
    <x v="0"/>
    <x v="3"/>
    <x v="459"/>
    <n v="6.93"/>
    <n v="1"/>
    <n v="-11.08"/>
    <x v="10"/>
    <x v="0"/>
  </r>
  <r>
    <n v="44522"/>
    <x v="529"/>
    <x v="1"/>
    <x v="0"/>
    <x v="3"/>
    <x v="970"/>
    <n v="9.98"/>
    <n v="5"/>
    <n v="-16.47"/>
    <x v="10"/>
    <x v="0"/>
  </r>
  <r>
    <n v="44522"/>
    <x v="530"/>
    <x v="3"/>
    <x v="0"/>
    <x v="0"/>
    <x v="563"/>
    <n v="53.82"/>
    <n v="9"/>
    <n v="24.22"/>
    <x v="10"/>
    <x v="0"/>
  </r>
  <r>
    <n v="44522"/>
    <x v="357"/>
    <x v="4"/>
    <x v="0"/>
    <x v="0"/>
    <x v="1074"/>
    <n v="9.9600000000000009"/>
    <n v="2"/>
    <n v="4.88"/>
    <x v="10"/>
    <x v="0"/>
  </r>
  <r>
    <n v="44523"/>
    <x v="42"/>
    <x v="3"/>
    <x v="1"/>
    <x v="5"/>
    <x v="120"/>
    <n v="603.91999999999996"/>
    <n v="5"/>
    <n v="-67.94"/>
    <x v="10"/>
    <x v="0"/>
  </r>
  <r>
    <n v="44523"/>
    <x v="42"/>
    <x v="3"/>
    <x v="0"/>
    <x v="10"/>
    <x v="934"/>
    <n v="21.84"/>
    <n v="3"/>
    <n v="10.48"/>
    <x v="10"/>
    <x v="0"/>
  </r>
  <r>
    <n v="44523"/>
    <x v="42"/>
    <x v="3"/>
    <x v="2"/>
    <x v="9"/>
    <x v="991"/>
    <n v="29.99"/>
    <n v="1"/>
    <n v="6.3"/>
    <x v="10"/>
    <x v="0"/>
  </r>
  <r>
    <n v="44523"/>
    <x v="42"/>
    <x v="3"/>
    <x v="1"/>
    <x v="5"/>
    <x v="1075"/>
    <n v="381.44"/>
    <n v="2"/>
    <n v="23.84"/>
    <x v="10"/>
    <x v="0"/>
  </r>
  <r>
    <n v="44523"/>
    <x v="341"/>
    <x v="0"/>
    <x v="0"/>
    <x v="1"/>
    <x v="798"/>
    <n v="23.68"/>
    <n v="2"/>
    <n v="8.8800000000000008"/>
    <x v="10"/>
    <x v="0"/>
  </r>
  <r>
    <n v="44523"/>
    <x v="531"/>
    <x v="0"/>
    <x v="1"/>
    <x v="8"/>
    <x v="626"/>
    <n v="6.37"/>
    <n v="2"/>
    <n v="-2.5499999999999998"/>
    <x v="10"/>
    <x v="0"/>
  </r>
  <r>
    <n v="44523"/>
    <x v="531"/>
    <x v="0"/>
    <x v="0"/>
    <x v="12"/>
    <x v="1076"/>
    <n v="34.18"/>
    <n v="3"/>
    <n v="-87.15"/>
    <x v="10"/>
    <x v="0"/>
  </r>
  <r>
    <n v="44523"/>
    <x v="531"/>
    <x v="0"/>
    <x v="2"/>
    <x v="9"/>
    <x v="589"/>
    <n v="5.54"/>
    <n v="7"/>
    <n v="1.66"/>
    <x v="10"/>
    <x v="0"/>
  </r>
  <r>
    <n v="44523"/>
    <x v="532"/>
    <x v="2"/>
    <x v="0"/>
    <x v="10"/>
    <x v="1077"/>
    <n v="62.81"/>
    <n v="3"/>
    <n v="21.2"/>
    <x v="10"/>
    <x v="0"/>
  </r>
  <r>
    <n v="44523"/>
    <x v="533"/>
    <x v="12"/>
    <x v="0"/>
    <x v="10"/>
    <x v="21"/>
    <n v="23.47"/>
    <n v="3"/>
    <n v="8.8000000000000007"/>
    <x v="10"/>
    <x v="0"/>
  </r>
  <r>
    <n v="44523"/>
    <x v="105"/>
    <x v="0"/>
    <x v="1"/>
    <x v="5"/>
    <x v="1078"/>
    <n v="155.37"/>
    <n v="2"/>
    <n v="-35.51"/>
    <x v="10"/>
    <x v="0"/>
  </r>
  <r>
    <n v="44523"/>
    <x v="239"/>
    <x v="14"/>
    <x v="0"/>
    <x v="3"/>
    <x v="1079"/>
    <n v="14.67"/>
    <n v="3"/>
    <n v="6.75"/>
    <x v="10"/>
    <x v="0"/>
  </r>
  <r>
    <n v="44524"/>
    <x v="534"/>
    <x v="10"/>
    <x v="0"/>
    <x v="4"/>
    <x v="268"/>
    <n v="2.62"/>
    <n v="1"/>
    <n v="0.43"/>
    <x v="10"/>
    <x v="0"/>
  </r>
  <r>
    <n v="44524"/>
    <x v="339"/>
    <x v="3"/>
    <x v="1"/>
    <x v="8"/>
    <x v="676"/>
    <n v="151.72"/>
    <n v="4"/>
    <n v="27.31"/>
    <x v="10"/>
    <x v="0"/>
  </r>
  <r>
    <n v="44524"/>
    <x v="535"/>
    <x v="22"/>
    <x v="0"/>
    <x v="3"/>
    <x v="1056"/>
    <n v="12.1"/>
    <n v="7"/>
    <n v="4.2300000000000004"/>
    <x v="10"/>
    <x v="0"/>
  </r>
  <r>
    <n v="44524"/>
    <x v="535"/>
    <x v="22"/>
    <x v="0"/>
    <x v="2"/>
    <x v="144"/>
    <n v="485.88"/>
    <n v="6"/>
    <n v="9.7200000000000006"/>
    <x v="10"/>
    <x v="0"/>
  </r>
  <r>
    <n v="44524"/>
    <x v="535"/>
    <x v="22"/>
    <x v="0"/>
    <x v="0"/>
    <x v="114"/>
    <n v="25.92"/>
    <n v="4"/>
    <n v="12.44"/>
    <x v="10"/>
    <x v="0"/>
  </r>
  <r>
    <n v="44524"/>
    <x v="535"/>
    <x v="22"/>
    <x v="0"/>
    <x v="2"/>
    <x v="1080"/>
    <n v="197.58"/>
    <n v="2"/>
    <n v="53.35"/>
    <x v="10"/>
    <x v="0"/>
  </r>
  <r>
    <n v="44524"/>
    <x v="77"/>
    <x v="24"/>
    <x v="2"/>
    <x v="9"/>
    <x v="1081"/>
    <n v="111.79"/>
    <n v="7"/>
    <n v="43.6"/>
    <x v="10"/>
    <x v="0"/>
  </r>
  <r>
    <n v="44524"/>
    <x v="15"/>
    <x v="3"/>
    <x v="1"/>
    <x v="5"/>
    <x v="1082"/>
    <n v="120.71"/>
    <n v="1"/>
    <n v="-18.11"/>
    <x v="10"/>
    <x v="0"/>
  </r>
  <r>
    <n v="44524"/>
    <x v="168"/>
    <x v="10"/>
    <x v="2"/>
    <x v="6"/>
    <x v="1021"/>
    <n v="1049.97"/>
    <n v="5"/>
    <n v="-209.99"/>
    <x v="10"/>
    <x v="0"/>
  </r>
  <r>
    <n v="44524"/>
    <x v="168"/>
    <x v="10"/>
    <x v="1"/>
    <x v="5"/>
    <x v="1083"/>
    <n v="611.05999999999995"/>
    <n v="3"/>
    <n v="-34.92"/>
    <x v="10"/>
    <x v="0"/>
  </r>
  <r>
    <n v="44524"/>
    <x v="536"/>
    <x v="1"/>
    <x v="0"/>
    <x v="2"/>
    <x v="899"/>
    <n v="646.20000000000005"/>
    <n v="5"/>
    <n v="-8.08"/>
    <x v="10"/>
    <x v="0"/>
  </r>
  <r>
    <n v="44524"/>
    <x v="433"/>
    <x v="10"/>
    <x v="1"/>
    <x v="8"/>
    <x v="1084"/>
    <n v="35.17"/>
    <n v="7"/>
    <n v="9.67"/>
    <x v="10"/>
    <x v="0"/>
  </r>
  <r>
    <n v="44524"/>
    <x v="433"/>
    <x v="10"/>
    <x v="2"/>
    <x v="6"/>
    <x v="1085"/>
    <n v="1502.38"/>
    <n v="4"/>
    <n v="-250.4"/>
    <x v="10"/>
    <x v="0"/>
  </r>
  <r>
    <n v="44524"/>
    <x v="537"/>
    <x v="14"/>
    <x v="0"/>
    <x v="4"/>
    <x v="794"/>
    <n v="151.91999999999999"/>
    <n v="4"/>
    <n v="45.58"/>
    <x v="10"/>
    <x v="0"/>
  </r>
  <r>
    <n v="44524"/>
    <x v="537"/>
    <x v="14"/>
    <x v="0"/>
    <x v="1"/>
    <x v="493"/>
    <n v="196.62"/>
    <n v="2"/>
    <n v="96.34"/>
    <x v="10"/>
    <x v="0"/>
  </r>
  <r>
    <n v="44524"/>
    <x v="537"/>
    <x v="14"/>
    <x v="0"/>
    <x v="0"/>
    <x v="1086"/>
    <n v="144.12"/>
    <n v="3"/>
    <n v="69.180000000000007"/>
    <x v="10"/>
    <x v="0"/>
  </r>
  <r>
    <n v="44524"/>
    <x v="537"/>
    <x v="14"/>
    <x v="0"/>
    <x v="0"/>
    <x v="452"/>
    <n v="15.96"/>
    <n v="2"/>
    <n v="7.98"/>
    <x v="10"/>
    <x v="0"/>
  </r>
  <r>
    <n v="44524"/>
    <x v="187"/>
    <x v="6"/>
    <x v="1"/>
    <x v="8"/>
    <x v="1087"/>
    <n v="111.15"/>
    <n v="5"/>
    <n v="48.91"/>
    <x v="10"/>
    <x v="0"/>
  </r>
  <r>
    <n v="44524"/>
    <x v="538"/>
    <x v="10"/>
    <x v="0"/>
    <x v="3"/>
    <x v="1088"/>
    <n v="5.74"/>
    <n v="3"/>
    <n v="-4.59"/>
    <x v="10"/>
    <x v="0"/>
  </r>
  <r>
    <n v="44525"/>
    <x v="230"/>
    <x v="3"/>
    <x v="0"/>
    <x v="12"/>
    <x v="316"/>
    <n v="320.88"/>
    <n v="6"/>
    <n v="93.06"/>
    <x v="10"/>
    <x v="0"/>
  </r>
  <r>
    <n v="44525"/>
    <x v="230"/>
    <x v="3"/>
    <x v="1"/>
    <x v="8"/>
    <x v="626"/>
    <n v="23.88"/>
    <n v="3"/>
    <n v="10.51"/>
    <x v="10"/>
    <x v="0"/>
  </r>
  <r>
    <n v="44525"/>
    <x v="230"/>
    <x v="3"/>
    <x v="0"/>
    <x v="0"/>
    <x v="1089"/>
    <n v="26.76"/>
    <n v="4"/>
    <n v="12.31"/>
    <x v="10"/>
    <x v="0"/>
  </r>
  <r>
    <n v="44525"/>
    <x v="212"/>
    <x v="0"/>
    <x v="2"/>
    <x v="9"/>
    <x v="754"/>
    <n v="24.67"/>
    <n v="3"/>
    <n v="0"/>
    <x v="10"/>
    <x v="0"/>
  </r>
  <r>
    <n v="44525"/>
    <x v="212"/>
    <x v="0"/>
    <x v="0"/>
    <x v="1"/>
    <x v="1090"/>
    <n v="2.52"/>
    <n v="1"/>
    <n v="0.88"/>
    <x v="10"/>
    <x v="0"/>
  </r>
  <r>
    <n v="44525"/>
    <x v="212"/>
    <x v="0"/>
    <x v="1"/>
    <x v="13"/>
    <x v="1091"/>
    <n v="1218.74"/>
    <n v="5"/>
    <n v="-121.87"/>
    <x v="10"/>
    <x v="0"/>
  </r>
  <r>
    <n v="44525"/>
    <x v="212"/>
    <x v="0"/>
    <x v="0"/>
    <x v="1"/>
    <x v="1092"/>
    <n v="5.9"/>
    <n v="2"/>
    <n v="1.99"/>
    <x v="10"/>
    <x v="0"/>
  </r>
  <r>
    <n v="44525"/>
    <x v="212"/>
    <x v="0"/>
    <x v="0"/>
    <x v="0"/>
    <x v="13"/>
    <n v="15.7"/>
    <n v="3"/>
    <n v="5.0999999999999996"/>
    <x v="10"/>
    <x v="0"/>
  </r>
  <r>
    <n v="44525"/>
    <x v="212"/>
    <x v="0"/>
    <x v="1"/>
    <x v="8"/>
    <x v="112"/>
    <n v="6.1"/>
    <n v="3"/>
    <n v="-3.96"/>
    <x v="10"/>
    <x v="0"/>
  </r>
  <r>
    <n v="44525"/>
    <x v="539"/>
    <x v="43"/>
    <x v="1"/>
    <x v="8"/>
    <x v="34"/>
    <n v="52.96"/>
    <n v="2"/>
    <n v="20.12"/>
    <x v="10"/>
    <x v="0"/>
  </r>
  <r>
    <n v="44525"/>
    <x v="109"/>
    <x v="20"/>
    <x v="0"/>
    <x v="2"/>
    <x v="479"/>
    <n v="1117.92"/>
    <n v="4"/>
    <n v="55.9"/>
    <x v="10"/>
    <x v="0"/>
  </r>
  <r>
    <n v="44525"/>
    <x v="109"/>
    <x v="20"/>
    <x v="1"/>
    <x v="11"/>
    <x v="1093"/>
    <n v="275.95"/>
    <n v="3"/>
    <n v="-37.94"/>
    <x v="10"/>
    <x v="0"/>
  </r>
  <r>
    <n v="44525"/>
    <x v="145"/>
    <x v="11"/>
    <x v="0"/>
    <x v="4"/>
    <x v="72"/>
    <n v="51.02"/>
    <n v="7"/>
    <n v="8.2899999999999991"/>
    <x v="10"/>
    <x v="0"/>
  </r>
  <r>
    <n v="44525"/>
    <x v="77"/>
    <x v="3"/>
    <x v="2"/>
    <x v="6"/>
    <x v="1094"/>
    <n v="539.91999999999996"/>
    <n v="5"/>
    <n v="47.24"/>
    <x v="10"/>
    <x v="0"/>
  </r>
  <r>
    <n v="44525"/>
    <x v="77"/>
    <x v="3"/>
    <x v="1"/>
    <x v="5"/>
    <x v="668"/>
    <n v="725.34"/>
    <n v="4"/>
    <n v="54.4"/>
    <x v="10"/>
    <x v="0"/>
  </r>
  <r>
    <n v="44525"/>
    <x v="77"/>
    <x v="3"/>
    <x v="0"/>
    <x v="4"/>
    <x v="108"/>
    <n v="7.44"/>
    <n v="3"/>
    <n v="2.6"/>
    <x v="10"/>
    <x v="0"/>
  </r>
  <r>
    <n v="44526"/>
    <x v="264"/>
    <x v="0"/>
    <x v="1"/>
    <x v="8"/>
    <x v="45"/>
    <n v="19.3"/>
    <n v="5"/>
    <n v="-14.48"/>
    <x v="10"/>
    <x v="0"/>
  </r>
  <r>
    <n v="44526"/>
    <x v="262"/>
    <x v="11"/>
    <x v="0"/>
    <x v="0"/>
    <x v="507"/>
    <n v="15.55"/>
    <n v="3"/>
    <n v="5.44"/>
    <x v="10"/>
    <x v="0"/>
  </r>
  <r>
    <n v="44526"/>
    <x v="262"/>
    <x v="11"/>
    <x v="0"/>
    <x v="2"/>
    <x v="525"/>
    <n v="669.08"/>
    <n v="5"/>
    <n v="-167.27"/>
    <x v="10"/>
    <x v="0"/>
  </r>
  <r>
    <n v="44526"/>
    <x v="262"/>
    <x v="11"/>
    <x v="2"/>
    <x v="6"/>
    <x v="687"/>
    <n v="438.34"/>
    <n v="4"/>
    <n v="-87.67"/>
    <x v="10"/>
    <x v="0"/>
  </r>
  <r>
    <n v="44526"/>
    <x v="471"/>
    <x v="3"/>
    <x v="0"/>
    <x v="0"/>
    <x v="1025"/>
    <n v="81.98"/>
    <n v="2"/>
    <n v="40.17"/>
    <x v="10"/>
    <x v="0"/>
  </r>
  <r>
    <n v="44526"/>
    <x v="462"/>
    <x v="20"/>
    <x v="2"/>
    <x v="6"/>
    <x v="1095"/>
    <n v="279.95999999999998"/>
    <n v="4"/>
    <n v="78.39"/>
    <x v="10"/>
    <x v="0"/>
  </r>
  <r>
    <n v="44526"/>
    <x v="462"/>
    <x v="20"/>
    <x v="0"/>
    <x v="3"/>
    <x v="374"/>
    <n v="12.91"/>
    <n v="3"/>
    <n v="4.68"/>
    <x v="10"/>
    <x v="0"/>
  </r>
  <r>
    <n v="44526"/>
    <x v="462"/>
    <x v="20"/>
    <x v="0"/>
    <x v="3"/>
    <x v="105"/>
    <n v="17.09"/>
    <n v="4"/>
    <n v="5.77"/>
    <x v="10"/>
    <x v="0"/>
  </r>
  <r>
    <n v="44526"/>
    <x v="462"/>
    <x v="20"/>
    <x v="0"/>
    <x v="1"/>
    <x v="1096"/>
    <n v="93.15"/>
    <n v="9"/>
    <n v="44.71"/>
    <x v="10"/>
    <x v="0"/>
  </r>
  <r>
    <n v="44526"/>
    <x v="462"/>
    <x v="20"/>
    <x v="0"/>
    <x v="1"/>
    <x v="349"/>
    <n v="11.52"/>
    <n v="4"/>
    <n v="5.64"/>
    <x v="10"/>
    <x v="0"/>
  </r>
  <r>
    <n v="44526"/>
    <x v="465"/>
    <x v="3"/>
    <x v="0"/>
    <x v="3"/>
    <x v="106"/>
    <n v="4.32"/>
    <n v="3"/>
    <n v="1.51"/>
    <x v="10"/>
    <x v="0"/>
  </r>
  <r>
    <n v="44526"/>
    <x v="465"/>
    <x v="3"/>
    <x v="0"/>
    <x v="0"/>
    <x v="1097"/>
    <n v="14.94"/>
    <n v="3"/>
    <n v="7.02"/>
    <x v="10"/>
    <x v="0"/>
  </r>
  <r>
    <n v="44526"/>
    <x v="465"/>
    <x v="3"/>
    <x v="0"/>
    <x v="12"/>
    <x v="38"/>
    <n v="40.54"/>
    <n v="2"/>
    <n v="11.35"/>
    <x v="10"/>
    <x v="0"/>
  </r>
  <r>
    <n v="44526"/>
    <x v="465"/>
    <x v="3"/>
    <x v="0"/>
    <x v="3"/>
    <x v="529"/>
    <n v="7.31"/>
    <n v="1"/>
    <n v="2.56"/>
    <x v="10"/>
    <x v="0"/>
  </r>
  <r>
    <n v="44527"/>
    <x v="282"/>
    <x v="20"/>
    <x v="0"/>
    <x v="7"/>
    <x v="78"/>
    <n v="3.76"/>
    <n v="2"/>
    <n v="1.32"/>
    <x v="10"/>
    <x v="0"/>
  </r>
  <r>
    <n v="44527"/>
    <x v="4"/>
    <x v="20"/>
    <x v="1"/>
    <x v="8"/>
    <x v="1098"/>
    <n v="199.9"/>
    <n v="5"/>
    <n v="39.979999999999997"/>
    <x v="10"/>
    <x v="0"/>
  </r>
  <r>
    <n v="44528"/>
    <x v="540"/>
    <x v="33"/>
    <x v="0"/>
    <x v="4"/>
    <x v="1099"/>
    <n v="14.67"/>
    <n v="3"/>
    <n v="3.96"/>
    <x v="10"/>
    <x v="0"/>
  </r>
  <r>
    <n v="44528"/>
    <x v="541"/>
    <x v="20"/>
    <x v="0"/>
    <x v="3"/>
    <x v="39"/>
    <n v="17.25"/>
    <n v="2"/>
    <n v="6.04"/>
    <x v="10"/>
    <x v="0"/>
  </r>
  <r>
    <n v="44528"/>
    <x v="10"/>
    <x v="9"/>
    <x v="1"/>
    <x v="8"/>
    <x v="1100"/>
    <n v="397.6"/>
    <n v="5"/>
    <n v="43.74"/>
    <x v="10"/>
    <x v="0"/>
  </r>
  <r>
    <n v="44528"/>
    <x v="10"/>
    <x v="9"/>
    <x v="0"/>
    <x v="0"/>
    <x v="369"/>
    <n v="85.96"/>
    <n v="7"/>
    <n v="40.4"/>
    <x v="10"/>
    <x v="0"/>
  </r>
  <r>
    <n v="44528"/>
    <x v="10"/>
    <x v="9"/>
    <x v="0"/>
    <x v="4"/>
    <x v="268"/>
    <n v="13.12"/>
    <n v="4"/>
    <n v="4.33"/>
    <x v="10"/>
    <x v="0"/>
  </r>
  <r>
    <n v="44528"/>
    <x v="10"/>
    <x v="9"/>
    <x v="0"/>
    <x v="3"/>
    <x v="185"/>
    <n v="45.66"/>
    <n v="3"/>
    <n v="22.37"/>
    <x v="10"/>
    <x v="0"/>
  </r>
  <r>
    <n v="44528"/>
    <x v="347"/>
    <x v="3"/>
    <x v="0"/>
    <x v="14"/>
    <x v="488"/>
    <n v="7.36"/>
    <n v="2"/>
    <n v="0.15"/>
    <x v="10"/>
    <x v="0"/>
  </r>
  <r>
    <n v="44528"/>
    <x v="347"/>
    <x v="3"/>
    <x v="0"/>
    <x v="1"/>
    <x v="1101"/>
    <n v="41.4"/>
    <n v="4"/>
    <n v="19.87"/>
    <x v="10"/>
    <x v="0"/>
  </r>
  <r>
    <n v="44528"/>
    <x v="347"/>
    <x v="3"/>
    <x v="1"/>
    <x v="11"/>
    <x v="1102"/>
    <n v="411.33"/>
    <n v="4"/>
    <n v="-4.84"/>
    <x v="10"/>
    <x v="0"/>
  </r>
  <r>
    <n v="44528"/>
    <x v="320"/>
    <x v="3"/>
    <x v="0"/>
    <x v="12"/>
    <x v="460"/>
    <n v="43.68"/>
    <n v="3"/>
    <n v="11.79"/>
    <x v="10"/>
    <x v="0"/>
  </r>
  <r>
    <n v="44528"/>
    <x v="320"/>
    <x v="3"/>
    <x v="2"/>
    <x v="9"/>
    <x v="1103"/>
    <n v="139.93"/>
    <n v="7"/>
    <n v="34.979999999999997"/>
    <x v="10"/>
    <x v="0"/>
  </r>
  <r>
    <n v="44528"/>
    <x v="542"/>
    <x v="0"/>
    <x v="2"/>
    <x v="15"/>
    <x v="766"/>
    <n v="998.85"/>
    <n v="5"/>
    <n v="-199.77"/>
    <x v="10"/>
    <x v="0"/>
  </r>
  <r>
    <n v="44528"/>
    <x v="543"/>
    <x v="18"/>
    <x v="0"/>
    <x v="10"/>
    <x v="1104"/>
    <n v="64.02"/>
    <n v="6"/>
    <n v="29.45"/>
    <x v="10"/>
    <x v="0"/>
  </r>
  <r>
    <n v="44529"/>
    <x v="261"/>
    <x v="2"/>
    <x v="0"/>
    <x v="1"/>
    <x v="348"/>
    <n v="5.04"/>
    <n v="2"/>
    <n v="1.76"/>
    <x v="10"/>
    <x v="0"/>
  </r>
  <r>
    <n v="44529"/>
    <x v="544"/>
    <x v="1"/>
    <x v="0"/>
    <x v="7"/>
    <x v="78"/>
    <n v="12.62"/>
    <n v="2"/>
    <n v="3.95"/>
    <x v="10"/>
    <x v="0"/>
  </r>
  <r>
    <n v="44529"/>
    <x v="545"/>
    <x v="3"/>
    <x v="2"/>
    <x v="6"/>
    <x v="548"/>
    <n v="575.91999999999996"/>
    <n v="2"/>
    <n v="71.989999999999995"/>
    <x v="10"/>
    <x v="0"/>
  </r>
  <r>
    <n v="44529"/>
    <x v="545"/>
    <x v="3"/>
    <x v="0"/>
    <x v="7"/>
    <x v="78"/>
    <n v="30.4"/>
    <n v="5"/>
    <n v="15.2"/>
    <x v="10"/>
    <x v="0"/>
  </r>
  <r>
    <n v="44529"/>
    <x v="300"/>
    <x v="20"/>
    <x v="0"/>
    <x v="1"/>
    <x v="634"/>
    <n v="25.06"/>
    <n v="2"/>
    <n v="11.78"/>
    <x v="10"/>
    <x v="0"/>
  </r>
  <r>
    <n v="44530"/>
    <x v="506"/>
    <x v="20"/>
    <x v="0"/>
    <x v="10"/>
    <x v="1105"/>
    <n v="62.28"/>
    <n v="4"/>
    <n v="29.27"/>
    <x v="10"/>
    <x v="0"/>
  </r>
  <r>
    <n v="44530"/>
    <x v="211"/>
    <x v="16"/>
    <x v="0"/>
    <x v="3"/>
    <x v="1005"/>
    <n v="6.64"/>
    <n v="9"/>
    <n v="-4.43"/>
    <x v="10"/>
    <x v="0"/>
  </r>
  <r>
    <n v="44530"/>
    <x v="300"/>
    <x v="12"/>
    <x v="0"/>
    <x v="14"/>
    <x v="472"/>
    <n v="47.99"/>
    <n v="7"/>
    <n v="3.6"/>
    <x v="10"/>
    <x v="0"/>
  </r>
  <r>
    <n v="44530"/>
    <x v="300"/>
    <x v="12"/>
    <x v="2"/>
    <x v="9"/>
    <x v="1106"/>
    <n v="102.24"/>
    <n v="4"/>
    <n v="-16.61"/>
    <x v="10"/>
    <x v="0"/>
  </r>
  <r>
    <n v="44531"/>
    <x v="218"/>
    <x v="21"/>
    <x v="1"/>
    <x v="5"/>
    <x v="1107"/>
    <n v="2807.84"/>
    <n v="8"/>
    <n v="673.88"/>
    <x v="11"/>
    <x v="0"/>
  </r>
  <r>
    <n v="44531"/>
    <x v="218"/>
    <x v="21"/>
    <x v="0"/>
    <x v="4"/>
    <x v="536"/>
    <n v="46.64"/>
    <n v="4"/>
    <n v="12.59"/>
    <x v="11"/>
    <x v="0"/>
  </r>
  <r>
    <n v="44531"/>
    <x v="546"/>
    <x v="3"/>
    <x v="1"/>
    <x v="8"/>
    <x v="1108"/>
    <n v="58.2"/>
    <n v="3"/>
    <n v="28.52"/>
    <x v="11"/>
    <x v="0"/>
  </r>
  <r>
    <n v="44531"/>
    <x v="263"/>
    <x v="25"/>
    <x v="2"/>
    <x v="6"/>
    <x v="1109"/>
    <n v="95.97"/>
    <n v="4"/>
    <n v="9.6"/>
    <x v="11"/>
    <x v="0"/>
  </r>
  <r>
    <n v="44531"/>
    <x v="519"/>
    <x v="10"/>
    <x v="2"/>
    <x v="16"/>
    <x v="679"/>
    <n v="659.99"/>
    <n v="2"/>
    <n v="110"/>
    <x v="11"/>
    <x v="0"/>
  </r>
  <r>
    <n v="44531"/>
    <x v="519"/>
    <x v="10"/>
    <x v="1"/>
    <x v="8"/>
    <x v="112"/>
    <n v="8.1300000000000008"/>
    <n v="2"/>
    <n v="1.42"/>
    <x v="11"/>
    <x v="0"/>
  </r>
  <r>
    <n v="44531"/>
    <x v="519"/>
    <x v="10"/>
    <x v="0"/>
    <x v="0"/>
    <x v="1110"/>
    <n v="36.29"/>
    <n v="7"/>
    <n v="12.7"/>
    <x v="11"/>
    <x v="0"/>
  </r>
  <r>
    <n v="44531"/>
    <x v="519"/>
    <x v="10"/>
    <x v="1"/>
    <x v="5"/>
    <x v="395"/>
    <n v="909.72"/>
    <n v="6"/>
    <n v="-51.98"/>
    <x v="11"/>
    <x v="0"/>
  </r>
  <r>
    <n v="44531"/>
    <x v="91"/>
    <x v="0"/>
    <x v="1"/>
    <x v="5"/>
    <x v="1111"/>
    <n v="674.06"/>
    <n v="3"/>
    <n v="-19.260000000000002"/>
    <x v="11"/>
    <x v="0"/>
  </r>
  <r>
    <n v="44531"/>
    <x v="266"/>
    <x v="32"/>
    <x v="2"/>
    <x v="6"/>
    <x v="981"/>
    <n v="271.89999999999998"/>
    <n v="2"/>
    <n v="78.849999999999994"/>
    <x v="11"/>
    <x v="0"/>
  </r>
  <r>
    <n v="44531"/>
    <x v="266"/>
    <x v="32"/>
    <x v="1"/>
    <x v="8"/>
    <x v="1112"/>
    <n v="45.84"/>
    <n v="3"/>
    <n v="15.59"/>
    <x v="11"/>
    <x v="0"/>
  </r>
  <r>
    <n v="44531"/>
    <x v="266"/>
    <x v="32"/>
    <x v="1"/>
    <x v="8"/>
    <x v="55"/>
    <n v="9.82"/>
    <n v="2"/>
    <n v="3.24"/>
    <x v="11"/>
    <x v="0"/>
  </r>
  <r>
    <n v="44532"/>
    <x v="547"/>
    <x v="20"/>
    <x v="2"/>
    <x v="9"/>
    <x v="33"/>
    <n v="119.96"/>
    <n v="4"/>
    <n v="52.78"/>
    <x v="11"/>
    <x v="0"/>
  </r>
  <r>
    <n v="44532"/>
    <x v="547"/>
    <x v="20"/>
    <x v="1"/>
    <x v="11"/>
    <x v="469"/>
    <n v="883.92"/>
    <n v="5"/>
    <n v="-110.49"/>
    <x v="11"/>
    <x v="0"/>
  </r>
  <r>
    <n v="44532"/>
    <x v="547"/>
    <x v="20"/>
    <x v="0"/>
    <x v="3"/>
    <x v="772"/>
    <n v="46.72"/>
    <n v="8"/>
    <n v="15.77"/>
    <x v="11"/>
    <x v="0"/>
  </r>
  <r>
    <n v="44532"/>
    <x v="548"/>
    <x v="0"/>
    <x v="1"/>
    <x v="8"/>
    <x v="886"/>
    <n v="58.36"/>
    <n v="5"/>
    <n v="-24.8"/>
    <x v="11"/>
    <x v="0"/>
  </r>
  <r>
    <n v="44532"/>
    <x v="548"/>
    <x v="0"/>
    <x v="0"/>
    <x v="4"/>
    <x v="1000"/>
    <n v="16.46"/>
    <n v="7"/>
    <n v="1.44"/>
    <x v="11"/>
    <x v="0"/>
  </r>
  <r>
    <n v="44532"/>
    <x v="548"/>
    <x v="0"/>
    <x v="1"/>
    <x v="8"/>
    <x v="1113"/>
    <n v="39.96"/>
    <n v="5"/>
    <n v="-23.98"/>
    <x v="11"/>
    <x v="0"/>
  </r>
  <r>
    <n v="44532"/>
    <x v="549"/>
    <x v="10"/>
    <x v="2"/>
    <x v="9"/>
    <x v="1114"/>
    <n v="119.8"/>
    <n v="5"/>
    <n v="29.95"/>
    <x v="11"/>
    <x v="0"/>
  </r>
  <r>
    <n v="44532"/>
    <x v="550"/>
    <x v="1"/>
    <x v="0"/>
    <x v="12"/>
    <x v="394"/>
    <n v="2.39"/>
    <n v="1"/>
    <n v="-6.34"/>
    <x v="11"/>
    <x v="0"/>
  </r>
  <r>
    <n v="44532"/>
    <x v="402"/>
    <x v="36"/>
    <x v="1"/>
    <x v="8"/>
    <x v="1115"/>
    <n v="60.72"/>
    <n v="3"/>
    <n v="23.68"/>
    <x v="11"/>
    <x v="0"/>
  </r>
  <r>
    <n v="44532"/>
    <x v="402"/>
    <x v="36"/>
    <x v="0"/>
    <x v="0"/>
    <x v="819"/>
    <n v="146.82"/>
    <n v="3"/>
    <n v="73.41"/>
    <x v="11"/>
    <x v="0"/>
  </r>
  <r>
    <n v="44532"/>
    <x v="402"/>
    <x v="36"/>
    <x v="1"/>
    <x v="5"/>
    <x v="1004"/>
    <n v="239.84"/>
    <n v="8"/>
    <n v="64.760000000000005"/>
    <x v="11"/>
    <x v="0"/>
  </r>
  <r>
    <n v="44532"/>
    <x v="402"/>
    <x v="36"/>
    <x v="0"/>
    <x v="1"/>
    <x v="1116"/>
    <n v="15.66"/>
    <n v="6"/>
    <n v="7.2"/>
    <x v="11"/>
    <x v="0"/>
  </r>
  <r>
    <n v="44532"/>
    <x v="551"/>
    <x v="4"/>
    <x v="2"/>
    <x v="9"/>
    <x v="1117"/>
    <n v="5.95"/>
    <n v="1"/>
    <n v="0.83"/>
    <x v="11"/>
    <x v="0"/>
  </r>
  <r>
    <n v="44532"/>
    <x v="551"/>
    <x v="4"/>
    <x v="0"/>
    <x v="0"/>
    <x v="976"/>
    <n v="15.24"/>
    <n v="3"/>
    <n v="7.16"/>
    <x v="11"/>
    <x v="0"/>
  </r>
  <r>
    <n v="44533"/>
    <x v="534"/>
    <x v="39"/>
    <x v="2"/>
    <x v="6"/>
    <x v="1118"/>
    <n v="479.96"/>
    <n v="4"/>
    <n v="134.38999999999999"/>
    <x v="11"/>
    <x v="0"/>
  </r>
  <r>
    <n v="44533"/>
    <x v="543"/>
    <x v="24"/>
    <x v="0"/>
    <x v="0"/>
    <x v="1110"/>
    <n v="25.92"/>
    <n v="4"/>
    <n v="12.44"/>
    <x v="11"/>
    <x v="0"/>
  </r>
  <r>
    <n v="44534"/>
    <x v="552"/>
    <x v="20"/>
    <x v="2"/>
    <x v="6"/>
    <x v="980"/>
    <n v="129.97999999999999"/>
    <n v="2"/>
    <n v="62.39"/>
    <x v="11"/>
    <x v="0"/>
  </r>
  <r>
    <n v="44535"/>
    <x v="14"/>
    <x v="12"/>
    <x v="0"/>
    <x v="4"/>
    <x v="1119"/>
    <n v="1113.02"/>
    <n v="8"/>
    <n v="111.3"/>
    <x v="11"/>
    <x v="0"/>
  </r>
  <r>
    <n v="44535"/>
    <x v="14"/>
    <x v="12"/>
    <x v="2"/>
    <x v="6"/>
    <x v="432"/>
    <n v="167.97"/>
    <n v="4"/>
    <n v="62.99"/>
    <x v="11"/>
    <x v="0"/>
  </r>
  <r>
    <n v="44535"/>
    <x v="553"/>
    <x v="1"/>
    <x v="0"/>
    <x v="2"/>
    <x v="271"/>
    <n v="24.82"/>
    <n v="2"/>
    <n v="1.86"/>
    <x v="11"/>
    <x v="0"/>
  </r>
  <r>
    <n v="44535"/>
    <x v="553"/>
    <x v="1"/>
    <x v="2"/>
    <x v="9"/>
    <x v="279"/>
    <n v="408.74"/>
    <n v="7"/>
    <n v="76.64"/>
    <x v="11"/>
    <x v="0"/>
  </r>
  <r>
    <n v="44535"/>
    <x v="554"/>
    <x v="6"/>
    <x v="0"/>
    <x v="2"/>
    <x v="512"/>
    <n v="24.56"/>
    <n v="2"/>
    <n v="6.88"/>
    <x v="11"/>
    <x v="0"/>
  </r>
  <r>
    <n v="44535"/>
    <x v="555"/>
    <x v="2"/>
    <x v="0"/>
    <x v="10"/>
    <x v="323"/>
    <n v="348.49"/>
    <n v="7"/>
    <n v="117.61"/>
    <x v="11"/>
    <x v="0"/>
  </r>
  <r>
    <n v="44535"/>
    <x v="555"/>
    <x v="2"/>
    <x v="0"/>
    <x v="2"/>
    <x v="124"/>
    <n v="172.74"/>
    <n v="4"/>
    <n v="-30.23"/>
    <x v="11"/>
    <x v="0"/>
  </r>
  <r>
    <n v="44535"/>
    <x v="400"/>
    <x v="10"/>
    <x v="0"/>
    <x v="0"/>
    <x v="1025"/>
    <n v="98.38"/>
    <n v="3"/>
    <n v="35.659999999999997"/>
    <x v="11"/>
    <x v="0"/>
  </r>
  <r>
    <n v="44535"/>
    <x v="400"/>
    <x v="10"/>
    <x v="0"/>
    <x v="3"/>
    <x v="276"/>
    <n v="29.94"/>
    <n v="4"/>
    <n v="-23.95"/>
    <x v="11"/>
    <x v="0"/>
  </r>
  <r>
    <n v="44535"/>
    <x v="400"/>
    <x v="10"/>
    <x v="0"/>
    <x v="0"/>
    <x v="121"/>
    <n v="17.47"/>
    <n v="3"/>
    <n v="5.68"/>
    <x v="11"/>
    <x v="0"/>
  </r>
  <r>
    <n v="44535"/>
    <x v="400"/>
    <x v="10"/>
    <x v="2"/>
    <x v="6"/>
    <x v="1120"/>
    <n v="36.74"/>
    <n v="1"/>
    <n v="-9.18"/>
    <x v="11"/>
    <x v="0"/>
  </r>
  <r>
    <n v="44535"/>
    <x v="400"/>
    <x v="10"/>
    <x v="2"/>
    <x v="6"/>
    <x v="1121"/>
    <n v="179.94"/>
    <n v="2"/>
    <n v="-44.99"/>
    <x v="11"/>
    <x v="0"/>
  </r>
  <r>
    <n v="44535"/>
    <x v="556"/>
    <x v="3"/>
    <x v="0"/>
    <x v="4"/>
    <x v="793"/>
    <n v="26.46"/>
    <n v="9"/>
    <n v="11.91"/>
    <x v="11"/>
    <x v="0"/>
  </r>
  <r>
    <n v="44535"/>
    <x v="556"/>
    <x v="3"/>
    <x v="0"/>
    <x v="0"/>
    <x v="369"/>
    <n v="49.12"/>
    <n v="4"/>
    <n v="23.09"/>
    <x v="11"/>
    <x v="0"/>
  </r>
  <r>
    <n v="44535"/>
    <x v="556"/>
    <x v="3"/>
    <x v="0"/>
    <x v="7"/>
    <x v="790"/>
    <n v="15"/>
    <n v="3"/>
    <n v="7.2"/>
    <x v="11"/>
    <x v="0"/>
  </r>
  <r>
    <n v="44535"/>
    <x v="557"/>
    <x v="3"/>
    <x v="0"/>
    <x v="12"/>
    <x v="810"/>
    <n v="250.26"/>
    <n v="6"/>
    <n v="72.58"/>
    <x v="11"/>
    <x v="0"/>
  </r>
  <r>
    <n v="44536"/>
    <x v="321"/>
    <x v="0"/>
    <x v="1"/>
    <x v="8"/>
    <x v="1113"/>
    <n v="23.98"/>
    <n v="3"/>
    <n v="-14.39"/>
    <x v="11"/>
    <x v="0"/>
  </r>
  <r>
    <n v="44536"/>
    <x v="361"/>
    <x v="11"/>
    <x v="0"/>
    <x v="2"/>
    <x v="1122"/>
    <n v="53.42"/>
    <n v="3"/>
    <n v="4.67"/>
    <x v="11"/>
    <x v="0"/>
  </r>
  <r>
    <n v="44536"/>
    <x v="361"/>
    <x v="11"/>
    <x v="1"/>
    <x v="13"/>
    <x v="473"/>
    <n v="275.49"/>
    <n v="1"/>
    <n v="-170.8"/>
    <x v="11"/>
    <x v="0"/>
  </r>
  <r>
    <n v="44536"/>
    <x v="328"/>
    <x v="1"/>
    <x v="0"/>
    <x v="12"/>
    <x v="1123"/>
    <n v="14.02"/>
    <n v="4"/>
    <n v="-31.54"/>
    <x v="11"/>
    <x v="0"/>
  </r>
  <r>
    <n v="44536"/>
    <x v="328"/>
    <x v="1"/>
    <x v="1"/>
    <x v="13"/>
    <x v="278"/>
    <n v="214.95"/>
    <n v="5"/>
    <n v="-120.37"/>
    <x v="11"/>
    <x v="0"/>
  </r>
  <r>
    <n v="44536"/>
    <x v="328"/>
    <x v="1"/>
    <x v="2"/>
    <x v="6"/>
    <x v="1124"/>
    <n v="35.04"/>
    <n v="4"/>
    <n v="-7.01"/>
    <x v="11"/>
    <x v="0"/>
  </r>
  <r>
    <n v="44536"/>
    <x v="328"/>
    <x v="1"/>
    <x v="1"/>
    <x v="8"/>
    <x v="682"/>
    <n v="10.78"/>
    <n v="3"/>
    <n v="-4.8499999999999996"/>
    <x v="11"/>
    <x v="0"/>
  </r>
  <r>
    <n v="44536"/>
    <x v="328"/>
    <x v="1"/>
    <x v="0"/>
    <x v="3"/>
    <x v="873"/>
    <n v="4.5999999999999996"/>
    <n v="2"/>
    <n v="-8.0500000000000007"/>
    <x v="11"/>
    <x v="0"/>
  </r>
  <r>
    <n v="44536"/>
    <x v="328"/>
    <x v="1"/>
    <x v="0"/>
    <x v="2"/>
    <x v="1125"/>
    <n v="35.17"/>
    <n v="2"/>
    <n v="-8.35"/>
    <x v="11"/>
    <x v="0"/>
  </r>
  <r>
    <n v="44536"/>
    <x v="138"/>
    <x v="3"/>
    <x v="0"/>
    <x v="2"/>
    <x v="1126"/>
    <n v="1261.33"/>
    <n v="7"/>
    <n v="327.95"/>
    <x v="11"/>
    <x v="0"/>
  </r>
  <r>
    <n v="44536"/>
    <x v="497"/>
    <x v="15"/>
    <x v="0"/>
    <x v="0"/>
    <x v="189"/>
    <n v="42.21"/>
    <n v="2"/>
    <n v="13.72"/>
    <x v="11"/>
    <x v="0"/>
  </r>
  <r>
    <n v="44537"/>
    <x v="487"/>
    <x v="6"/>
    <x v="0"/>
    <x v="0"/>
    <x v="189"/>
    <n v="105.52"/>
    <n v="4"/>
    <n v="48.54"/>
    <x v="11"/>
    <x v="0"/>
  </r>
  <r>
    <n v="44537"/>
    <x v="558"/>
    <x v="3"/>
    <x v="0"/>
    <x v="4"/>
    <x v="616"/>
    <n v="8.64"/>
    <n v="3"/>
    <n v="2.42"/>
    <x v="11"/>
    <x v="0"/>
  </r>
  <r>
    <n v="44537"/>
    <x v="326"/>
    <x v="22"/>
    <x v="0"/>
    <x v="2"/>
    <x v="678"/>
    <n v="269.36"/>
    <n v="7"/>
    <n v="70.03"/>
    <x v="11"/>
    <x v="0"/>
  </r>
  <r>
    <n v="44537"/>
    <x v="200"/>
    <x v="3"/>
    <x v="0"/>
    <x v="0"/>
    <x v="1127"/>
    <n v="164.88"/>
    <n v="3"/>
    <n v="80.790000000000006"/>
    <x v="11"/>
    <x v="0"/>
  </r>
  <r>
    <n v="44538"/>
    <x v="559"/>
    <x v="0"/>
    <x v="0"/>
    <x v="2"/>
    <x v="1128"/>
    <n v="60.42"/>
    <n v="2"/>
    <n v="6.04"/>
    <x v="11"/>
    <x v="0"/>
  </r>
  <r>
    <n v="44538"/>
    <x v="560"/>
    <x v="11"/>
    <x v="0"/>
    <x v="1"/>
    <x v="849"/>
    <n v="27.89"/>
    <n v="7"/>
    <n v="9.06"/>
    <x v="11"/>
    <x v="0"/>
  </r>
  <r>
    <n v="44538"/>
    <x v="560"/>
    <x v="11"/>
    <x v="0"/>
    <x v="3"/>
    <x v="1129"/>
    <n v="6.46"/>
    <n v="4"/>
    <n v="-4.5199999999999996"/>
    <x v="11"/>
    <x v="0"/>
  </r>
  <r>
    <n v="44538"/>
    <x v="560"/>
    <x v="11"/>
    <x v="2"/>
    <x v="6"/>
    <x v="1130"/>
    <n v="52.68"/>
    <n v="3"/>
    <n v="19.760000000000002"/>
    <x v="11"/>
    <x v="0"/>
  </r>
  <r>
    <n v="44538"/>
    <x v="560"/>
    <x v="11"/>
    <x v="0"/>
    <x v="14"/>
    <x v="700"/>
    <n v="13.88"/>
    <n v="5"/>
    <n v="-2.6"/>
    <x v="11"/>
    <x v="0"/>
  </r>
  <r>
    <n v="44538"/>
    <x v="560"/>
    <x v="11"/>
    <x v="2"/>
    <x v="9"/>
    <x v="410"/>
    <n v="103.92"/>
    <n v="10"/>
    <n v="-18.190000000000001"/>
    <x v="11"/>
    <x v="0"/>
  </r>
  <r>
    <n v="44538"/>
    <x v="560"/>
    <x v="11"/>
    <x v="0"/>
    <x v="1"/>
    <x v="206"/>
    <n v="11.52"/>
    <n v="5"/>
    <n v="3.74"/>
    <x v="11"/>
    <x v="0"/>
  </r>
  <r>
    <n v="44538"/>
    <x v="560"/>
    <x v="11"/>
    <x v="0"/>
    <x v="0"/>
    <x v="327"/>
    <n v="10.37"/>
    <n v="2"/>
    <n v="3.63"/>
    <x v="11"/>
    <x v="0"/>
  </r>
  <r>
    <n v="44538"/>
    <x v="560"/>
    <x v="11"/>
    <x v="0"/>
    <x v="2"/>
    <x v="272"/>
    <n v="39.07"/>
    <n v="3"/>
    <n v="2.93"/>
    <x v="11"/>
    <x v="0"/>
  </r>
  <r>
    <n v="44538"/>
    <x v="232"/>
    <x v="22"/>
    <x v="0"/>
    <x v="0"/>
    <x v="1131"/>
    <n v="45.68"/>
    <n v="2"/>
    <n v="21.01"/>
    <x v="11"/>
    <x v="0"/>
  </r>
  <r>
    <n v="44538"/>
    <x v="232"/>
    <x v="22"/>
    <x v="1"/>
    <x v="5"/>
    <x v="322"/>
    <n v="603.91999999999996"/>
    <n v="5"/>
    <n v="45.29"/>
    <x v="11"/>
    <x v="0"/>
  </r>
  <r>
    <n v="44538"/>
    <x v="561"/>
    <x v="3"/>
    <x v="1"/>
    <x v="8"/>
    <x v="1013"/>
    <n v="39.880000000000003"/>
    <n v="2"/>
    <n v="11.17"/>
    <x v="11"/>
    <x v="0"/>
  </r>
  <r>
    <n v="44538"/>
    <x v="561"/>
    <x v="3"/>
    <x v="1"/>
    <x v="8"/>
    <x v="765"/>
    <n v="79.44"/>
    <n v="3"/>
    <n v="28.6"/>
    <x v="11"/>
    <x v="0"/>
  </r>
  <r>
    <n v="44539"/>
    <x v="38"/>
    <x v="3"/>
    <x v="0"/>
    <x v="0"/>
    <x v="1132"/>
    <n v="34.68"/>
    <n v="6"/>
    <n v="16.989999999999998"/>
    <x v="11"/>
    <x v="0"/>
  </r>
  <r>
    <n v="44539"/>
    <x v="441"/>
    <x v="12"/>
    <x v="0"/>
    <x v="2"/>
    <x v="1019"/>
    <n v="100.7"/>
    <n v="6"/>
    <n v="-1.26"/>
    <x v="11"/>
    <x v="0"/>
  </r>
  <r>
    <n v="44539"/>
    <x v="379"/>
    <x v="0"/>
    <x v="0"/>
    <x v="0"/>
    <x v="59"/>
    <n v="10.69"/>
    <n v="2"/>
    <n v="3.74"/>
    <x v="11"/>
    <x v="0"/>
  </r>
  <r>
    <n v="44539"/>
    <x v="379"/>
    <x v="0"/>
    <x v="0"/>
    <x v="2"/>
    <x v="1080"/>
    <n v="237.1"/>
    <n v="3"/>
    <n v="20.75"/>
    <x v="11"/>
    <x v="0"/>
  </r>
  <r>
    <n v="44539"/>
    <x v="93"/>
    <x v="1"/>
    <x v="0"/>
    <x v="0"/>
    <x v="1133"/>
    <n v="8.4499999999999993"/>
    <n v="2"/>
    <n v="2.96"/>
    <x v="11"/>
    <x v="0"/>
  </r>
  <r>
    <n v="44539"/>
    <x v="93"/>
    <x v="1"/>
    <x v="0"/>
    <x v="12"/>
    <x v="704"/>
    <n v="20.39"/>
    <n v="2"/>
    <n v="-53.01"/>
    <x v="11"/>
    <x v="0"/>
  </r>
  <r>
    <n v="44539"/>
    <x v="558"/>
    <x v="2"/>
    <x v="0"/>
    <x v="10"/>
    <x v="681"/>
    <n v="30.67"/>
    <n v="3"/>
    <n v="9.59"/>
    <x v="11"/>
    <x v="0"/>
  </r>
  <r>
    <n v="44539"/>
    <x v="558"/>
    <x v="2"/>
    <x v="2"/>
    <x v="16"/>
    <x v="1134"/>
    <n v="1079.98"/>
    <n v="4"/>
    <n v="126"/>
    <x v="11"/>
    <x v="0"/>
  </r>
  <r>
    <n v="44540"/>
    <x v="533"/>
    <x v="20"/>
    <x v="0"/>
    <x v="0"/>
    <x v="1039"/>
    <n v="11.36"/>
    <n v="2"/>
    <n v="5.23"/>
    <x v="11"/>
    <x v="0"/>
  </r>
  <r>
    <n v="44540"/>
    <x v="533"/>
    <x v="20"/>
    <x v="0"/>
    <x v="3"/>
    <x v="1135"/>
    <n v="106.34"/>
    <n v="7"/>
    <n v="37.22"/>
    <x v="11"/>
    <x v="0"/>
  </r>
  <r>
    <n v="44540"/>
    <x v="562"/>
    <x v="34"/>
    <x v="1"/>
    <x v="5"/>
    <x v="1136"/>
    <n v="338.35"/>
    <n v="3"/>
    <n v="4.2300000000000004"/>
    <x v="11"/>
    <x v="0"/>
  </r>
  <r>
    <n v="44540"/>
    <x v="562"/>
    <x v="34"/>
    <x v="0"/>
    <x v="0"/>
    <x v="727"/>
    <n v="25.92"/>
    <n v="4"/>
    <n v="12.44"/>
    <x v="11"/>
    <x v="0"/>
  </r>
  <r>
    <n v="44540"/>
    <x v="562"/>
    <x v="34"/>
    <x v="0"/>
    <x v="0"/>
    <x v="1137"/>
    <n v="91.36"/>
    <n v="4"/>
    <n v="42.03"/>
    <x v="11"/>
    <x v="0"/>
  </r>
  <r>
    <n v="44542"/>
    <x v="377"/>
    <x v="3"/>
    <x v="1"/>
    <x v="13"/>
    <x v="1138"/>
    <n v="764.69"/>
    <n v="6"/>
    <n v="95.59"/>
    <x v="11"/>
    <x v="0"/>
  </r>
  <r>
    <n v="44542"/>
    <x v="377"/>
    <x v="3"/>
    <x v="1"/>
    <x v="13"/>
    <x v="177"/>
    <n v="3610.85"/>
    <n v="12"/>
    <n v="135.41"/>
    <x v="11"/>
    <x v="0"/>
  </r>
  <r>
    <n v="44542"/>
    <x v="377"/>
    <x v="3"/>
    <x v="1"/>
    <x v="11"/>
    <x v="384"/>
    <n v="254.97"/>
    <n v="3"/>
    <n v="12"/>
    <x v="11"/>
    <x v="0"/>
  </r>
  <r>
    <n v="44542"/>
    <x v="494"/>
    <x v="3"/>
    <x v="1"/>
    <x v="8"/>
    <x v="1139"/>
    <n v="43.31"/>
    <n v="1"/>
    <n v="4.33"/>
    <x v="11"/>
    <x v="0"/>
  </r>
  <r>
    <n v="44542"/>
    <x v="563"/>
    <x v="0"/>
    <x v="0"/>
    <x v="3"/>
    <x v="1140"/>
    <n v="210.39"/>
    <n v="2"/>
    <n v="-336.63"/>
    <x v="11"/>
    <x v="0"/>
  </r>
  <r>
    <n v="44542"/>
    <x v="564"/>
    <x v="3"/>
    <x v="1"/>
    <x v="8"/>
    <x v="1141"/>
    <n v="12.54"/>
    <n v="3"/>
    <n v="4.51"/>
    <x v="11"/>
    <x v="0"/>
  </r>
  <r>
    <n v="44542"/>
    <x v="564"/>
    <x v="3"/>
    <x v="0"/>
    <x v="2"/>
    <x v="1142"/>
    <n v="8.94"/>
    <n v="3"/>
    <n v="0.63"/>
    <x v="11"/>
    <x v="0"/>
  </r>
  <r>
    <n v="44542"/>
    <x v="564"/>
    <x v="3"/>
    <x v="1"/>
    <x v="8"/>
    <x v="895"/>
    <n v="9.24"/>
    <n v="3"/>
    <n v="4.4400000000000004"/>
    <x v="11"/>
    <x v="0"/>
  </r>
  <r>
    <n v="44542"/>
    <x v="300"/>
    <x v="16"/>
    <x v="0"/>
    <x v="10"/>
    <x v="21"/>
    <n v="23.47"/>
    <n v="3"/>
    <n v="7.63"/>
    <x v="11"/>
    <x v="0"/>
  </r>
  <r>
    <n v="44543"/>
    <x v="375"/>
    <x v="3"/>
    <x v="0"/>
    <x v="0"/>
    <x v="887"/>
    <n v="90.24"/>
    <n v="6"/>
    <n v="41.51"/>
    <x v="11"/>
    <x v="0"/>
  </r>
  <r>
    <n v="44543"/>
    <x v="565"/>
    <x v="0"/>
    <x v="0"/>
    <x v="14"/>
    <x v="817"/>
    <n v="2.92"/>
    <n v="1"/>
    <n v="0.37"/>
    <x v="11"/>
    <x v="0"/>
  </r>
  <r>
    <n v="44543"/>
    <x v="227"/>
    <x v="1"/>
    <x v="1"/>
    <x v="8"/>
    <x v="1143"/>
    <n v="94.43"/>
    <n v="3"/>
    <n v="-42.49"/>
    <x v="11"/>
    <x v="0"/>
  </r>
  <r>
    <n v="44543"/>
    <x v="211"/>
    <x v="12"/>
    <x v="1"/>
    <x v="8"/>
    <x v="428"/>
    <n v="87.96"/>
    <n v="3"/>
    <n v="7.7"/>
    <x v="11"/>
    <x v="0"/>
  </r>
  <r>
    <n v="44543"/>
    <x v="211"/>
    <x v="12"/>
    <x v="0"/>
    <x v="3"/>
    <x v="592"/>
    <n v="5.21"/>
    <n v="2"/>
    <n v="-4.17"/>
    <x v="11"/>
    <x v="0"/>
  </r>
  <r>
    <n v="44543"/>
    <x v="566"/>
    <x v="5"/>
    <x v="0"/>
    <x v="3"/>
    <x v="333"/>
    <n v="12.39"/>
    <n v="3"/>
    <n v="5.82"/>
    <x v="11"/>
    <x v="0"/>
  </r>
  <r>
    <n v="44544"/>
    <x v="448"/>
    <x v="1"/>
    <x v="0"/>
    <x v="3"/>
    <x v="405"/>
    <n v="5.0999999999999996"/>
    <n v="4"/>
    <n v="-8.68"/>
    <x v="11"/>
    <x v="0"/>
  </r>
  <r>
    <n v="44544"/>
    <x v="448"/>
    <x v="1"/>
    <x v="0"/>
    <x v="7"/>
    <x v="1144"/>
    <n v="2.9"/>
    <n v="2"/>
    <n v="0.47"/>
    <x v="11"/>
    <x v="0"/>
  </r>
  <r>
    <n v="44544"/>
    <x v="448"/>
    <x v="1"/>
    <x v="2"/>
    <x v="9"/>
    <x v="774"/>
    <n v="35.020000000000003"/>
    <n v="3"/>
    <n v="-2.19"/>
    <x v="11"/>
    <x v="0"/>
  </r>
  <r>
    <n v="44544"/>
    <x v="240"/>
    <x v="16"/>
    <x v="1"/>
    <x v="5"/>
    <x v="221"/>
    <n v="186.3"/>
    <n v="4"/>
    <n v="13.97"/>
    <x v="11"/>
    <x v="0"/>
  </r>
  <r>
    <n v="44544"/>
    <x v="567"/>
    <x v="10"/>
    <x v="0"/>
    <x v="4"/>
    <x v="175"/>
    <n v="2.62"/>
    <n v="1"/>
    <n v="0.3"/>
    <x v="11"/>
    <x v="0"/>
  </r>
  <r>
    <n v="44544"/>
    <x v="567"/>
    <x v="10"/>
    <x v="1"/>
    <x v="13"/>
    <x v="1145"/>
    <n v="136.53"/>
    <n v="1"/>
    <n v="-52.34"/>
    <x v="11"/>
    <x v="0"/>
  </r>
  <r>
    <n v="44544"/>
    <x v="567"/>
    <x v="10"/>
    <x v="2"/>
    <x v="9"/>
    <x v="1146"/>
    <n v="263.95999999999998"/>
    <n v="1"/>
    <n v="42.89"/>
    <x v="11"/>
    <x v="0"/>
  </r>
  <r>
    <n v="44544"/>
    <x v="23"/>
    <x v="20"/>
    <x v="2"/>
    <x v="15"/>
    <x v="846"/>
    <n v="6999.96"/>
    <n v="4"/>
    <n v="2239.9899999999998"/>
    <x v="11"/>
    <x v="0"/>
  </r>
  <r>
    <n v="44544"/>
    <x v="568"/>
    <x v="1"/>
    <x v="0"/>
    <x v="3"/>
    <x v="962"/>
    <n v="9.26"/>
    <n v="3"/>
    <n v="-13.9"/>
    <x v="11"/>
    <x v="0"/>
  </r>
  <r>
    <n v="44545"/>
    <x v="260"/>
    <x v="0"/>
    <x v="2"/>
    <x v="6"/>
    <x v="1147"/>
    <n v="40.68"/>
    <n v="3"/>
    <n v="-9.15"/>
    <x v="11"/>
    <x v="0"/>
  </r>
  <r>
    <n v="44545"/>
    <x v="260"/>
    <x v="0"/>
    <x v="1"/>
    <x v="5"/>
    <x v="376"/>
    <n v="763.28"/>
    <n v="5"/>
    <n v="-21.81"/>
    <x v="11"/>
    <x v="0"/>
  </r>
  <r>
    <n v="44545"/>
    <x v="117"/>
    <x v="3"/>
    <x v="1"/>
    <x v="8"/>
    <x v="1148"/>
    <n v="6.16"/>
    <n v="2"/>
    <n v="1.97"/>
    <x v="11"/>
    <x v="0"/>
  </r>
  <r>
    <n v="44545"/>
    <x v="569"/>
    <x v="1"/>
    <x v="1"/>
    <x v="8"/>
    <x v="863"/>
    <n v="8.5399999999999991"/>
    <n v="2"/>
    <n v="-7.48"/>
    <x v="11"/>
    <x v="0"/>
  </r>
  <r>
    <n v="44545"/>
    <x v="290"/>
    <x v="2"/>
    <x v="1"/>
    <x v="5"/>
    <x v="943"/>
    <n v="445.8"/>
    <n v="7"/>
    <n v="-108.27"/>
    <x v="11"/>
    <x v="0"/>
  </r>
  <r>
    <n v="44546"/>
    <x v="148"/>
    <x v="16"/>
    <x v="0"/>
    <x v="3"/>
    <x v="1149"/>
    <n v="1.17"/>
    <n v="1"/>
    <n v="-0.86"/>
    <x v="11"/>
    <x v="0"/>
  </r>
  <r>
    <n v="44546"/>
    <x v="570"/>
    <x v="3"/>
    <x v="1"/>
    <x v="8"/>
    <x v="1150"/>
    <n v="44.46"/>
    <n v="2"/>
    <n v="14.67"/>
    <x v="11"/>
    <x v="0"/>
  </r>
  <r>
    <n v="44546"/>
    <x v="570"/>
    <x v="3"/>
    <x v="1"/>
    <x v="5"/>
    <x v="322"/>
    <n v="241.57"/>
    <n v="2"/>
    <n v="18.12"/>
    <x v="11"/>
    <x v="0"/>
  </r>
  <r>
    <n v="44546"/>
    <x v="570"/>
    <x v="3"/>
    <x v="2"/>
    <x v="9"/>
    <x v="1151"/>
    <n v="395"/>
    <n v="5"/>
    <n v="39.5"/>
    <x v="11"/>
    <x v="0"/>
  </r>
  <r>
    <n v="44546"/>
    <x v="570"/>
    <x v="3"/>
    <x v="2"/>
    <x v="6"/>
    <x v="10"/>
    <n v="627.16999999999996"/>
    <n v="4"/>
    <n v="70.56"/>
    <x v="11"/>
    <x v="0"/>
  </r>
  <r>
    <n v="44546"/>
    <x v="127"/>
    <x v="16"/>
    <x v="1"/>
    <x v="5"/>
    <x v="433"/>
    <n v="1013.83"/>
    <n v="9"/>
    <n v="101.38"/>
    <x v="11"/>
    <x v="0"/>
  </r>
  <r>
    <n v="44546"/>
    <x v="127"/>
    <x v="16"/>
    <x v="0"/>
    <x v="7"/>
    <x v="1152"/>
    <n v="1.98"/>
    <n v="2"/>
    <n v="0.67"/>
    <x v="11"/>
    <x v="0"/>
  </r>
  <r>
    <n v="44546"/>
    <x v="28"/>
    <x v="0"/>
    <x v="0"/>
    <x v="0"/>
    <x v="300"/>
    <n v="36.29"/>
    <n v="7"/>
    <n v="12.7"/>
    <x v="11"/>
    <x v="0"/>
  </r>
  <r>
    <n v="44546"/>
    <x v="28"/>
    <x v="0"/>
    <x v="1"/>
    <x v="8"/>
    <x v="759"/>
    <n v="56.57"/>
    <n v="2"/>
    <n v="-74.95"/>
    <x v="11"/>
    <x v="0"/>
  </r>
  <r>
    <n v="44546"/>
    <x v="571"/>
    <x v="14"/>
    <x v="0"/>
    <x v="0"/>
    <x v="709"/>
    <n v="114.2"/>
    <n v="5"/>
    <n v="52.53"/>
    <x v="11"/>
    <x v="0"/>
  </r>
  <r>
    <n v="44546"/>
    <x v="572"/>
    <x v="3"/>
    <x v="1"/>
    <x v="5"/>
    <x v="1107"/>
    <n v="1403.92"/>
    <n v="5"/>
    <n v="70.2"/>
    <x v="11"/>
    <x v="0"/>
  </r>
  <r>
    <n v="44546"/>
    <x v="224"/>
    <x v="6"/>
    <x v="2"/>
    <x v="9"/>
    <x v="621"/>
    <n v="99.98"/>
    <n v="2"/>
    <n v="8"/>
    <x v="11"/>
    <x v="0"/>
  </r>
  <r>
    <n v="44546"/>
    <x v="224"/>
    <x v="6"/>
    <x v="1"/>
    <x v="8"/>
    <x v="55"/>
    <n v="29.46"/>
    <n v="6"/>
    <n v="9.7200000000000006"/>
    <x v="11"/>
    <x v="0"/>
  </r>
  <r>
    <n v="44546"/>
    <x v="573"/>
    <x v="0"/>
    <x v="2"/>
    <x v="9"/>
    <x v="288"/>
    <n v="319.97000000000003"/>
    <n v="4"/>
    <n v="95.99"/>
    <x v="11"/>
    <x v="0"/>
  </r>
  <r>
    <n v="44546"/>
    <x v="573"/>
    <x v="0"/>
    <x v="1"/>
    <x v="8"/>
    <x v="895"/>
    <n v="8.6199999999999992"/>
    <n v="7"/>
    <n v="-2.59"/>
    <x v="11"/>
    <x v="0"/>
  </r>
  <r>
    <n v="44547"/>
    <x v="503"/>
    <x v="4"/>
    <x v="0"/>
    <x v="4"/>
    <x v="273"/>
    <n v="40.049999999999997"/>
    <n v="3"/>
    <n v="11.21"/>
    <x v="11"/>
    <x v="0"/>
  </r>
  <r>
    <n v="44547"/>
    <x v="574"/>
    <x v="10"/>
    <x v="0"/>
    <x v="3"/>
    <x v="573"/>
    <n v="5.48"/>
    <n v="4"/>
    <n v="-4.0199999999999996"/>
    <x v="11"/>
    <x v="0"/>
  </r>
  <r>
    <n v="44549"/>
    <x v="575"/>
    <x v="16"/>
    <x v="0"/>
    <x v="3"/>
    <x v="170"/>
    <n v="4.8099999999999996"/>
    <n v="2"/>
    <n v="-3.69"/>
    <x v="11"/>
    <x v="0"/>
  </r>
  <r>
    <n v="44549"/>
    <x v="575"/>
    <x v="16"/>
    <x v="2"/>
    <x v="9"/>
    <x v="1153"/>
    <n v="247.8"/>
    <n v="5"/>
    <n v="-18.59"/>
    <x v="11"/>
    <x v="0"/>
  </r>
  <r>
    <n v="44549"/>
    <x v="576"/>
    <x v="33"/>
    <x v="0"/>
    <x v="3"/>
    <x v="1154"/>
    <n v="152.76"/>
    <n v="6"/>
    <n v="74.849999999999994"/>
    <x v="11"/>
    <x v="0"/>
  </r>
  <r>
    <n v="44549"/>
    <x v="576"/>
    <x v="33"/>
    <x v="0"/>
    <x v="14"/>
    <x v="1006"/>
    <n v="7.27"/>
    <n v="1"/>
    <n v="1.96"/>
    <x v="11"/>
    <x v="0"/>
  </r>
  <r>
    <n v="44549"/>
    <x v="576"/>
    <x v="33"/>
    <x v="1"/>
    <x v="5"/>
    <x v="1155"/>
    <n v="1819.86"/>
    <n v="14"/>
    <n v="163.79"/>
    <x v="11"/>
    <x v="0"/>
  </r>
  <r>
    <n v="44549"/>
    <x v="244"/>
    <x v="3"/>
    <x v="0"/>
    <x v="1"/>
    <x v="553"/>
    <n v="14.62"/>
    <n v="2"/>
    <n v="6.87"/>
    <x v="11"/>
    <x v="0"/>
  </r>
  <r>
    <n v="44549"/>
    <x v="244"/>
    <x v="3"/>
    <x v="0"/>
    <x v="7"/>
    <x v="1156"/>
    <n v="22.55"/>
    <n v="5"/>
    <n v="8.7899999999999991"/>
    <x v="11"/>
    <x v="0"/>
  </r>
  <r>
    <n v="44549"/>
    <x v="244"/>
    <x v="3"/>
    <x v="2"/>
    <x v="6"/>
    <x v="1157"/>
    <n v="583.79999999999995"/>
    <n v="5"/>
    <n v="72.98"/>
    <x v="11"/>
    <x v="0"/>
  </r>
  <r>
    <n v="44549"/>
    <x v="244"/>
    <x v="3"/>
    <x v="2"/>
    <x v="6"/>
    <x v="1158"/>
    <n v="211.17"/>
    <n v="4"/>
    <n v="15.84"/>
    <x v="11"/>
    <x v="0"/>
  </r>
  <r>
    <n v="44549"/>
    <x v="25"/>
    <x v="1"/>
    <x v="2"/>
    <x v="6"/>
    <x v="1159"/>
    <n v="323.98"/>
    <n v="3"/>
    <n v="36.450000000000003"/>
    <x v="11"/>
    <x v="0"/>
  </r>
  <r>
    <n v="44549"/>
    <x v="25"/>
    <x v="1"/>
    <x v="0"/>
    <x v="0"/>
    <x v="697"/>
    <n v="15.55"/>
    <n v="3"/>
    <n v="5.44"/>
    <x v="11"/>
    <x v="0"/>
  </r>
  <r>
    <n v="44549"/>
    <x v="25"/>
    <x v="1"/>
    <x v="0"/>
    <x v="2"/>
    <x v="1160"/>
    <n v="32.590000000000003"/>
    <n v="3"/>
    <n v="-7.74"/>
    <x v="11"/>
    <x v="0"/>
  </r>
  <r>
    <n v="44550"/>
    <x v="577"/>
    <x v="6"/>
    <x v="0"/>
    <x v="2"/>
    <x v="62"/>
    <n v="122.48"/>
    <n v="2"/>
    <n v="0"/>
    <x v="11"/>
    <x v="0"/>
  </r>
  <r>
    <n v="44550"/>
    <x v="577"/>
    <x v="6"/>
    <x v="1"/>
    <x v="13"/>
    <x v="1161"/>
    <n v="2244.48"/>
    <n v="7"/>
    <n v="493.79"/>
    <x v="11"/>
    <x v="0"/>
  </r>
  <r>
    <n v="44550"/>
    <x v="577"/>
    <x v="6"/>
    <x v="0"/>
    <x v="3"/>
    <x v="471"/>
    <n v="62.31"/>
    <n v="3"/>
    <n v="29.29"/>
    <x v="11"/>
    <x v="0"/>
  </r>
  <r>
    <n v="44550"/>
    <x v="577"/>
    <x v="6"/>
    <x v="1"/>
    <x v="13"/>
    <x v="957"/>
    <n v="455.1"/>
    <n v="2"/>
    <n v="100.12"/>
    <x v="11"/>
    <x v="0"/>
  </r>
  <r>
    <n v="44550"/>
    <x v="348"/>
    <x v="22"/>
    <x v="0"/>
    <x v="1"/>
    <x v="1101"/>
    <n v="31.05"/>
    <n v="3"/>
    <n v="14.9"/>
    <x v="11"/>
    <x v="0"/>
  </r>
  <r>
    <n v="44550"/>
    <x v="578"/>
    <x v="15"/>
    <x v="0"/>
    <x v="12"/>
    <x v="1162"/>
    <n v="43.51"/>
    <n v="7"/>
    <n v="3.81"/>
    <x v="11"/>
    <x v="0"/>
  </r>
  <r>
    <n v="44550"/>
    <x v="578"/>
    <x v="15"/>
    <x v="1"/>
    <x v="5"/>
    <x v="782"/>
    <n v="662.88"/>
    <n v="3"/>
    <n v="74.569999999999993"/>
    <x v="11"/>
    <x v="0"/>
  </r>
  <r>
    <n v="44550"/>
    <x v="578"/>
    <x v="15"/>
    <x v="0"/>
    <x v="0"/>
    <x v="381"/>
    <n v="25.92"/>
    <n v="5"/>
    <n v="9.07"/>
    <x v="11"/>
    <x v="0"/>
  </r>
  <r>
    <n v="44550"/>
    <x v="283"/>
    <x v="3"/>
    <x v="0"/>
    <x v="3"/>
    <x v="8"/>
    <n v="487.98"/>
    <n v="2"/>
    <n v="152.5"/>
    <x v="11"/>
    <x v="0"/>
  </r>
  <r>
    <n v="44550"/>
    <x v="283"/>
    <x v="3"/>
    <x v="0"/>
    <x v="4"/>
    <x v="286"/>
    <n v="47.3"/>
    <n v="2"/>
    <n v="12.3"/>
    <x v="11"/>
    <x v="0"/>
  </r>
  <r>
    <n v="44550"/>
    <x v="283"/>
    <x v="3"/>
    <x v="0"/>
    <x v="4"/>
    <x v="1163"/>
    <n v="4.13"/>
    <n v="1"/>
    <n v="1.1599999999999999"/>
    <x v="11"/>
    <x v="0"/>
  </r>
  <r>
    <n v="44550"/>
    <x v="283"/>
    <x v="3"/>
    <x v="0"/>
    <x v="3"/>
    <x v="164"/>
    <n v="155.12"/>
    <n v="5"/>
    <n v="50.41"/>
    <x v="11"/>
    <x v="0"/>
  </r>
  <r>
    <n v="44550"/>
    <x v="460"/>
    <x v="26"/>
    <x v="2"/>
    <x v="9"/>
    <x v="1164"/>
    <n v="447.94"/>
    <n v="7"/>
    <n v="89.59"/>
    <x v="11"/>
    <x v="0"/>
  </r>
  <r>
    <n v="44550"/>
    <x v="579"/>
    <x v="18"/>
    <x v="0"/>
    <x v="1"/>
    <x v="1165"/>
    <n v="3.69"/>
    <n v="1"/>
    <n v="1.73"/>
    <x v="11"/>
    <x v="0"/>
  </r>
  <r>
    <n v="44550"/>
    <x v="579"/>
    <x v="18"/>
    <x v="0"/>
    <x v="3"/>
    <x v="688"/>
    <n v="1103.97"/>
    <n v="3"/>
    <n v="496.79"/>
    <x v="11"/>
    <x v="0"/>
  </r>
  <r>
    <n v="44550"/>
    <x v="294"/>
    <x v="10"/>
    <x v="1"/>
    <x v="8"/>
    <x v="1100"/>
    <n v="190.85"/>
    <n v="3"/>
    <n v="-21.47"/>
    <x v="11"/>
    <x v="0"/>
  </r>
  <r>
    <n v="44550"/>
    <x v="189"/>
    <x v="12"/>
    <x v="1"/>
    <x v="8"/>
    <x v="866"/>
    <n v="51.97"/>
    <n v="2"/>
    <n v="10.39"/>
    <x v="11"/>
    <x v="0"/>
  </r>
  <r>
    <n v="44550"/>
    <x v="189"/>
    <x v="12"/>
    <x v="2"/>
    <x v="9"/>
    <x v="33"/>
    <n v="71.98"/>
    <n v="3"/>
    <n v="21.59"/>
    <x v="11"/>
    <x v="0"/>
  </r>
  <r>
    <n v="44550"/>
    <x v="189"/>
    <x v="12"/>
    <x v="1"/>
    <x v="5"/>
    <x v="1166"/>
    <n v="242.35"/>
    <n v="3"/>
    <n v="-42.41"/>
    <x v="11"/>
    <x v="0"/>
  </r>
  <r>
    <n v="44550"/>
    <x v="189"/>
    <x v="12"/>
    <x v="0"/>
    <x v="0"/>
    <x v="1066"/>
    <n v="221.92"/>
    <n v="5"/>
    <n v="77.67"/>
    <x v="11"/>
    <x v="0"/>
  </r>
  <r>
    <n v="44550"/>
    <x v="189"/>
    <x v="12"/>
    <x v="0"/>
    <x v="0"/>
    <x v="875"/>
    <n v="8.4499999999999993"/>
    <n v="2"/>
    <n v="2.64"/>
    <x v="11"/>
    <x v="0"/>
  </r>
  <r>
    <n v="44550"/>
    <x v="494"/>
    <x v="0"/>
    <x v="0"/>
    <x v="12"/>
    <x v="1167"/>
    <n v="19.43"/>
    <n v="2"/>
    <n v="-49.55"/>
    <x v="11"/>
    <x v="0"/>
  </r>
  <r>
    <n v="44550"/>
    <x v="494"/>
    <x v="0"/>
    <x v="2"/>
    <x v="9"/>
    <x v="665"/>
    <n v="65.44"/>
    <n v="5"/>
    <n v="-8.18"/>
    <x v="11"/>
    <x v="0"/>
  </r>
  <r>
    <n v="44550"/>
    <x v="436"/>
    <x v="20"/>
    <x v="1"/>
    <x v="5"/>
    <x v="1168"/>
    <n v="192.19"/>
    <n v="3"/>
    <n v="36.299999999999997"/>
    <x v="11"/>
    <x v="0"/>
  </r>
  <r>
    <n v="44551"/>
    <x v="95"/>
    <x v="3"/>
    <x v="1"/>
    <x v="5"/>
    <x v="782"/>
    <n v="1325.76"/>
    <n v="6"/>
    <n v="149.15"/>
    <x v="11"/>
    <x v="0"/>
  </r>
  <r>
    <n v="44551"/>
    <x v="95"/>
    <x v="3"/>
    <x v="1"/>
    <x v="5"/>
    <x v="1075"/>
    <n v="572.16"/>
    <n v="3"/>
    <n v="35.76"/>
    <x v="11"/>
    <x v="0"/>
  </r>
  <r>
    <n v="44551"/>
    <x v="285"/>
    <x v="15"/>
    <x v="0"/>
    <x v="3"/>
    <x v="417"/>
    <n v="18.239999999999998"/>
    <n v="2"/>
    <n v="-14.59"/>
    <x v="11"/>
    <x v="0"/>
  </r>
  <r>
    <n v="44551"/>
    <x v="405"/>
    <x v="7"/>
    <x v="0"/>
    <x v="1"/>
    <x v="206"/>
    <n v="17.28"/>
    <n v="6"/>
    <n v="7.95"/>
    <x v="11"/>
    <x v="0"/>
  </r>
  <r>
    <n v="44552"/>
    <x v="580"/>
    <x v="3"/>
    <x v="0"/>
    <x v="4"/>
    <x v="1169"/>
    <n v="11.76"/>
    <n v="4"/>
    <n v="3.18"/>
    <x v="11"/>
    <x v="0"/>
  </r>
  <r>
    <n v="44552"/>
    <x v="214"/>
    <x v="20"/>
    <x v="0"/>
    <x v="2"/>
    <x v="1170"/>
    <n v="216.4"/>
    <n v="4"/>
    <n v="56.26"/>
    <x v="11"/>
    <x v="0"/>
  </r>
  <r>
    <n v="44552"/>
    <x v="377"/>
    <x v="1"/>
    <x v="0"/>
    <x v="2"/>
    <x v="216"/>
    <n v="132.16"/>
    <n v="1"/>
    <n v="9.91"/>
    <x v="11"/>
    <x v="0"/>
  </r>
  <r>
    <n v="44552"/>
    <x v="377"/>
    <x v="1"/>
    <x v="0"/>
    <x v="3"/>
    <x v="1171"/>
    <n v="17.899999999999999"/>
    <n v="6"/>
    <n v="-31.33"/>
    <x v="11"/>
    <x v="0"/>
  </r>
  <r>
    <n v="44552"/>
    <x v="377"/>
    <x v="1"/>
    <x v="0"/>
    <x v="0"/>
    <x v="655"/>
    <n v="124.03"/>
    <n v="4"/>
    <n v="44.96"/>
    <x v="11"/>
    <x v="0"/>
  </r>
  <r>
    <n v="44552"/>
    <x v="581"/>
    <x v="20"/>
    <x v="0"/>
    <x v="3"/>
    <x v="1172"/>
    <n v="296.70999999999998"/>
    <n v="13"/>
    <n v="100.14"/>
    <x v="11"/>
    <x v="0"/>
  </r>
  <r>
    <n v="44553"/>
    <x v="582"/>
    <x v="18"/>
    <x v="0"/>
    <x v="12"/>
    <x v="1173"/>
    <n v="207.24"/>
    <n v="11"/>
    <n v="58.03"/>
    <x v="11"/>
    <x v="0"/>
  </r>
  <r>
    <n v="44553"/>
    <x v="495"/>
    <x v="20"/>
    <x v="1"/>
    <x v="13"/>
    <x v="1174"/>
    <n v="53.32"/>
    <n v="2"/>
    <n v="-19.55"/>
    <x v="11"/>
    <x v="0"/>
  </r>
  <r>
    <n v="44553"/>
    <x v="495"/>
    <x v="20"/>
    <x v="0"/>
    <x v="12"/>
    <x v="1173"/>
    <n v="56.52"/>
    <n v="3"/>
    <n v="15.83"/>
    <x v="11"/>
    <x v="0"/>
  </r>
  <r>
    <n v="44553"/>
    <x v="311"/>
    <x v="0"/>
    <x v="0"/>
    <x v="0"/>
    <x v="768"/>
    <n v="5.18"/>
    <n v="1"/>
    <n v="1.81"/>
    <x v="11"/>
    <x v="0"/>
  </r>
  <r>
    <n v="44553"/>
    <x v="583"/>
    <x v="16"/>
    <x v="0"/>
    <x v="0"/>
    <x v="1175"/>
    <n v="45.53"/>
    <n v="3"/>
    <n v="15.93"/>
    <x v="11"/>
    <x v="0"/>
  </r>
  <r>
    <n v="44553"/>
    <x v="583"/>
    <x v="16"/>
    <x v="1"/>
    <x v="5"/>
    <x v="526"/>
    <n v="64.78"/>
    <n v="1"/>
    <n v="6.48"/>
    <x v="11"/>
    <x v="0"/>
  </r>
  <r>
    <n v="44553"/>
    <x v="583"/>
    <x v="16"/>
    <x v="0"/>
    <x v="2"/>
    <x v="27"/>
    <n v="424.27"/>
    <n v="2"/>
    <n v="-10.61"/>
    <x v="11"/>
    <x v="0"/>
  </r>
  <r>
    <n v="44553"/>
    <x v="583"/>
    <x v="16"/>
    <x v="0"/>
    <x v="4"/>
    <x v="321"/>
    <n v="1.34"/>
    <n v="1"/>
    <n v="0.5"/>
    <x v="11"/>
    <x v="0"/>
  </r>
  <r>
    <n v="44553"/>
    <x v="583"/>
    <x v="16"/>
    <x v="0"/>
    <x v="2"/>
    <x v="1019"/>
    <n v="83.92"/>
    <n v="5"/>
    <n v="-1.05"/>
    <x v="11"/>
    <x v="0"/>
  </r>
  <r>
    <n v="44554"/>
    <x v="321"/>
    <x v="16"/>
    <x v="0"/>
    <x v="0"/>
    <x v="1035"/>
    <n v="9.57"/>
    <n v="2"/>
    <n v="3.47"/>
    <x v="11"/>
    <x v="0"/>
  </r>
  <r>
    <n v="44554"/>
    <x v="218"/>
    <x v="10"/>
    <x v="1"/>
    <x v="8"/>
    <x v="1176"/>
    <n v="30.36"/>
    <n v="5"/>
    <n v="8.73"/>
    <x v="11"/>
    <x v="0"/>
  </r>
  <r>
    <n v="44554"/>
    <x v="520"/>
    <x v="3"/>
    <x v="0"/>
    <x v="2"/>
    <x v="597"/>
    <n v="142.86000000000001"/>
    <n v="1"/>
    <n v="41.43"/>
    <x v="11"/>
    <x v="0"/>
  </r>
  <r>
    <n v="44554"/>
    <x v="520"/>
    <x v="3"/>
    <x v="1"/>
    <x v="5"/>
    <x v="94"/>
    <n v="292.27"/>
    <n v="6"/>
    <n v="18.27"/>
    <x v="11"/>
    <x v="0"/>
  </r>
  <r>
    <n v="44554"/>
    <x v="151"/>
    <x v="3"/>
    <x v="2"/>
    <x v="6"/>
    <x v="1177"/>
    <n v="173.66"/>
    <n v="7"/>
    <n v="17.37"/>
    <x v="11"/>
    <x v="0"/>
  </r>
  <r>
    <n v="44554"/>
    <x v="151"/>
    <x v="3"/>
    <x v="0"/>
    <x v="12"/>
    <x v="1178"/>
    <n v="361.96"/>
    <n v="2"/>
    <n v="101.35"/>
    <x v="11"/>
    <x v="0"/>
  </r>
  <r>
    <n v="44554"/>
    <x v="151"/>
    <x v="3"/>
    <x v="2"/>
    <x v="9"/>
    <x v="1179"/>
    <n v="62.85"/>
    <n v="3"/>
    <n v="13.2"/>
    <x v="11"/>
    <x v="0"/>
  </r>
  <r>
    <n v="44554"/>
    <x v="151"/>
    <x v="3"/>
    <x v="2"/>
    <x v="6"/>
    <x v="686"/>
    <n v="818.38"/>
    <n v="3"/>
    <n v="51.15"/>
    <x v="11"/>
    <x v="0"/>
  </r>
  <r>
    <n v="44554"/>
    <x v="151"/>
    <x v="3"/>
    <x v="0"/>
    <x v="2"/>
    <x v="204"/>
    <n v="20.34"/>
    <n v="1"/>
    <n v="0.2"/>
    <x v="11"/>
    <x v="0"/>
  </r>
  <r>
    <n v="44554"/>
    <x v="151"/>
    <x v="3"/>
    <x v="1"/>
    <x v="8"/>
    <x v="1180"/>
    <n v="23.99"/>
    <n v="1"/>
    <n v="5.52"/>
    <x v="11"/>
    <x v="0"/>
  </r>
  <r>
    <n v="44554"/>
    <x v="423"/>
    <x v="3"/>
    <x v="0"/>
    <x v="12"/>
    <x v="1181"/>
    <n v="13.97"/>
    <n v="1"/>
    <n v="3.63"/>
    <x v="11"/>
    <x v="0"/>
  </r>
  <r>
    <n v="44556"/>
    <x v="525"/>
    <x v="0"/>
    <x v="1"/>
    <x v="5"/>
    <x v="7"/>
    <n v="600.55999999999995"/>
    <n v="3"/>
    <n v="-8.58"/>
    <x v="11"/>
    <x v="0"/>
  </r>
  <r>
    <n v="44556"/>
    <x v="254"/>
    <x v="26"/>
    <x v="1"/>
    <x v="8"/>
    <x v="317"/>
    <n v="300.42"/>
    <n v="8"/>
    <n v="78.86"/>
    <x v="11"/>
    <x v="0"/>
  </r>
  <r>
    <n v="44556"/>
    <x v="254"/>
    <x v="26"/>
    <x v="1"/>
    <x v="5"/>
    <x v="1182"/>
    <n v="230.35"/>
    <n v="3"/>
    <n v="20.16"/>
    <x v="11"/>
    <x v="0"/>
  </r>
  <r>
    <n v="44556"/>
    <x v="254"/>
    <x v="26"/>
    <x v="1"/>
    <x v="8"/>
    <x v="50"/>
    <n v="218.35"/>
    <n v="3"/>
    <n v="-24.56"/>
    <x v="11"/>
    <x v="0"/>
  </r>
  <r>
    <n v="44556"/>
    <x v="254"/>
    <x v="26"/>
    <x v="0"/>
    <x v="3"/>
    <x v="81"/>
    <n v="78.599999999999994"/>
    <n v="5"/>
    <n v="-62.88"/>
    <x v="11"/>
    <x v="0"/>
  </r>
  <r>
    <n v="44556"/>
    <x v="254"/>
    <x v="26"/>
    <x v="0"/>
    <x v="7"/>
    <x v="693"/>
    <n v="27.55"/>
    <n v="3"/>
    <n v="9.3000000000000007"/>
    <x v="11"/>
    <x v="0"/>
  </r>
  <r>
    <n v="44556"/>
    <x v="103"/>
    <x v="1"/>
    <x v="0"/>
    <x v="3"/>
    <x v="592"/>
    <n v="8.69"/>
    <n v="5"/>
    <n v="-14.77"/>
    <x v="11"/>
    <x v="0"/>
  </r>
  <r>
    <n v="44556"/>
    <x v="584"/>
    <x v="3"/>
    <x v="0"/>
    <x v="14"/>
    <x v="1183"/>
    <n v="11.91"/>
    <n v="3"/>
    <n v="0.12"/>
    <x v="11"/>
    <x v="0"/>
  </r>
  <r>
    <n v="44556"/>
    <x v="584"/>
    <x v="3"/>
    <x v="1"/>
    <x v="8"/>
    <x v="365"/>
    <n v="3.48"/>
    <n v="2"/>
    <n v="1.1100000000000001"/>
    <x v="11"/>
    <x v="0"/>
  </r>
  <r>
    <n v="44556"/>
    <x v="585"/>
    <x v="2"/>
    <x v="0"/>
    <x v="0"/>
    <x v="605"/>
    <n v="18.260000000000002"/>
    <n v="3"/>
    <n v="6.16"/>
    <x v="11"/>
    <x v="0"/>
  </r>
  <r>
    <n v="44556"/>
    <x v="585"/>
    <x v="2"/>
    <x v="0"/>
    <x v="12"/>
    <x v="1184"/>
    <n v="34.659999999999997"/>
    <n v="2"/>
    <n v="5.63"/>
    <x v="11"/>
    <x v="0"/>
  </r>
  <r>
    <n v="44556"/>
    <x v="585"/>
    <x v="2"/>
    <x v="0"/>
    <x v="12"/>
    <x v="704"/>
    <n v="81.55"/>
    <n v="2"/>
    <n v="8.16"/>
    <x v="11"/>
    <x v="0"/>
  </r>
  <r>
    <n v="44556"/>
    <x v="585"/>
    <x v="2"/>
    <x v="0"/>
    <x v="2"/>
    <x v="135"/>
    <n v="227.14"/>
    <n v="4"/>
    <n v="-42.59"/>
    <x v="11"/>
    <x v="0"/>
  </r>
  <r>
    <n v="44556"/>
    <x v="463"/>
    <x v="20"/>
    <x v="0"/>
    <x v="2"/>
    <x v="555"/>
    <n v="191.88"/>
    <n v="6"/>
    <n v="19.190000000000001"/>
    <x v="11"/>
    <x v="0"/>
  </r>
  <r>
    <n v="44556"/>
    <x v="135"/>
    <x v="2"/>
    <x v="0"/>
    <x v="4"/>
    <x v="1185"/>
    <n v="8.02"/>
    <n v="3"/>
    <n v="1.1000000000000001"/>
    <x v="11"/>
    <x v="0"/>
  </r>
  <r>
    <n v="44557"/>
    <x v="538"/>
    <x v="3"/>
    <x v="0"/>
    <x v="1"/>
    <x v="115"/>
    <n v="11.56"/>
    <n v="4"/>
    <n v="5.43"/>
    <x v="11"/>
    <x v="0"/>
  </r>
  <r>
    <n v="44557"/>
    <x v="261"/>
    <x v="1"/>
    <x v="1"/>
    <x v="8"/>
    <x v="211"/>
    <n v="32.950000000000003"/>
    <n v="6"/>
    <n v="-19.77"/>
    <x v="11"/>
    <x v="0"/>
  </r>
  <r>
    <n v="44557"/>
    <x v="261"/>
    <x v="1"/>
    <x v="0"/>
    <x v="2"/>
    <x v="163"/>
    <n v="30.02"/>
    <n v="4"/>
    <n v="3"/>
    <x v="11"/>
    <x v="0"/>
  </r>
  <r>
    <n v="44557"/>
    <x v="467"/>
    <x v="3"/>
    <x v="1"/>
    <x v="5"/>
    <x v="342"/>
    <n v="230.28"/>
    <n v="3"/>
    <n v="23.03"/>
    <x v="11"/>
    <x v="0"/>
  </r>
  <r>
    <n v="44557"/>
    <x v="467"/>
    <x v="3"/>
    <x v="0"/>
    <x v="0"/>
    <x v="1186"/>
    <n v="12.84"/>
    <n v="3"/>
    <n v="5.78"/>
    <x v="11"/>
    <x v="0"/>
  </r>
  <r>
    <n v="44557"/>
    <x v="586"/>
    <x v="20"/>
    <x v="1"/>
    <x v="5"/>
    <x v="142"/>
    <n v="767.21"/>
    <n v="14"/>
    <n v="161.97"/>
    <x v="11"/>
    <x v="0"/>
  </r>
  <r>
    <n v="44557"/>
    <x v="33"/>
    <x v="3"/>
    <x v="0"/>
    <x v="12"/>
    <x v="394"/>
    <n v="10.98"/>
    <n v="1"/>
    <n v="2.96"/>
    <x v="11"/>
    <x v="0"/>
  </r>
  <r>
    <n v="44557"/>
    <x v="33"/>
    <x v="3"/>
    <x v="0"/>
    <x v="7"/>
    <x v="78"/>
    <n v="7.86"/>
    <n v="3"/>
    <n v="3.62"/>
    <x v="11"/>
    <x v="0"/>
  </r>
  <r>
    <n v="44557"/>
    <x v="33"/>
    <x v="3"/>
    <x v="0"/>
    <x v="2"/>
    <x v="1187"/>
    <n v="51.45"/>
    <n v="3"/>
    <n v="13.89"/>
    <x v="11"/>
    <x v="0"/>
  </r>
  <r>
    <n v="44557"/>
    <x v="33"/>
    <x v="3"/>
    <x v="0"/>
    <x v="3"/>
    <x v="962"/>
    <n v="37.06"/>
    <n v="3"/>
    <n v="13.9"/>
    <x v="11"/>
    <x v="0"/>
  </r>
  <r>
    <n v="44557"/>
    <x v="498"/>
    <x v="33"/>
    <x v="0"/>
    <x v="0"/>
    <x v="1188"/>
    <n v="23.92"/>
    <n v="4"/>
    <n v="11.72"/>
    <x v="11"/>
    <x v="0"/>
  </r>
  <r>
    <n v="44557"/>
    <x v="498"/>
    <x v="33"/>
    <x v="2"/>
    <x v="9"/>
    <x v="1189"/>
    <n v="498"/>
    <n v="5"/>
    <n v="184.26"/>
    <x v="11"/>
    <x v="0"/>
  </r>
  <r>
    <n v="44557"/>
    <x v="180"/>
    <x v="0"/>
    <x v="0"/>
    <x v="3"/>
    <x v="461"/>
    <n v="4.9800000000000004"/>
    <n v="1"/>
    <n v="-8.4700000000000006"/>
    <x v="11"/>
    <x v="0"/>
  </r>
  <r>
    <n v="44557"/>
    <x v="366"/>
    <x v="10"/>
    <x v="1"/>
    <x v="8"/>
    <x v="1190"/>
    <n v="182.35"/>
    <n v="3"/>
    <n v="-18.239999999999998"/>
    <x v="11"/>
    <x v="0"/>
  </r>
  <r>
    <n v="44557"/>
    <x v="366"/>
    <x v="10"/>
    <x v="0"/>
    <x v="2"/>
    <x v="1191"/>
    <n v="118.16"/>
    <n v="2"/>
    <n v="-25.11"/>
    <x v="11"/>
    <x v="0"/>
  </r>
  <r>
    <n v="44557"/>
    <x v="218"/>
    <x v="12"/>
    <x v="0"/>
    <x v="3"/>
    <x v="1140"/>
    <n v="946.76"/>
    <n v="6"/>
    <n v="-694.29"/>
    <x v="11"/>
    <x v="0"/>
  </r>
  <r>
    <n v="44558"/>
    <x v="569"/>
    <x v="2"/>
    <x v="0"/>
    <x v="4"/>
    <x v="1192"/>
    <n v="99.14"/>
    <n v="4"/>
    <n v="8.67"/>
    <x v="11"/>
    <x v="0"/>
  </r>
  <r>
    <n v="44558"/>
    <x v="8"/>
    <x v="32"/>
    <x v="0"/>
    <x v="12"/>
    <x v="1193"/>
    <n v="1737.18"/>
    <n v="6"/>
    <n v="503.78"/>
    <x v="11"/>
    <x v="0"/>
  </r>
  <r>
    <n v="44558"/>
    <x v="8"/>
    <x v="32"/>
    <x v="0"/>
    <x v="2"/>
    <x v="1194"/>
    <n v="704.25"/>
    <n v="5"/>
    <n v="84.51"/>
    <x v="11"/>
    <x v="0"/>
  </r>
  <r>
    <n v="44558"/>
    <x v="8"/>
    <x v="32"/>
    <x v="0"/>
    <x v="0"/>
    <x v="1195"/>
    <n v="141.76"/>
    <n v="4"/>
    <n v="66.63"/>
    <x v="11"/>
    <x v="0"/>
  </r>
  <r>
    <n v="44558"/>
    <x v="496"/>
    <x v="3"/>
    <x v="0"/>
    <x v="2"/>
    <x v="351"/>
    <n v="998.82"/>
    <n v="9"/>
    <n v="29.96"/>
    <x v="11"/>
    <x v="0"/>
  </r>
  <r>
    <n v="44558"/>
    <x v="496"/>
    <x v="3"/>
    <x v="0"/>
    <x v="14"/>
    <x v="654"/>
    <n v="51.15"/>
    <n v="5"/>
    <n v="13.3"/>
    <x v="11"/>
    <x v="0"/>
  </r>
  <r>
    <n v="44559"/>
    <x v="587"/>
    <x v="28"/>
    <x v="0"/>
    <x v="2"/>
    <x v="512"/>
    <n v="24.56"/>
    <n v="2"/>
    <n v="6.88"/>
    <x v="11"/>
    <x v="0"/>
  </r>
  <r>
    <n v="44559"/>
    <x v="587"/>
    <x v="28"/>
    <x v="2"/>
    <x v="9"/>
    <x v="1114"/>
    <n v="119.8"/>
    <n v="4"/>
    <n v="47.92"/>
    <x v="11"/>
    <x v="0"/>
  </r>
  <r>
    <n v="44559"/>
    <x v="202"/>
    <x v="3"/>
    <x v="1"/>
    <x v="8"/>
    <x v="517"/>
    <n v="24.9"/>
    <n v="5"/>
    <n v="8.2200000000000006"/>
    <x v="11"/>
    <x v="0"/>
  </r>
  <r>
    <n v="44559"/>
    <x v="202"/>
    <x v="3"/>
    <x v="0"/>
    <x v="0"/>
    <x v="1196"/>
    <n v="21.12"/>
    <n v="4"/>
    <n v="9.5"/>
    <x v="11"/>
    <x v="0"/>
  </r>
  <r>
    <n v="44559"/>
    <x v="202"/>
    <x v="3"/>
    <x v="2"/>
    <x v="15"/>
    <x v="1197"/>
    <n v="767.95"/>
    <n v="6"/>
    <n v="287.98"/>
    <x v="11"/>
    <x v="0"/>
  </r>
  <r>
    <n v="44559"/>
    <x v="202"/>
    <x v="3"/>
    <x v="0"/>
    <x v="3"/>
    <x v="1198"/>
    <n v="14.35"/>
    <n v="3"/>
    <n v="4.66"/>
    <x v="11"/>
    <x v="0"/>
  </r>
  <r>
    <n v="44559"/>
    <x v="202"/>
    <x v="3"/>
    <x v="2"/>
    <x v="6"/>
    <x v="463"/>
    <n v="191.98"/>
    <n v="3"/>
    <n v="19.2"/>
    <x v="11"/>
    <x v="0"/>
  </r>
  <r>
    <n v="44559"/>
    <x v="202"/>
    <x v="3"/>
    <x v="0"/>
    <x v="1"/>
    <x v="1199"/>
    <n v="274.77"/>
    <n v="9"/>
    <n v="126.39"/>
    <x v="11"/>
    <x v="0"/>
  </r>
  <r>
    <n v="44559"/>
    <x v="202"/>
    <x v="3"/>
    <x v="1"/>
    <x v="8"/>
    <x v="1200"/>
    <n v="70.56"/>
    <n v="6"/>
    <n v="23.99"/>
    <x v="11"/>
    <x v="0"/>
  </r>
  <r>
    <n v="44559"/>
    <x v="43"/>
    <x v="31"/>
    <x v="2"/>
    <x v="6"/>
    <x v="1201"/>
    <n v="23.98"/>
    <n v="3"/>
    <n v="-5.69"/>
    <x v="11"/>
    <x v="0"/>
  </r>
  <r>
    <n v="44559"/>
    <x v="43"/>
    <x v="31"/>
    <x v="0"/>
    <x v="2"/>
    <x v="53"/>
    <n v="33.29"/>
    <n v="1"/>
    <n v="7.99"/>
    <x v="11"/>
    <x v="0"/>
  </r>
  <r>
    <n v="44559"/>
    <x v="456"/>
    <x v="1"/>
    <x v="1"/>
    <x v="8"/>
    <x v="960"/>
    <n v="38.979999999999997"/>
    <n v="3"/>
    <n v="-50.67"/>
    <x v="11"/>
    <x v="0"/>
  </r>
  <r>
    <n v="44559"/>
    <x v="588"/>
    <x v="1"/>
    <x v="1"/>
    <x v="8"/>
    <x v="91"/>
    <n v="8.74"/>
    <n v="3"/>
    <n v="-4.8"/>
    <x v="11"/>
    <x v="0"/>
  </r>
  <r>
    <n v="44559"/>
    <x v="170"/>
    <x v="3"/>
    <x v="0"/>
    <x v="1"/>
    <x v="798"/>
    <n v="88.8"/>
    <n v="6"/>
    <n v="44.4"/>
    <x v="11"/>
    <x v="0"/>
  </r>
  <r>
    <n v="44559"/>
    <x v="170"/>
    <x v="3"/>
    <x v="2"/>
    <x v="6"/>
    <x v="1202"/>
    <n v="319.97000000000003"/>
    <n v="4"/>
    <n v="36"/>
    <x v="11"/>
    <x v="0"/>
  </r>
  <r>
    <n v="44559"/>
    <x v="589"/>
    <x v="10"/>
    <x v="0"/>
    <x v="12"/>
    <x v="639"/>
    <n v="48.36"/>
    <n v="5"/>
    <n v="6.05"/>
    <x v="11"/>
    <x v="0"/>
  </r>
  <r>
    <n v="44560"/>
    <x v="590"/>
    <x v="14"/>
    <x v="0"/>
    <x v="4"/>
    <x v="368"/>
    <n v="9.84"/>
    <n v="3"/>
    <n v="2.85"/>
    <x v="11"/>
    <x v="0"/>
  </r>
  <r>
    <n v="44560"/>
    <x v="386"/>
    <x v="0"/>
    <x v="0"/>
    <x v="10"/>
    <x v="1072"/>
    <n v="12.98"/>
    <n v="3"/>
    <n v="4.71"/>
    <x v="11"/>
    <x v="0"/>
  </r>
  <r>
    <n v="44560"/>
    <x v="386"/>
    <x v="0"/>
    <x v="2"/>
    <x v="6"/>
    <x v="669"/>
    <n v="217.58"/>
    <n v="2"/>
    <n v="19.04"/>
    <x v="11"/>
    <x v="0"/>
  </r>
  <r>
    <n v="44560"/>
    <x v="386"/>
    <x v="0"/>
    <x v="2"/>
    <x v="6"/>
    <x v="308"/>
    <n v="328.78"/>
    <n v="3"/>
    <n v="28.77"/>
    <x v="11"/>
    <x v="0"/>
  </r>
  <r>
    <n v="44560"/>
    <x v="386"/>
    <x v="0"/>
    <x v="0"/>
    <x v="3"/>
    <x v="595"/>
    <n v="2.29"/>
    <n v="3"/>
    <n v="-3.66"/>
    <x v="11"/>
    <x v="0"/>
  </r>
  <r>
    <n v="44560"/>
    <x v="386"/>
    <x v="0"/>
    <x v="2"/>
    <x v="9"/>
    <x v="33"/>
    <n v="47.98"/>
    <n v="2"/>
    <n v="14.4"/>
    <x v="11"/>
    <x v="0"/>
  </r>
  <r>
    <n v="44560"/>
    <x v="591"/>
    <x v="12"/>
    <x v="0"/>
    <x v="3"/>
    <x v="688"/>
    <n v="551.99"/>
    <n v="5"/>
    <n v="-459.99"/>
    <x v="11"/>
    <x v="0"/>
  </r>
  <r>
    <n v="44560"/>
    <x v="41"/>
    <x v="2"/>
    <x v="2"/>
    <x v="9"/>
    <x v="885"/>
    <n v="27.97"/>
    <n v="2"/>
    <n v="6.99"/>
    <x v="11"/>
    <x v="0"/>
  </r>
  <r>
    <n v="44560"/>
    <x v="592"/>
    <x v="2"/>
    <x v="2"/>
    <x v="6"/>
    <x v="1095"/>
    <n v="251.96"/>
    <n v="6"/>
    <n v="-50.39"/>
    <x v="11"/>
    <x v="0"/>
  </r>
  <r>
    <n v="44560"/>
    <x v="592"/>
    <x v="2"/>
    <x v="1"/>
    <x v="13"/>
    <x v="576"/>
    <n v="523.76"/>
    <n v="3"/>
    <n v="-192.05"/>
    <x v="11"/>
    <x v="0"/>
  </r>
  <r>
    <n v="44560"/>
    <x v="404"/>
    <x v="20"/>
    <x v="0"/>
    <x v="12"/>
    <x v="1203"/>
    <n v="122.94"/>
    <n v="3"/>
    <n v="30.74"/>
    <x v="11"/>
    <x v="0"/>
  </r>
  <r>
    <n v="44560"/>
    <x v="404"/>
    <x v="20"/>
    <x v="0"/>
    <x v="3"/>
    <x v="130"/>
    <n v="35.450000000000003"/>
    <n v="7"/>
    <n v="12.85"/>
    <x v="11"/>
    <x v="0"/>
  </r>
  <r>
    <n v="44560"/>
    <x v="118"/>
    <x v="15"/>
    <x v="0"/>
    <x v="2"/>
    <x v="1204"/>
    <n v="39.130000000000003"/>
    <n v="1"/>
    <n v="-8.8000000000000007"/>
    <x v="11"/>
    <x v="0"/>
  </r>
  <r>
    <n v="44561"/>
    <x v="593"/>
    <x v="20"/>
    <x v="1"/>
    <x v="11"/>
    <x v="1205"/>
    <n v="1573.49"/>
    <n v="7"/>
    <n v="196.69"/>
    <x v="11"/>
    <x v="0"/>
  </r>
  <r>
    <n v="44561"/>
    <x v="274"/>
    <x v="24"/>
    <x v="0"/>
    <x v="4"/>
    <x v="224"/>
    <n v="29.68"/>
    <n v="7"/>
    <n v="11.58"/>
    <x v="11"/>
    <x v="0"/>
  </r>
  <r>
    <n v="44561"/>
    <x v="274"/>
    <x v="24"/>
    <x v="2"/>
    <x v="9"/>
    <x v="1206"/>
    <n v="47.53"/>
    <n v="7"/>
    <n v="16.16"/>
    <x v="11"/>
    <x v="0"/>
  </r>
  <r>
    <n v="44561"/>
    <x v="146"/>
    <x v="32"/>
    <x v="1"/>
    <x v="8"/>
    <x v="805"/>
    <n v="63.2"/>
    <n v="5"/>
    <n v="23.38"/>
    <x v="11"/>
    <x v="0"/>
  </r>
  <r>
    <n v="44561"/>
    <x v="146"/>
    <x v="32"/>
    <x v="2"/>
    <x v="9"/>
    <x v="1207"/>
    <n v="113.97"/>
    <n v="3"/>
    <n v="27.35"/>
    <x v="11"/>
    <x v="0"/>
  </r>
  <r>
    <n v="44561"/>
    <x v="507"/>
    <x v="0"/>
    <x v="0"/>
    <x v="10"/>
    <x v="21"/>
    <n v="49.57"/>
    <n v="2"/>
    <n v="17.97"/>
    <x v="11"/>
    <x v="0"/>
  </r>
  <r>
    <n v="44561"/>
    <x v="307"/>
    <x v="43"/>
    <x v="0"/>
    <x v="0"/>
    <x v="951"/>
    <n v="195.64"/>
    <n v="4"/>
    <n v="91.95"/>
    <x v="11"/>
    <x v="0"/>
  </r>
  <r>
    <n v="44561"/>
    <x v="307"/>
    <x v="43"/>
    <x v="0"/>
    <x v="0"/>
    <x v="1097"/>
    <n v="14.94"/>
    <n v="3"/>
    <n v="7.02"/>
    <x v="11"/>
    <x v="0"/>
  </r>
  <r>
    <n v="44561"/>
    <x v="307"/>
    <x v="43"/>
    <x v="2"/>
    <x v="9"/>
    <x v="1208"/>
    <n v="1687.8"/>
    <n v="4"/>
    <n v="742.63"/>
    <x v="11"/>
    <x v="0"/>
  </r>
  <r>
    <n v="44561"/>
    <x v="307"/>
    <x v="43"/>
    <x v="1"/>
    <x v="11"/>
    <x v="430"/>
    <n v="341.96"/>
    <n v="2"/>
    <n v="78.650000000000006"/>
    <x v="11"/>
    <x v="0"/>
  </r>
  <r>
    <n v="44561"/>
    <x v="307"/>
    <x v="43"/>
    <x v="1"/>
    <x v="5"/>
    <x v="1209"/>
    <n v="605.88"/>
    <n v="6"/>
    <n v="151.47"/>
    <x v="11"/>
    <x v="0"/>
  </r>
  <r>
    <n v="44561"/>
    <x v="594"/>
    <x v="17"/>
    <x v="2"/>
    <x v="6"/>
    <x v="1210"/>
    <n v="475.94"/>
    <n v="7"/>
    <n v="59.49"/>
    <x v="11"/>
    <x v="0"/>
  </r>
  <r>
    <n v="44561"/>
    <x v="160"/>
    <x v="20"/>
    <x v="2"/>
    <x v="9"/>
    <x v="1211"/>
    <n v="34.770000000000003"/>
    <n v="3"/>
    <n v="11.47"/>
    <x v="11"/>
    <x v="0"/>
  </r>
  <r>
    <n v="44561"/>
    <x v="160"/>
    <x v="20"/>
    <x v="0"/>
    <x v="1"/>
    <x v="821"/>
    <n v="18.899999999999999"/>
    <n v="3"/>
    <n v="8.69"/>
    <x v="11"/>
    <x v="0"/>
  </r>
  <r>
    <n v="44563"/>
    <x v="197"/>
    <x v="10"/>
    <x v="0"/>
    <x v="1"/>
    <x v="210"/>
    <n v="23.68"/>
    <n v="2"/>
    <n v="8.8800000000000008"/>
    <x v="0"/>
    <x v="1"/>
  </r>
  <r>
    <n v="44563"/>
    <x v="197"/>
    <x v="10"/>
    <x v="1"/>
    <x v="11"/>
    <x v="1212"/>
    <n v="452.45"/>
    <n v="5"/>
    <n v="-244.32"/>
    <x v="0"/>
    <x v="1"/>
  </r>
  <r>
    <n v="44563"/>
    <x v="197"/>
    <x v="10"/>
    <x v="2"/>
    <x v="6"/>
    <x v="1213"/>
    <n v="62.98"/>
    <n v="3"/>
    <n v="-14.7"/>
    <x v="0"/>
    <x v="1"/>
  </r>
  <r>
    <n v="44563"/>
    <x v="197"/>
    <x v="10"/>
    <x v="2"/>
    <x v="15"/>
    <x v="1214"/>
    <n v="1188"/>
    <n v="9"/>
    <n v="-950.4"/>
    <x v="0"/>
    <x v="1"/>
  </r>
  <r>
    <n v="44563"/>
    <x v="197"/>
    <x v="10"/>
    <x v="2"/>
    <x v="9"/>
    <x v="378"/>
    <n v="89.58"/>
    <n v="2"/>
    <n v="4.4800000000000004"/>
    <x v="0"/>
    <x v="1"/>
  </r>
  <r>
    <n v="44563"/>
    <x v="595"/>
    <x v="7"/>
    <x v="0"/>
    <x v="2"/>
    <x v="434"/>
    <n v="85.52"/>
    <n v="2"/>
    <n v="22.24"/>
    <x v="0"/>
    <x v="1"/>
  </r>
  <r>
    <n v="44563"/>
    <x v="595"/>
    <x v="7"/>
    <x v="0"/>
    <x v="4"/>
    <x v="839"/>
    <n v="9.84"/>
    <n v="3"/>
    <n v="2.66"/>
    <x v="0"/>
    <x v="1"/>
  </r>
  <r>
    <n v="44563"/>
    <x v="595"/>
    <x v="7"/>
    <x v="0"/>
    <x v="0"/>
    <x v="1215"/>
    <n v="20.04"/>
    <n v="3"/>
    <n v="9.6199999999999992"/>
    <x v="0"/>
    <x v="1"/>
  </r>
  <r>
    <n v="44564"/>
    <x v="472"/>
    <x v="0"/>
    <x v="0"/>
    <x v="0"/>
    <x v="684"/>
    <n v="10.37"/>
    <n v="2"/>
    <n v="3.63"/>
    <x v="0"/>
    <x v="1"/>
  </r>
  <r>
    <n v="44564"/>
    <x v="596"/>
    <x v="0"/>
    <x v="2"/>
    <x v="9"/>
    <x v="1189"/>
    <n v="398.4"/>
    <n v="5"/>
    <n v="84.66"/>
    <x v="0"/>
    <x v="1"/>
  </r>
  <r>
    <n v="44564"/>
    <x v="596"/>
    <x v="0"/>
    <x v="0"/>
    <x v="4"/>
    <x v="421"/>
    <n v="7.06"/>
    <n v="3"/>
    <n v="0.79"/>
    <x v="0"/>
    <x v="1"/>
  </r>
  <r>
    <n v="44564"/>
    <x v="596"/>
    <x v="0"/>
    <x v="1"/>
    <x v="11"/>
    <x v="469"/>
    <n v="1352.4"/>
    <n v="9"/>
    <n v="-437.54"/>
    <x v="0"/>
    <x v="1"/>
  </r>
  <r>
    <n v="44565"/>
    <x v="10"/>
    <x v="28"/>
    <x v="0"/>
    <x v="3"/>
    <x v="39"/>
    <n v="32.340000000000003"/>
    <n v="3"/>
    <n v="15.52"/>
    <x v="0"/>
    <x v="1"/>
  </r>
  <r>
    <n v="44565"/>
    <x v="10"/>
    <x v="28"/>
    <x v="0"/>
    <x v="0"/>
    <x v="452"/>
    <n v="39.9"/>
    <n v="5"/>
    <n v="19.95"/>
    <x v="0"/>
    <x v="1"/>
  </r>
  <r>
    <n v="44565"/>
    <x v="597"/>
    <x v="6"/>
    <x v="1"/>
    <x v="8"/>
    <x v="211"/>
    <n v="192.22"/>
    <n v="14"/>
    <n v="69.2"/>
    <x v="0"/>
    <x v="1"/>
  </r>
  <r>
    <n v="44566"/>
    <x v="50"/>
    <x v="22"/>
    <x v="1"/>
    <x v="5"/>
    <x v="415"/>
    <n v="61.58"/>
    <n v="1"/>
    <n v="-6.93"/>
    <x v="0"/>
    <x v="1"/>
  </r>
  <r>
    <n v="44566"/>
    <x v="196"/>
    <x v="20"/>
    <x v="0"/>
    <x v="4"/>
    <x v="859"/>
    <n v="59.52"/>
    <n v="3"/>
    <n v="15.48"/>
    <x v="0"/>
    <x v="1"/>
  </r>
  <r>
    <n v="44566"/>
    <x v="196"/>
    <x v="20"/>
    <x v="0"/>
    <x v="10"/>
    <x v="474"/>
    <n v="17.48"/>
    <n v="2"/>
    <n v="8.2200000000000006"/>
    <x v="0"/>
    <x v="1"/>
  </r>
  <r>
    <n v="44566"/>
    <x v="196"/>
    <x v="20"/>
    <x v="0"/>
    <x v="3"/>
    <x v="647"/>
    <n v="13.17"/>
    <n v="2"/>
    <n v="4.6100000000000003"/>
    <x v="0"/>
    <x v="1"/>
  </r>
  <r>
    <n v="44566"/>
    <x v="594"/>
    <x v="3"/>
    <x v="0"/>
    <x v="12"/>
    <x v="460"/>
    <n v="87.36"/>
    <n v="6"/>
    <n v="23.59"/>
    <x v="0"/>
    <x v="1"/>
  </r>
  <r>
    <n v="44566"/>
    <x v="594"/>
    <x v="3"/>
    <x v="0"/>
    <x v="3"/>
    <x v="363"/>
    <n v="56.16"/>
    <n v="6"/>
    <n v="17.55"/>
    <x v="0"/>
    <x v="1"/>
  </r>
  <r>
    <n v="44567"/>
    <x v="386"/>
    <x v="26"/>
    <x v="0"/>
    <x v="0"/>
    <x v="1216"/>
    <n v="29.6"/>
    <n v="5"/>
    <n v="9.25"/>
    <x v="0"/>
    <x v="1"/>
  </r>
  <r>
    <n v="44567"/>
    <x v="386"/>
    <x v="26"/>
    <x v="0"/>
    <x v="3"/>
    <x v="309"/>
    <n v="1.94"/>
    <n v="2"/>
    <n v="-1.36"/>
    <x v="0"/>
    <x v="1"/>
  </r>
  <r>
    <n v="44570"/>
    <x v="96"/>
    <x v="5"/>
    <x v="0"/>
    <x v="0"/>
    <x v="371"/>
    <n v="106.32"/>
    <n v="3"/>
    <n v="49.97"/>
    <x v="0"/>
    <x v="1"/>
  </r>
  <r>
    <n v="44570"/>
    <x v="96"/>
    <x v="5"/>
    <x v="0"/>
    <x v="12"/>
    <x v="1217"/>
    <n v="163.44"/>
    <n v="3"/>
    <n v="45.76"/>
    <x v="0"/>
    <x v="1"/>
  </r>
  <r>
    <n v="44570"/>
    <x v="96"/>
    <x v="5"/>
    <x v="0"/>
    <x v="4"/>
    <x v="1218"/>
    <n v="42.76"/>
    <n v="2"/>
    <n v="11.12"/>
    <x v="0"/>
    <x v="1"/>
  </r>
  <r>
    <n v="44570"/>
    <x v="96"/>
    <x v="5"/>
    <x v="0"/>
    <x v="0"/>
    <x v="1219"/>
    <n v="51.55"/>
    <n v="5"/>
    <n v="24.23"/>
    <x v="0"/>
    <x v="1"/>
  </r>
  <r>
    <n v="44571"/>
    <x v="13"/>
    <x v="20"/>
    <x v="1"/>
    <x v="13"/>
    <x v="233"/>
    <n v="1018.1"/>
    <n v="4"/>
    <n v="-373.3"/>
    <x v="0"/>
    <x v="1"/>
  </r>
  <r>
    <n v="44573"/>
    <x v="598"/>
    <x v="7"/>
    <x v="0"/>
    <x v="2"/>
    <x v="880"/>
    <n v="465.18"/>
    <n v="3"/>
    <n v="120.95"/>
    <x v="0"/>
    <x v="1"/>
  </r>
  <r>
    <n v="44573"/>
    <x v="599"/>
    <x v="10"/>
    <x v="0"/>
    <x v="4"/>
    <x v="136"/>
    <n v="10.37"/>
    <n v="2"/>
    <n v="1.56"/>
    <x v="0"/>
    <x v="1"/>
  </r>
  <r>
    <n v="44573"/>
    <x v="599"/>
    <x v="10"/>
    <x v="2"/>
    <x v="6"/>
    <x v="10"/>
    <n v="235.19"/>
    <n v="2"/>
    <n v="-43.12"/>
    <x v="0"/>
    <x v="1"/>
  </r>
  <r>
    <n v="44573"/>
    <x v="599"/>
    <x v="10"/>
    <x v="2"/>
    <x v="6"/>
    <x v="1220"/>
    <n v="26.38"/>
    <n v="4"/>
    <n v="2.64"/>
    <x v="0"/>
    <x v="1"/>
  </r>
  <r>
    <n v="44573"/>
    <x v="599"/>
    <x v="10"/>
    <x v="2"/>
    <x v="9"/>
    <x v="1221"/>
    <n v="10.38"/>
    <n v="2"/>
    <n v="2.21"/>
    <x v="0"/>
    <x v="1"/>
  </r>
  <r>
    <n v="44573"/>
    <x v="599"/>
    <x v="10"/>
    <x v="2"/>
    <x v="6"/>
    <x v="1222"/>
    <n v="107.12"/>
    <n v="3"/>
    <n v="-21.42"/>
    <x v="0"/>
    <x v="1"/>
  </r>
  <r>
    <n v="44574"/>
    <x v="300"/>
    <x v="3"/>
    <x v="0"/>
    <x v="3"/>
    <x v="1223"/>
    <n v="70.010000000000005"/>
    <n v="3"/>
    <n v="24.5"/>
    <x v="0"/>
    <x v="1"/>
  </r>
  <r>
    <n v="44574"/>
    <x v="300"/>
    <x v="3"/>
    <x v="1"/>
    <x v="8"/>
    <x v="1108"/>
    <n v="77.599999999999994"/>
    <n v="4"/>
    <n v="38.020000000000003"/>
    <x v="0"/>
    <x v="1"/>
  </r>
  <r>
    <n v="44574"/>
    <x v="300"/>
    <x v="3"/>
    <x v="1"/>
    <x v="8"/>
    <x v="1224"/>
    <n v="464.85"/>
    <n v="9"/>
    <n v="92.97"/>
    <x v="0"/>
    <x v="1"/>
  </r>
  <r>
    <n v="44574"/>
    <x v="600"/>
    <x v="4"/>
    <x v="0"/>
    <x v="1"/>
    <x v="1"/>
    <n v="9.82"/>
    <n v="2"/>
    <n v="4.8099999999999996"/>
    <x v="0"/>
    <x v="1"/>
  </r>
  <r>
    <n v="44578"/>
    <x v="179"/>
    <x v="1"/>
    <x v="1"/>
    <x v="8"/>
    <x v="50"/>
    <n v="254.74"/>
    <n v="7"/>
    <n v="-312.06"/>
    <x v="0"/>
    <x v="1"/>
  </r>
  <r>
    <n v="44578"/>
    <x v="134"/>
    <x v="32"/>
    <x v="0"/>
    <x v="4"/>
    <x v="191"/>
    <n v="6.68"/>
    <n v="2"/>
    <n v="2"/>
    <x v="0"/>
    <x v="1"/>
  </r>
  <r>
    <n v="44578"/>
    <x v="596"/>
    <x v="15"/>
    <x v="0"/>
    <x v="14"/>
    <x v="930"/>
    <n v="88.96"/>
    <n v="8"/>
    <n v="10.01"/>
    <x v="0"/>
    <x v="1"/>
  </r>
  <r>
    <n v="44580"/>
    <x v="181"/>
    <x v="0"/>
    <x v="1"/>
    <x v="13"/>
    <x v="582"/>
    <n v="102.44"/>
    <n v="1"/>
    <n v="-13.17"/>
    <x v="0"/>
    <x v="1"/>
  </r>
  <r>
    <n v="44580"/>
    <x v="181"/>
    <x v="0"/>
    <x v="1"/>
    <x v="5"/>
    <x v="1168"/>
    <n v="199.3"/>
    <n v="4"/>
    <n v="-8.5399999999999991"/>
    <x v="0"/>
    <x v="1"/>
  </r>
  <r>
    <n v="44584"/>
    <x v="249"/>
    <x v="35"/>
    <x v="0"/>
    <x v="0"/>
    <x v="48"/>
    <n v="29.04"/>
    <n v="3"/>
    <n v="13.94"/>
    <x v="0"/>
    <x v="1"/>
  </r>
  <r>
    <n v="44584"/>
    <x v="249"/>
    <x v="35"/>
    <x v="0"/>
    <x v="1"/>
    <x v="1225"/>
    <n v="14.62"/>
    <n v="2"/>
    <n v="6.87"/>
    <x v="0"/>
    <x v="1"/>
  </r>
  <r>
    <n v="44585"/>
    <x v="601"/>
    <x v="16"/>
    <x v="0"/>
    <x v="4"/>
    <x v="268"/>
    <n v="13.12"/>
    <n v="5"/>
    <n v="2.13"/>
    <x v="0"/>
    <x v="1"/>
  </r>
  <r>
    <n v="44587"/>
    <x v="551"/>
    <x v="3"/>
    <x v="0"/>
    <x v="0"/>
    <x v="1226"/>
    <n v="182.72"/>
    <n v="8"/>
    <n v="84.05"/>
    <x v="0"/>
    <x v="1"/>
  </r>
  <r>
    <n v="44588"/>
    <x v="9"/>
    <x v="10"/>
    <x v="1"/>
    <x v="5"/>
    <x v="1155"/>
    <n v="181.99"/>
    <n v="2"/>
    <n v="-54.6"/>
    <x v="0"/>
    <x v="1"/>
  </r>
  <r>
    <n v="44588"/>
    <x v="9"/>
    <x v="10"/>
    <x v="2"/>
    <x v="6"/>
    <x v="570"/>
    <n v="431.98"/>
    <n v="4"/>
    <n v="-100.79"/>
    <x v="0"/>
    <x v="1"/>
  </r>
  <r>
    <n v="44588"/>
    <x v="9"/>
    <x v="10"/>
    <x v="2"/>
    <x v="6"/>
    <x v="1227"/>
    <n v="155.37"/>
    <n v="1"/>
    <n v="-36.25"/>
    <x v="0"/>
    <x v="1"/>
  </r>
  <r>
    <n v="44588"/>
    <x v="573"/>
    <x v="3"/>
    <x v="1"/>
    <x v="5"/>
    <x v="599"/>
    <n v="2803.92"/>
    <n v="5"/>
    <n v="0"/>
    <x v="0"/>
    <x v="1"/>
  </r>
  <r>
    <n v="44589"/>
    <x v="343"/>
    <x v="25"/>
    <x v="1"/>
    <x v="13"/>
    <x v="232"/>
    <n v="4297.6400000000003"/>
    <n v="13"/>
    <n v="-1862.31"/>
    <x v="0"/>
    <x v="1"/>
  </r>
  <r>
    <n v="44591"/>
    <x v="355"/>
    <x v="0"/>
    <x v="0"/>
    <x v="0"/>
    <x v="1228"/>
    <n v="14.3"/>
    <n v="6"/>
    <n v="5.01"/>
    <x v="0"/>
    <x v="1"/>
  </r>
  <r>
    <n v="44591"/>
    <x v="309"/>
    <x v="3"/>
    <x v="1"/>
    <x v="8"/>
    <x v="866"/>
    <n v="227.36"/>
    <n v="7"/>
    <n v="81.849999999999994"/>
    <x v="0"/>
    <x v="1"/>
  </r>
  <r>
    <n v="44591"/>
    <x v="309"/>
    <x v="3"/>
    <x v="2"/>
    <x v="15"/>
    <x v="1229"/>
    <n v="1919.98"/>
    <n v="3"/>
    <n v="216"/>
    <x v="0"/>
    <x v="1"/>
  </r>
  <r>
    <n v="44592"/>
    <x v="366"/>
    <x v="28"/>
    <x v="0"/>
    <x v="0"/>
    <x v="423"/>
    <n v="12.96"/>
    <n v="2"/>
    <n v="6.22"/>
    <x v="0"/>
    <x v="1"/>
  </r>
  <r>
    <n v="44592"/>
    <x v="366"/>
    <x v="28"/>
    <x v="1"/>
    <x v="8"/>
    <x v="1230"/>
    <n v="53.34"/>
    <n v="3"/>
    <n v="16.54"/>
    <x v="0"/>
    <x v="1"/>
  </r>
  <r>
    <n v="44592"/>
    <x v="366"/>
    <x v="28"/>
    <x v="0"/>
    <x v="3"/>
    <x v="275"/>
    <n v="32.96"/>
    <n v="2"/>
    <n v="16.149999999999999"/>
    <x v="0"/>
    <x v="1"/>
  </r>
  <r>
    <n v="44595"/>
    <x v="158"/>
    <x v="40"/>
    <x v="1"/>
    <x v="8"/>
    <x v="1231"/>
    <n v="28.4"/>
    <n v="2"/>
    <n v="11.08"/>
    <x v="1"/>
    <x v="1"/>
  </r>
  <r>
    <n v="44595"/>
    <x v="158"/>
    <x v="40"/>
    <x v="2"/>
    <x v="9"/>
    <x v="247"/>
    <n v="149.97"/>
    <n v="3"/>
    <n v="50.99"/>
    <x v="1"/>
    <x v="1"/>
  </r>
  <r>
    <n v="44595"/>
    <x v="602"/>
    <x v="3"/>
    <x v="1"/>
    <x v="8"/>
    <x v="1232"/>
    <n v="136.91999999999999"/>
    <n v="4"/>
    <n v="41.08"/>
    <x v="1"/>
    <x v="1"/>
  </r>
  <r>
    <n v="44595"/>
    <x v="484"/>
    <x v="27"/>
    <x v="0"/>
    <x v="3"/>
    <x v="753"/>
    <n v="12.14"/>
    <n v="3"/>
    <n v="4.0999999999999996"/>
    <x v="1"/>
    <x v="1"/>
  </r>
  <r>
    <n v="44595"/>
    <x v="251"/>
    <x v="4"/>
    <x v="0"/>
    <x v="10"/>
    <x v="21"/>
    <n v="74.52"/>
    <n v="9"/>
    <n v="35.020000000000003"/>
    <x v="1"/>
    <x v="1"/>
  </r>
  <r>
    <n v="44595"/>
    <x v="203"/>
    <x v="20"/>
    <x v="1"/>
    <x v="5"/>
    <x v="1209"/>
    <n v="90.88"/>
    <n v="1"/>
    <n v="15.15"/>
    <x v="1"/>
    <x v="1"/>
  </r>
  <r>
    <n v="44598"/>
    <x v="197"/>
    <x v="22"/>
    <x v="0"/>
    <x v="4"/>
    <x v="1041"/>
    <n v="5.28"/>
    <n v="3"/>
    <n v="1.53"/>
    <x v="1"/>
    <x v="1"/>
  </r>
  <r>
    <n v="44598"/>
    <x v="325"/>
    <x v="7"/>
    <x v="1"/>
    <x v="5"/>
    <x v="1136"/>
    <n v="1268.82"/>
    <n v="9"/>
    <n v="266.45"/>
    <x v="1"/>
    <x v="1"/>
  </r>
  <r>
    <n v="44598"/>
    <x v="325"/>
    <x v="7"/>
    <x v="1"/>
    <x v="11"/>
    <x v="1233"/>
    <n v="283.92"/>
    <n v="4"/>
    <n v="82.34"/>
    <x v="1"/>
    <x v="1"/>
  </r>
  <r>
    <n v="44598"/>
    <x v="325"/>
    <x v="7"/>
    <x v="0"/>
    <x v="4"/>
    <x v="959"/>
    <n v="5.68"/>
    <n v="2"/>
    <n v="1.76"/>
    <x v="1"/>
    <x v="1"/>
  </r>
  <r>
    <n v="44598"/>
    <x v="603"/>
    <x v="0"/>
    <x v="0"/>
    <x v="3"/>
    <x v="1079"/>
    <n v="2.93"/>
    <n v="3"/>
    <n v="-4.99"/>
    <x v="1"/>
    <x v="1"/>
  </r>
  <r>
    <n v="44598"/>
    <x v="603"/>
    <x v="0"/>
    <x v="2"/>
    <x v="9"/>
    <x v="1234"/>
    <n v="18.53"/>
    <n v="2"/>
    <n v="4.4000000000000004"/>
    <x v="1"/>
    <x v="1"/>
  </r>
  <r>
    <n v="44598"/>
    <x v="603"/>
    <x v="0"/>
    <x v="0"/>
    <x v="2"/>
    <x v="479"/>
    <n v="670.75"/>
    <n v="3"/>
    <n v="-125.77"/>
    <x v="1"/>
    <x v="1"/>
  </r>
  <r>
    <n v="44598"/>
    <x v="604"/>
    <x v="6"/>
    <x v="0"/>
    <x v="2"/>
    <x v="1204"/>
    <n v="146.72999999999999"/>
    <n v="3"/>
    <n v="2.93"/>
    <x v="1"/>
    <x v="1"/>
  </r>
  <r>
    <n v="44598"/>
    <x v="604"/>
    <x v="6"/>
    <x v="0"/>
    <x v="0"/>
    <x v="1235"/>
    <n v="29.9"/>
    <n v="5"/>
    <n v="13.46"/>
    <x v="1"/>
    <x v="1"/>
  </r>
  <r>
    <n v="44599"/>
    <x v="105"/>
    <x v="6"/>
    <x v="0"/>
    <x v="10"/>
    <x v="323"/>
    <n v="311.14999999999998"/>
    <n v="5"/>
    <n v="146.24"/>
    <x v="1"/>
    <x v="1"/>
  </r>
  <r>
    <n v="44599"/>
    <x v="105"/>
    <x v="6"/>
    <x v="0"/>
    <x v="0"/>
    <x v="186"/>
    <n v="12.96"/>
    <n v="2"/>
    <n v="6.35"/>
    <x v="1"/>
    <x v="1"/>
  </r>
  <r>
    <n v="44600"/>
    <x v="384"/>
    <x v="10"/>
    <x v="2"/>
    <x v="6"/>
    <x v="784"/>
    <n v="107.98"/>
    <n v="3"/>
    <n v="-27"/>
    <x v="1"/>
    <x v="1"/>
  </r>
  <r>
    <n v="44600"/>
    <x v="248"/>
    <x v="42"/>
    <x v="0"/>
    <x v="0"/>
    <x v="1236"/>
    <n v="9.5399999999999991"/>
    <n v="2"/>
    <n v="4.29"/>
    <x v="1"/>
    <x v="1"/>
  </r>
  <r>
    <n v="44600"/>
    <x v="248"/>
    <x v="42"/>
    <x v="0"/>
    <x v="7"/>
    <x v="320"/>
    <n v="5.81"/>
    <n v="1"/>
    <n v="1.8"/>
    <x v="1"/>
    <x v="1"/>
  </r>
  <r>
    <n v="44600"/>
    <x v="248"/>
    <x v="42"/>
    <x v="0"/>
    <x v="4"/>
    <x v="1237"/>
    <n v="5.76"/>
    <n v="2"/>
    <n v="1.73"/>
    <x v="1"/>
    <x v="1"/>
  </r>
  <r>
    <n v="44601"/>
    <x v="279"/>
    <x v="0"/>
    <x v="2"/>
    <x v="9"/>
    <x v="17"/>
    <n v="20.8"/>
    <n v="2"/>
    <n v="6.5"/>
    <x v="1"/>
    <x v="1"/>
  </r>
  <r>
    <n v="44601"/>
    <x v="410"/>
    <x v="0"/>
    <x v="0"/>
    <x v="1"/>
    <x v="37"/>
    <n v="40.1"/>
    <n v="4"/>
    <n v="13.53"/>
    <x v="1"/>
    <x v="1"/>
  </r>
  <r>
    <n v="44601"/>
    <x v="410"/>
    <x v="0"/>
    <x v="1"/>
    <x v="8"/>
    <x v="193"/>
    <n v="40.78"/>
    <n v="2"/>
    <n v="-30.59"/>
    <x v="1"/>
    <x v="1"/>
  </r>
  <r>
    <n v="44601"/>
    <x v="605"/>
    <x v="3"/>
    <x v="1"/>
    <x v="5"/>
    <x v="908"/>
    <n v="203.92"/>
    <n v="5"/>
    <n v="22.94"/>
    <x v="1"/>
    <x v="1"/>
  </r>
  <r>
    <n v="44601"/>
    <x v="453"/>
    <x v="1"/>
    <x v="2"/>
    <x v="9"/>
    <x v="297"/>
    <n v="479.95"/>
    <n v="6"/>
    <n v="89.99"/>
    <x v="1"/>
    <x v="1"/>
  </r>
  <r>
    <n v="44602"/>
    <x v="555"/>
    <x v="2"/>
    <x v="0"/>
    <x v="2"/>
    <x v="836"/>
    <n v="77.239999999999995"/>
    <n v="5"/>
    <n v="7.72"/>
    <x v="1"/>
    <x v="1"/>
  </r>
  <r>
    <n v="44606"/>
    <x v="366"/>
    <x v="10"/>
    <x v="0"/>
    <x v="3"/>
    <x v="461"/>
    <n v="14.95"/>
    <n v="2"/>
    <n v="-11.96"/>
    <x v="1"/>
    <x v="1"/>
  </r>
  <r>
    <n v="44606"/>
    <x v="366"/>
    <x v="10"/>
    <x v="2"/>
    <x v="6"/>
    <x v="1238"/>
    <n v="323.98"/>
    <n v="3"/>
    <n v="-81"/>
    <x v="1"/>
    <x v="1"/>
  </r>
  <r>
    <n v="44606"/>
    <x v="366"/>
    <x v="10"/>
    <x v="0"/>
    <x v="3"/>
    <x v="595"/>
    <n v="2.29"/>
    <n v="2"/>
    <n v="-1.68"/>
    <x v="1"/>
    <x v="1"/>
  </r>
  <r>
    <n v="44606"/>
    <x v="366"/>
    <x v="10"/>
    <x v="0"/>
    <x v="4"/>
    <x v="588"/>
    <n v="14.35"/>
    <n v="3"/>
    <n v="0.9"/>
    <x v="1"/>
    <x v="1"/>
  </r>
  <r>
    <n v="44606"/>
    <x v="366"/>
    <x v="10"/>
    <x v="2"/>
    <x v="9"/>
    <x v="991"/>
    <n v="71.98"/>
    <n v="3"/>
    <n v="0.9"/>
    <x v="1"/>
    <x v="1"/>
  </r>
  <r>
    <n v="44606"/>
    <x v="207"/>
    <x v="20"/>
    <x v="0"/>
    <x v="3"/>
    <x v="1239"/>
    <n v="26.42"/>
    <n v="9"/>
    <n v="9.58"/>
    <x v="1"/>
    <x v="1"/>
  </r>
  <r>
    <n v="44606"/>
    <x v="207"/>
    <x v="20"/>
    <x v="2"/>
    <x v="6"/>
    <x v="1085"/>
    <n v="625.99"/>
    <n v="1"/>
    <n v="187.8"/>
    <x v="1"/>
    <x v="1"/>
  </r>
  <r>
    <n v="44607"/>
    <x v="132"/>
    <x v="21"/>
    <x v="2"/>
    <x v="6"/>
    <x v="240"/>
    <n v="134.97"/>
    <n v="3"/>
    <n v="64.790000000000006"/>
    <x v="1"/>
    <x v="1"/>
  </r>
  <r>
    <n v="44607"/>
    <x v="132"/>
    <x v="21"/>
    <x v="2"/>
    <x v="6"/>
    <x v="1021"/>
    <n v="699.98"/>
    <n v="2"/>
    <n v="195.99"/>
    <x v="1"/>
    <x v="1"/>
  </r>
  <r>
    <n v="44607"/>
    <x v="132"/>
    <x v="21"/>
    <x v="2"/>
    <x v="9"/>
    <x v="973"/>
    <n v="139.94999999999999"/>
    <n v="5"/>
    <n v="26.59"/>
    <x v="1"/>
    <x v="1"/>
  </r>
  <r>
    <n v="44607"/>
    <x v="176"/>
    <x v="3"/>
    <x v="0"/>
    <x v="0"/>
    <x v="1215"/>
    <n v="13.36"/>
    <n v="2"/>
    <n v="6.41"/>
    <x v="1"/>
    <x v="1"/>
  </r>
  <r>
    <n v="44607"/>
    <x v="176"/>
    <x v="3"/>
    <x v="0"/>
    <x v="3"/>
    <x v="345"/>
    <n v="41.72"/>
    <n v="5"/>
    <n v="13.04"/>
    <x v="1"/>
    <x v="1"/>
  </r>
  <r>
    <n v="44607"/>
    <x v="176"/>
    <x v="3"/>
    <x v="0"/>
    <x v="3"/>
    <x v="549"/>
    <n v="11.52"/>
    <n v="5"/>
    <n v="4.18"/>
    <x v="1"/>
    <x v="1"/>
  </r>
  <r>
    <n v="44607"/>
    <x v="176"/>
    <x v="3"/>
    <x v="0"/>
    <x v="12"/>
    <x v="340"/>
    <n v="541.44000000000005"/>
    <n v="6"/>
    <n v="157.02000000000001"/>
    <x v="1"/>
    <x v="1"/>
  </r>
  <r>
    <n v="44607"/>
    <x v="176"/>
    <x v="3"/>
    <x v="0"/>
    <x v="0"/>
    <x v="1240"/>
    <n v="19.440000000000001"/>
    <n v="3"/>
    <n v="9.33"/>
    <x v="1"/>
    <x v="1"/>
  </r>
  <r>
    <n v="44608"/>
    <x v="569"/>
    <x v="38"/>
    <x v="0"/>
    <x v="0"/>
    <x v="1235"/>
    <n v="35.880000000000003"/>
    <n v="6"/>
    <n v="16.149999999999999"/>
    <x v="1"/>
    <x v="1"/>
  </r>
  <r>
    <n v="44608"/>
    <x v="122"/>
    <x v="3"/>
    <x v="0"/>
    <x v="0"/>
    <x v="572"/>
    <n v="36.840000000000003"/>
    <n v="3"/>
    <n v="17.309999999999999"/>
    <x v="1"/>
    <x v="1"/>
  </r>
  <r>
    <n v="44608"/>
    <x v="122"/>
    <x v="3"/>
    <x v="0"/>
    <x v="1"/>
    <x v="634"/>
    <n v="87.71"/>
    <n v="7"/>
    <n v="41.22"/>
    <x v="1"/>
    <x v="1"/>
  </r>
  <r>
    <n v="44610"/>
    <x v="518"/>
    <x v="3"/>
    <x v="0"/>
    <x v="1"/>
    <x v="911"/>
    <n v="9.24"/>
    <n v="3"/>
    <n v="4.4400000000000004"/>
    <x v="1"/>
    <x v="1"/>
  </r>
  <r>
    <n v="44610"/>
    <x v="606"/>
    <x v="3"/>
    <x v="0"/>
    <x v="1"/>
    <x v="956"/>
    <n v="61.06"/>
    <n v="2"/>
    <n v="28.09"/>
    <x v="1"/>
    <x v="1"/>
  </r>
  <r>
    <n v="44610"/>
    <x v="606"/>
    <x v="3"/>
    <x v="1"/>
    <x v="13"/>
    <x v="1174"/>
    <n v="35.54"/>
    <n v="1"/>
    <n v="-0.89"/>
    <x v="1"/>
    <x v="1"/>
  </r>
  <r>
    <n v="44612"/>
    <x v="272"/>
    <x v="13"/>
    <x v="2"/>
    <x v="9"/>
    <x v="1241"/>
    <n v="29.99"/>
    <n v="1"/>
    <n v="3"/>
    <x v="1"/>
    <x v="1"/>
  </r>
  <r>
    <n v="44612"/>
    <x v="75"/>
    <x v="23"/>
    <x v="0"/>
    <x v="4"/>
    <x v="692"/>
    <n v="286.79000000000002"/>
    <n v="7"/>
    <n v="74.569999999999993"/>
    <x v="1"/>
    <x v="1"/>
  </r>
  <r>
    <n v="44613"/>
    <x v="364"/>
    <x v="31"/>
    <x v="0"/>
    <x v="0"/>
    <x v="371"/>
    <n v="49.12"/>
    <n v="4"/>
    <n v="23.09"/>
    <x v="1"/>
    <x v="1"/>
  </r>
  <r>
    <n v="44613"/>
    <x v="517"/>
    <x v="36"/>
    <x v="0"/>
    <x v="3"/>
    <x v="1030"/>
    <n v="2541.98"/>
    <n v="2"/>
    <n v="1270.99"/>
    <x v="1"/>
    <x v="1"/>
  </r>
  <r>
    <n v="44614"/>
    <x v="577"/>
    <x v="14"/>
    <x v="0"/>
    <x v="4"/>
    <x v="859"/>
    <n v="79.36"/>
    <n v="4"/>
    <n v="20.63"/>
    <x v="1"/>
    <x v="1"/>
  </r>
  <r>
    <n v="44615"/>
    <x v="607"/>
    <x v="20"/>
    <x v="0"/>
    <x v="12"/>
    <x v="1242"/>
    <n v="26.88"/>
    <n v="6"/>
    <n v="6.72"/>
    <x v="1"/>
    <x v="1"/>
  </r>
  <r>
    <n v="44615"/>
    <x v="607"/>
    <x v="20"/>
    <x v="0"/>
    <x v="3"/>
    <x v="876"/>
    <n v="10.9"/>
    <n v="2"/>
    <n v="3.81"/>
    <x v="1"/>
    <x v="1"/>
  </r>
  <r>
    <n v="44617"/>
    <x v="567"/>
    <x v="32"/>
    <x v="0"/>
    <x v="1"/>
    <x v="260"/>
    <n v="3.15"/>
    <n v="1"/>
    <n v="1.51"/>
    <x v="1"/>
    <x v="1"/>
  </r>
  <r>
    <n v="44617"/>
    <x v="567"/>
    <x v="32"/>
    <x v="0"/>
    <x v="0"/>
    <x v="1243"/>
    <n v="22.72"/>
    <n v="4"/>
    <n v="10.220000000000001"/>
    <x v="1"/>
    <x v="1"/>
  </r>
  <r>
    <n v="44619"/>
    <x v="478"/>
    <x v="2"/>
    <x v="0"/>
    <x v="3"/>
    <x v="73"/>
    <n v="4.42"/>
    <n v="3"/>
    <n v="-3.39"/>
    <x v="1"/>
    <x v="1"/>
  </r>
  <r>
    <n v="44619"/>
    <x v="478"/>
    <x v="2"/>
    <x v="0"/>
    <x v="4"/>
    <x v="1185"/>
    <n v="16.03"/>
    <n v="6"/>
    <n v="2.2000000000000002"/>
    <x v="1"/>
    <x v="1"/>
  </r>
  <r>
    <n v="44619"/>
    <x v="442"/>
    <x v="43"/>
    <x v="2"/>
    <x v="6"/>
    <x v="1244"/>
    <n v="105.98"/>
    <n v="2"/>
    <n v="1.06"/>
    <x v="1"/>
    <x v="1"/>
  </r>
  <r>
    <n v="44619"/>
    <x v="442"/>
    <x v="43"/>
    <x v="1"/>
    <x v="13"/>
    <x v="593"/>
    <n v="493.92"/>
    <n v="7"/>
    <n v="-28.22"/>
    <x v="1"/>
    <x v="1"/>
  </r>
  <r>
    <n v="44619"/>
    <x v="608"/>
    <x v="22"/>
    <x v="2"/>
    <x v="9"/>
    <x v="620"/>
    <n v="538.91999999999996"/>
    <n v="9"/>
    <n v="80.84"/>
    <x v="1"/>
    <x v="1"/>
  </r>
  <r>
    <n v="44620"/>
    <x v="329"/>
    <x v="15"/>
    <x v="1"/>
    <x v="5"/>
    <x v="1166"/>
    <n v="161.57"/>
    <n v="2"/>
    <n v="-28.27"/>
    <x v="1"/>
    <x v="1"/>
  </r>
  <r>
    <n v="44620"/>
    <x v="329"/>
    <x v="15"/>
    <x v="1"/>
    <x v="5"/>
    <x v="142"/>
    <n v="389.7"/>
    <n v="8"/>
    <n v="43.84"/>
    <x v="1"/>
    <x v="1"/>
  </r>
  <r>
    <n v="44621"/>
    <x v="43"/>
    <x v="4"/>
    <x v="0"/>
    <x v="3"/>
    <x v="1245"/>
    <n v="58.72"/>
    <n v="4"/>
    <n v="27.01"/>
    <x v="2"/>
    <x v="1"/>
  </r>
  <r>
    <n v="44621"/>
    <x v="526"/>
    <x v="3"/>
    <x v="2"/>
    <x v="6"/>
    <x v="356"/>
    <n v="15.98"/>
    <n v="2"/>
    <n v="1.2"/>
    <x v="2"/>
    <x v="1"/>
  </r>
  <r>
    <n v="44621"/>
    <x v="526"/>
    <x v="3"/>
    <x v="1"/>
    <x v="5"/>
    <x v="415"/>
    <n v="184.75"/>
    <n v="3"/>
    <n v="-20.78"/>
    <x v="2"/>
    <x v="1"/>
  </r>
  <r>
    <n v="44621"/>
    <x v="218"/>
    <x v="2"/>
    <x v="0"/>
    <x v="12"/>
    <x v="1246"/>
    <n v="3.55"/>
    <n v="2"/>
    <n v="0.44"/>
    <x v="2"/>
    <x v="1"/>
  </r>
  <r>
    <n v="44621"/>
    <x v="71"/>
    <x v="0"/>
    <x v="0"/>
    <x v="4"/>
    <x v="1247"/>
    <n v="55.33"/>
    <n v="2"/>
    <n v="6.22"/>
    <x v="2"/>
    <x v="1"/>
  </r>
  <r>
    <n v="44621"/>
    <x v="71"/>
    <x v="0"/>
    <x v="1"/>
    <x v="11"/>
    <x v="1248"/>
    <n v="1228"/>
    <n v="6"/>
    <n v="-36.119999999999997"/>
    <x v="2"/>
    <x v="1"/>
  </r>
  <r>
    <n v="44621"/>
    <x v="609"/>
    <x v="0"/>
    <x v="2"/>
    <x v="6"/>
    <x v="1249"/>
    <n v="95.84"/>
    <n v="4"/>
    <n v="34.74"/>
    <x v="2"/>
    <x v="1"/>
  </r>
  <r>
    <n v="44622"/>
    <x v="610"/>
    <x v="22"/>
    <x v="1"/>
    <x v="13"/>
    <x v="989"/>
    <n v="787.53"/>
    <n v="3"/>
    <n v="165.38"/>
    <x v="2"/>
    <x v="1"/>
  </r>
  <r>
    <n v="44622"/>
    <x v="205"/>
    <x v="18"/>
    <x v="0"/>
    <x v="4"/>
    <x v="1027"/>
    <n v="10.16"/>
    <n v="1"/>
    <n v="2.64"/>
    <x v="2"/>
    <x v="1"/>
  </r>
  <r>
    <n v="44622"/>
    <x v="205"/>
    <x v="18"/>
    <x v="0"/>
    <x v="10"/>
    <x v="22"/>
    <n v="101.88"/>
    <n v="6"/>
    <n v="50.94"/>
    <x v="2"/>
    <x v="1"/>
  </r>
  <r>
    <n v="44625"/>
    <x v="321"/>
    <x v="20"/>
    <x v="0"/>
    <x v="10"/>
    <x v="21"/>
    <n v="29.34"/>
    <n v="3"/>
    <n v="14.67"/>
    <x v="2"/>
    <x v="1"/>
  </r>
  <r>
    <n v="44625"/>
    <x v="321"/>
    <x v="20"/>
    <x v="1"/>
    <x v="5"/>
    <x v="94"/>
    <n v="383.61"/>
    <n v="7"/>
    <n v="63.93"/>
    <x v="2"/>
    <x v="1"/>
  </r>
  <r>
    <n v="44625"/>
    <x v="321"/>
    <x v="20"/>
    <x v="0"/>
    <x v="2"/>
    <x v="1194"/>
    <n v="563.4"/>
    <n v="4"/>
    <n v="67.61"/>
    <x v="2"/>
    <x v="1"/>
  </r>
  <r>
    <n v="44625"/>
    <x v="582"/>
    <x v="18"/>
    <x v="2"/>
    <x v="6"/>
    <x v="441"/>
    <n v="23.92"/>
    <n v="2"/>
    <n v="6.7"/>
    <x v="2"/>
    <x v="1"/>
  </r>
  <r>
    <n v="44625"/>
    <x v="582"/>
    <x v="18"/>
    <x v="0"/>
    <x v="12"/>
    <x v="394"/>
    <n v="60.69"/>
    <n v="7"/>
    <n v="16.39"/>
    <x v="2"/>
    <x v="1"/>
  </r>
  <r>
    <n v="44625"/>
    <x v="549"/>
    <x v="2"/>
    <x v="2"/>
    <x v="6"/>
    <x v="1250"/>
    <n v="466.16"/>
    <n v="7"/>
    <n v="-93.23"/>
    <x v="2"/>
    <x v="1"/>
  </r>
  <r>
    <n v="44625"/>
    <x v="549"/>
    <x v="2"/>
    <x v="2"/>
    <x v="9"/>
    <x v="932"/>
    <n v="10.31"/>
    <n v="1"/>
    <n v="-1.29"/>
    <x v="2"/>
    <x v="1"/>
  </r>
  <r>
    <n v="44625"/>
    <x v="549"/>
    <x v="2"/>
    <x v="0"/>
    <x v="3"/>
    <x v="245"/>
    <n v="2.56"/>
    <n v="3"/>
    <n v="-1.79"/>
    <x v="2"/>
    <x v="1"/>
  </r>
  <r>
    <n v="44625"/>
    <x v="611"/>
    <x v="2"/>
    <x v="1"/>
    <x v="5"/>
    <x v="478"/>
    <n v="99.37"/>
    <n v="2"/>
    <n v="-7.1"/>
    <x v="2"/>
    <x v="1"/>
  </r>
  <r>
    <n v="44625"/>
    <x v="611"/>
    <x v="2"/>
    <x v="1"/>
    <x v="8"/>
    <x v="1251"/>
    <n v="33.57"/>
    <n v="2"/>
    <n v="-5.45"/>
    <x v="2"/>
    <x v="1"/>
  </r>
  <r>
    <n v="44625"/>
    <x v="30"/>
    <x v="0"/>
    <x v="2"/>
    <x v="6"/>
    <x v="726"/>
    <n v="31.92"/>
    <n v="2"/>
    <n v="2.39"/>
    <x v="2"/>
    <x v="1"/>
  </r>
  <r>
    <n v="44625"/>
    <x v="612"/>
    <x v="1"/>
    <x v="0"/>
    <x v="7"/>
    <x v="293"/>
    <n v="7.1"/>
    <n v="6"/>
    <n v="2.4900000000000002"/>
    <x v="2"/>
    <x v="1"/>
  </r>
  <r>
    <n v="44625"/>
    <x v="389"/>
    <x v="1"/>
    <x v="0"/>
    <x v="3"/>
    <x v="695"/>
    <n v="11.21"/>
    <n v="2"/>
    <n v="-16.82"/>
    <x v="2"/>
    <x v="1"/>
  </r>
  <r>
    <n v="44625"/>
    <x v="389"/>
    <x v="1"/>
    <x v="1"/>
    <x v="8"/>
    <x v="152"/>
    <n v="4.71"/>
    <n v="2"/>
    <n v="-1.88"/>
    <x v="2"/>
    <x v="1"/>
  </r>
  <r>
    <n v="44625"/>
    <x v="389"/>
    <x v="1"/>
    <x v="0"/>
    <x v="12"/>
    <x v="1178"/>
    <n v="180.98"/>
    <n v="5"/>
    <n v="-470.55"/>
    <x v="2"/>
    <x v="1"/>
  </r>
  <r>
    <n v="44625"/>
    <x v="389"/>
    <x v="1"/>
    <x v="0"/>
    <x v="2"/>
    <x v="1128"/>
    <n v="60.42"/>
    <n v="2"/>
    <n v="6.04"/>
    <x v="2"/>
    <x v="1"/>
  </r>
  <r>
    <n v="44626"/>
    <x v="315"/>
    <x v="3"/>
    <x v="1"/>
    <x v="8"/>
    <x v="403"/>
    <n v="435.26"/>
    <n v="7"/>
    <n v="95.76"/>
    <x v="2"/>
    <x v="1"/>
  </r>
  <r>
    <n v="44626"/>
    <x v="315"/>
    <x v="3"/>
    <x v="2"/>
    <x v="16"/>
    <x v="1252"/>
    <n v="1119.98"/>
    <n v="2"/>
    <n v="377.99"/>
    <x v="2"/>
    <x v="1"/>
  </r>
  <r>
    <n v="44627"/>
    <x v="306"/>
    <x v="7"/>
    <x v="2"/>
    <x v="9"/>
    <x v="1253"/>
    <n v="119.85"/>
    <n v="3"/>
    <n v="52.73"/>
    <x v="2"/>
    <x v="1"/>
  </r>
  <r>
    <n v="44627"/>
    <x v="306"/>
    <x v="7"/>
    <x v="0"/>
    <x v="3"/>
    <x v="185"/>
    <n v="30.44"/>
    <n v="2"/>
    <n v="14.92"/>
    <x v="2"/>
    <x v="1"/>
  </r>
  <r>
    <n v="44627"/>
    <x v="306"/>
    <x v="7"/>
    <x v="0"/>
    <x v="3"/>
    <x v="459"/>
    <n v="69.28"/>
    <n v="2"/>
    <n v="33.25"/>
    <x v="2"/>
    <x v="1"/>
  </r>
  <r>
    <n v="44627"/>
    <x v="306"/>
    <x v="7"/>
    <x v="2"/>
    <x v="6"/>
    <x v="1254"/>
    <n v="587.97"/>
    <n v="3"/>
    <n v="170.51"/>
    <x v="2"/>
    <x v="1"/>
  </r>
  <r>
    <n v="44628"/>
    <x v="613"/>
    <x v="21"/>
    <x v="1"/>
    <x v="11"/>
    <x v="644"/>
    <n v="512.94000000000005"/>
    <n v="3"/>
    <n v="97.46"/>
    <x v="2"/>
    <x v="1"/>
  </r>
  <r>
    <n v="44628"/>
    <x v="613"/>
    <x v="21"/>
    <x v="1"/>
    <x v="5"/>
    <x v="1255"/>
    <n v="860.93"/>
    <n v="7"/>
    <n v="189.4"/>
    <x v="2"/>
    <x v="1"/>
  </r>
  <r>
    <n v="44628"/>
    <x v="613"/>
    <x v="21"/>
    <x v="2"/>
    <x v="6"/>
    <x v="855"/>
    <n v="769.95"/>
    <n v="5"/>
    <n v="223.29"/>
    <x v="2"/>
    <x v="1"/>
  </r>
  <r>
    <n v="44628"/>
    <x v="613"/>
    <x v="21"/>
    <x v="0"/>
    <x v="4"/>
    <x v="1256"/>
    <n v="14.98"/>
    <n v="1"/>
    <n v="4.49"/>
    <x v="2"/>
    <x v="1"/>
  </r>
  <r>
    <n v="44628"/>
    <x v="613"/>
    <x v="21"/>
    <x v="1"/>
    <x v="8"/>
    <x v="403"/>
    <n v="373.08"/>
    <n v="6"/>
    <n v="82.08"/>
    <x v="2"/>
    <x v="1"/>
  </r>
  <r>
    <n v="44628"/>
    <x v="278"/>
    <x v="20"/>
    <x v="0"/>
    <x v="0"/>
    <x v="1257"/>
    <n v="19.440000000000001"/>
    <n v="3"/>
    <n v="9.33"/>
    <x v="2"/>
    <x v="1"/>
  </r>
  <r>
    <n v="44628"/>
    <x v="452"/>
    <x v="26"/>
    <x v="0"/>
    <x v="4"/>
    <x v="6"/>
    <n v="3.41"/>
    <n v="1"/>
    <n v="0.89"/>
    <x v="2"/>
    <x v="1"/>
  </r>
  <r>
    <n v="44628"/>
    <x v="251"/>
    <x v="1"/>
    <x v="0"/>
    <x v="3"/>
    <x v="496"/>
    <n v="8.57"/>
    <n v="3"/>
    <n v="-14.57"/>
    <x v="2"/>
    <x v="1"/>
  </r>
  <r>
    <n v="44629"/>
    <x v="270"/>
    <x v="0"/>
    <x v="2"/>
    <x v="9"/>
    <x v="662"/>
    <n v="113.52"/>
    <n v="5"/>
    <n v="29.8"/>
    <x v="2"/>
    <x v="1"/>
  </r>
  <r>
    <n v="44629"/>
    <x v="270"/>
    <x v="0"/>
    <x v="2"/>
    <x v="6"/>
    <x v="1121"/>
    <n v="359.88"/>
    <n v="3"/>
    <n v="22.49"/>
    <x v="2"/>
    <x v="1"/>
  </r>
  <r>
    <n v="44629"/>
    <x v="614"/>
    <x v="25"/>
    <x v="0"/>
    <x v="1"/>
    <x v="569"/>
    <n v="4.6100000000000003"/>
    <n v="2"/>
    <n v="1.67"/>
    <x v="2"/>
    <x v="1"/>
  </r>
  <r>
    <n v="44630"/>
    <x v="18"/>
    <x v="0"/>
    <x v="0"/>
    <x v="3"/>
    <x v="816"/>
    <n v="1.1100000000000001"/>
    <n v="2"/>
    <n v="-1.89"/>
    <x v="2"/>
    <x v="1"/>
  </r>
  <r>
    <n v="44630"/>
    <x v="127"/>
    <x v="36"/>
    <x v="0"/>
    <x v="2"/>
    <x v="788"/>
    <n v="89.82"/>
    <n v="6"/>
    <n v="25.15"/>
    <x v="2"/>
    <x v="1"/>
  </r>
  <r>
    <n v="44632"/>
    <x v="615"/>
    <x v="16"/>
    <x v="0"/>
    <x v="10"/>
    <x v="909"/>
    <n v="8.69"/>
    <n v="3"/>
    <n v="2.93"/>
    <x v="2"/>
    <x v="1"/>
  </r>
  <r>
    <n v="44632"/>
    <x v="615"/>
    <x v="16"/>
    <x v="1"/>
    <x v="8"/>
    <x v="45"/>
    <n v="30.88"/>
    <n v="4"/>
    <n v="3.86"/>
    <x v="2"/>
    <x v="1"/>
  </r>
  <r>
    <n v="44632"/>
    <x v="615"/>
    <x v="16"/>
    <x v="1"/>
    <x v="8"/>
    <x v="533"/>
    <n v="6.41"/>
    <n v="3"/>
    <n v="1.44"/>
    <x v="2"/>
    <x v="1"/>
  </r>
  <r>
    <n v="44632"/>
    <x v="438"/>
    <x v="25"/>
    <x v="0"/>
    <x v="1"/>
    <x v="260"/>
    <n v="5.04"/>
    <n v="2"/>
    <n v="1.76"/>
    <x v="2"/>
    <x v="1"/>
  </r>
  <r>
    <n v="44633"/>
    <x v="387"/>
    <x v="22"/>
    <x v="1"/>
    <x v="11"/>
    <x v="69"/>
    <n v="141.96"/>
    <n v="2"/>
    <n v="39.75"/>
    <x v="2"/>
    <x v="1"/>
  </r>
  <r>
    <n v="44633"/>
    <x v="155"/>
    <x v="3"/>
    <x v="1"/>
    <x v="5"/>
    <x v="7"/>
    <n v="915.14"/>
    <n v="4"/>
    <n v="102.95"/>
    <x v="2"/>
    <x v="1"/>
  </r>
  <r>
    <n v="44633"/>
    <x v="155"/>
    <x v="3"/>
    <x v="1"/>
    <x v="8"/>
    <x v="675"/>
    <n v="327.76"/>
    <n v="8"/>
    <n v="91.77"/>
    <x v="2"/>
    <x v="1"/>
  </r>
  <r>
    <n v="44634"/>
    <x v="287"/>
    <x v="38"/>
    <x v="0"/>
    <x v="1"/>
    <x v="218"/>
    <n v="16.52"/>
    <n v="4"/>
    <n v="7.6"/>
    <x v="2"/>
    <x v="1"/>
  </r>
  <r>
    <n v="44634"/>
    <x v="287"/>
    <x v="38"/>
    <x v="0"/>
    <x v="3"/>
    <x v="57"/>
    <n v="671.94"/>
    <n v="3"/>
    <n v="315.81"/>
    <x v="2"/>
    <x v="1"/>
  </r>
  <r>
    <n v="44634"/>
    <x v="170"/>
    <x v="3"/>
    <x v="0"/>
    <x v="0"/>
    <x v="890"/>
    <n v="19.440000000000001"/>
    <n v="3"/>
    <n v="9.33"/>
    <x v="2"/>
    <x v="1"/>
  </r>
  <r>
    <n v="44635"/>
    <x v="600"/>
    <x v="27"/>
    <x v="2"/>
    <x v="6"/>
    <x v="1258"/>
    <n v="16.78"/>
    <n v="3"/>
    <n v="1.68"/>
    <x v="2"/>
    <x v="1"/>
  </r>
  <r>
    <n v="44636"/>
    <x v="616"/>
    <x v="4"/>
    <x v="0"/>
    <x v="4"/>
    <x v="9"/>
    <n v="2.74"/>
    <n v="1"/>
    <n v="0.74"/>
    <x v="2"/>
    <x v="1"/>
  </r>
  <r>
    <n v="44636"/>
    <x v="616"/>
    <x v="4"/>
    <x v="0"/>
    <x v="4"/>
    <x v="1259"/>
    <n v="8.34"/>
    <n v="3"/>
    <n v="2.17"/>
    <x v="2"/>
    <x v="1"/>
  </r>
  <r>
    <n v="44636"/>
    <x v="616"/>
    <x v="4"/>
    <x v="0"/>
    <x v="2"/>
    <x v="1260"/>
    <n v="46.74"/>
    <n v="3"/>
    <n v="11.69"/>
    <x v="2"/>
    <x v="1"/>
  </r>
  <r>
    <n v="44636"/>
    <x v="616"/>
    <x v="4"/>
    <x v="0"/>
    <x v="3"/>
    <x v="1030"/>
    <n v="6354.95"/>
    <n v="5"/>
    <n v="3177.48"/>
    <x v="2"/>
    <x v="1"/>
  </r>
  <r>
    <n v="44636"/>
    <x v="617"/>
    <x v="22"/>
    <x v="1"/>
    <x v="13"/>
    <x v="278"/>
    <n v="171.96"/>
    <n v="2"/>
    <n v="44.71"/>
    <x v="2"/>
    <x v="1"/>
  </r>
  <r>
    <n v="44636"/>
    <x v="407"/>
    <x v="3"/>
    <x v="1"/>
    <x v="8"/>
    <x v="1261"/>
    <n v="43.13"/>
    <n v="1"/>
    <n v="18.11"/>
    <x v="2"/>
    <x v="1"/>
  </r>
  <r>
    <n v="44636"/>
    <x v="279"/>
    <x v="20"/>
    <x v="2"/>
    <x v="6"/>
    <x v="1262"/>
    <n v="85.9"/>
    <n v="2"/>
    <n v="2.58"/>
    <x v="2"/>
    <x v="1"/>
  </r>
  <r>
    <n v="44636"/>
    <x v="102"/>
    <x v="33"/>
    <x v="0"/>
    <x v="1"/>
    <x v="493"/>
    <n v="491.55"/>
    <n v="5"/>
    <n v="240.86"/>
    <x v="2"/>
    <x v="1"/>
  </r>
  <r>
    <n v="44636"/>
    <x v="102"/>
    <x v="33"/>
    <x v="0"/>
    <x v="10"/>
    <x v="822"/>
    <n v="7.38"/>
    <n v="2"/>
    <n v="3.39"/>
    <x v="2"/>
    <x v="1"/>
  </r>
  <r>
    <n v="44636"/>
    <x v="412"/>
    <x v="20"/>
    <x v="0"/>
    <x v="4"/>
    <x v="1263"/>
    <n v="17.52"/>
    <n v="3"/>
    <n v="6.31"/>
    <x v="2"/>
    <x v="1"/>
  </r>
  <r>
    <n v="44637"/>
    <x v="535"/>
    <x v="20"/>
    <x v="2"/>
    <x v="9"/>
    <x v="1264"/>
    <n v="15.02"/>
    <n v="1"/>
    <n v="2.7"/>
    <x v="2"/>
    <x v="1"/>
  </r>
  <r>
    <n v="44637"/>
    <x v="535"/>
    <x v="20"/>
    <x v="0"/>
    <x v="2"/>
    <x v="1265"/>
    <n v="33.82"/>
    <n v="2"/>
    <n v="9.1300000000000008"/>
    <x v="2"/>
    <x v="1"/>
  </r>
  <r>
    <n v="44639"/>
    <x v="618"/>
    <x v="22"/>
    <x v="2"/>
    <x v="6"/>
    <x v="11"/>
    <n v="453.58"/>
    <n v="3"/>
    <n v="39.69"/>
    <x v="2"/>
    <x v="1"/>
  </r>
  <r>
    <n v="44639"/>
    <x v="470"/>
    <x v="22"/>
    <x v="0"/>
    <x v="2"/>
    <x v="1266"/>
    <n v="1247.6400000000001"/>
    <n v="3"/>
    <n v="349.34"/>
    <x v="2"/>
    <x v="1"/>
  </r>
  <r>
    <n v="44639"/>
    <x v="470"/>
    <x v="22"/>
    <x v="2"/>
    <x v="16"/>
    <x v="1134"/>
    <n v="3149.93"/>
    <n v="7"/>
    <n v="1480.47"/>
    <x v="2"/>
    <x v="1"/>
  </r>
  <r>
    <n v="44639"/>
    <x v="470"/>
    <x v="22"/>
    <x v="0"/>
    <x v="0"/>
    <x v="1070"/>
    <n v="209.7"/>
    <n v="2"/>
    <n v="100.66"/>
    <x v="2"/>
    <x v="1"/>
  </r>
  <r>
    <n v="44639"/>
    <x v="328"/>
    <x v="3"/>
    <x v="0"/>
    <x v="3"/>
    <x v="1267"/>
    <n v="17.57"/>
    <n v="2"/>
    <n v="6.37"/>
    <x v="2"/>
    <x v="1"/>
  </r>
  <r>
    <n v="44639"/>
    <x v="328"/>
    <x v="3"/>
    <x v="0"/>
    <x v="1"/>
    <x v="645"/>
    <n v="14.62"/>
    <n v="2"/>
    <n v="6.87"/>
    <x v="2"/>
    <x v="1"/>
  </r>
  <r>
    <n v="44639"/>
    <x v="328"/>
    <x v="3"/>
    <x v="0"/>
    <x v="14"/>
    <x v="1268"/>
    <n v="33.36"/>
    <n v="4"/>
    <n v="8.67"/>
    <x v="2"/>
    <x v="1"/>
  </r>
  <r>
    <n v="44639"/>
    <x v="328"/>
    <x v="3"/>
    <x v="0"/>
    <x v="0"/>
    <x v="1269"/>
    <n v="40.14"/>
    <n v="6"/>
    <n v="19.670000000000002"/>
    <x v="2"/>
    <x v="1"/>
  </r>
  <r>
    <n v="44639"/>
    <x v="284"/>
    <x v="16"/>
    <x v="0"/>
    <x v="0"/>
    <x v="416"/>
    <n v="14.5"/>
    <n v="3"/>
    <n v="4.8899999999999997"/>
    <x v="2"/>
    <x v="1"/>
  </r>
  <r>
    <n v="44639"/>
    <x v="411"/>
    <x v="3"/>
    <x v="0"/>
    <x v="0"/>
    <x v="1035"/>
    <n v="11.96"/>
    <n v="2"/>
    <n v="5.86"/>
    <x v="2"/>
    <x v="1"/>
  </r>
  <r>
    <n v="44639"/>
    <x v="41"/>
    <x v="3"/>
    <x v="0"/>
    <x v="7"/>
    <x v="153"/>
    <n v="10.9"/>
    <n v="5"/>
    <n v="3.6"/>
    <x v="2"/>
    <x v="1"/>
  </r>
  <r>
    <n v="44639"/>
    <x v="619"/>
    <x v="0"/>
    <x v="0"/>
    <x v="0"/>
    <x v="207"/>
    <n v="65.58"/>
    <n v="2"/>
    <n v="23.77"/>
    <x v="2"/>
    <x v="1"/>
  </r>
  <r>
    <n v="44639"/>
    <x v="619"/>
    <x v="0"/>
    <x v="1"/>
    <x v="11"/>
    <x v="194"/>
    <n v="383.47"/>
    <n v="4"/>
    <n v="-67.67"/>
    <x v="2"/>
    <x v="1"/>
  </r>
  <r>
    <n v="44640"/>
    <x v="620"/>
    <x v="21"/>
    <x v="0"/>
    <x v="0"/>
    <x v="454"/>
    <n v="51.84"/>
    <n v="8"/>
    <n v="24.88"/>
    <x v="2"/>
    <x v="1"/>
  </r>
  <r>
    <n v="44640"/>
    <x v="519"/>
    <x v="0"/>
    <x v="0"/>
    <x v="3"/>
    <x v="898"/>
    <n v="2.5099999999999998"/>
    <n v="2"/>
    <n v="-4.4000000000000004"/>
    <x v="2"/>
    <x v="1"/>
  </r>
  <r>
    <n v="44640"/>
    <x v="519"/>
    <x v="0"/>
    <x v="0"/>
    <x v="7"/>
    <x v="78"/>
    <n v="18.86"/>
    <n v="9"/>
    <n v="6.13"/>
    <x v="2"/>
    <x v="1"/>
  </r>
  <r>
    <n v="44640"/>
    <x v="240"/>
    <x v="11"/>
    <x v="0"/>
    <x v="2"/>
    <x v="737"/>
    <n v="29.3"/>
    <n v="3"/>
    <n v="2.56"/>
    <x v="2"/>
    <x v="1"/>
  </r>
  <r>
    <n v="44640"/>
    <x v="526"/>
    <x v="20"/>
    <x v="0"/>
    <x v="3"/>
    <x v="471"/>
    <n v="49.85"/>
    <n v="3"/>
    <n v="16.82"/>
    <x v="2"/>
    <x v="1"/>
  </r>
  <r>
    <n v="44640"/>
    <x v="526"/>
    <x v="20"/>
    <x v="0"/>
    <x v="10"/>
    <x v="1270"/>
    <n v="23.99"/>
    <n v="1"/>
    <n v="12"/>
    <x v="2"/>
    <x v="1"/>
  </r>
  <r>
    <n v="44640"/>
    <x v="526"/>
    <x v="20"/>
    <x v="0"/>
    <x v="3"/>
    <x v="313"/>
    <n v="1087.94"/>
    <n v="8"/>
    <n v="353.58"/>
    <x v="2"/>
    <x v="1"/>
  </r>
  <r>
    <n v="44640"/>
    <x v="526"/>
    <x v="20"/>
    <x v="2"/>
    <x v="6"/>
    <x v="659"/>
    <n v="199.98"/>
    <n v="2"/>
    <n v="53.99"/>
    <x v="2"/>
    <x v="1"/>
  </r>
  <r>
    <n v="44640"/>
    <x v="526"/>
    <x v="20"/>
    <x v="0"/>
    <x v="2"/>
    <x v="1271"/>
    <n v="83.92"/>
    <n v="4"/>
    <n v="20.14"/>
    <x v="2"/>
    <x v="1"/>
  </r>
  <r>
    <n v="44641"/>
    <x v="621"/>
    <x v="25"/>
    <x v="0"/>
    <x v="12"/>
    <x v="453"/>
    <n v="962.08"/>
    <n v="4"/>
    <n v="156.34"/>
    <x v="2"/>
    <x v="1"/>
  </r>
  <r>
    <n v="44641"/>
    <x v="621"/>
    <x v="25"/>
    <x v="0"/>
    <x v="3"/>
    <x v="767"/>
    <n v="12.84"/>
    <n v="3"/>
    <n v="-9.85"/>
    <x v="2"/>
    <x v="1"/>
  </r>
  <r>
    <n v="44641"/>
    <x v="621"/>
    <x v="25"/>
    <x v="0"/>
    <x v="0"/>
    <x v="1272"/>
    <n v="295.45999999999998"/>
    <n v="14"/>
    <n v="96.02"/>
    <x v="2"/>
    <x v="1"/>
  </r>
  <r>
    <n v="44642"/>
    <x v="622"/>
    <x v="0"/>
    <x v="2"/>
    <x v="9"/>
    <x v="1273"/>
    <n v="18.39"/>
    <n v="1"/>
    <n v="5.29"/>
    <x v="2"/>
    <x v="1"/>
  </r>
  <r>
    <n v="44642"/>
    <x v="622"/>
    <x v="0"/>
    <x v="0"/>
    <x v="2"/>
    <x v="161"/>
    <n v="129.57"/>
    <n v="2"/>
    <n v="-25.91"/>
    <x v="2"/>
    <x v="1"/>
  </r>
  <r>
    <n v="44642"/>
    <x v="622"/>
    <x v="0"/>
    <x v="0"/>
    <x v="3"/>
    <x v="1274"/>
    <n v="14.11"/>
    <n v="9"/>
    <n v="-21.17"/>
    <x v="2"/>
    <x v="1"/>
  </r>
  <r>
    <n v="44642"/>
    <x v="131"/>
    <x v="3"/>
    <x v="2"/>
    <x v="6"/>
    <x v="356"/>
    <n v="15.98"/>
    <n v="2"/>
    <n v="1.2"/>
    <x v="2"/>
    <x v="1"/>
  </r>
  <r>
    <n v="44642"/>
    <x v="514"/>
    <x v="3"/>
    <x v="0"/>
    <x v="0"/>
    <x v="371"/>
    <n v="105.52"/>
    <n v="4"/>
    <n v="48.54"/>
    <x v="2"/>
    <x v="1"/>
  </r>
  <r>
    <n v="44642"/>
    <x v="514"/>
    <x v="3"/>
    <x v="1"/>
    <x v="8"/>
    <x v="282"/>
    <n v="91.96"/>
    <n v="2"/>
    <n v="15.63"/>
    <x v="2"/>
    <x v="1"/>
  </r>
  <r>
    <n v="44642"/>
    <x v="514"/>
    <x v="3"/>
    <x v="2"/>
    <x v="6"/>
    <x v="979"/>
    <n v="1487.98"/>
    <n v="3"/>
    <n v="186"/>
    <x v="2"/>
    <x v="1"/>
  </r>
  <r>
    <n v="44642"/>
    <x v="623"/>
    <x v="33"/>
    <x v="0"/>
    <x v="4"/>
    <x v="1275"/>
    <n v="19.559999999999999"/>
    <n v="4"/>
    <n v="5.48"/>
    <x v="2"/>
    <x v="1"/>
  </r>
  <r>
    <n v="44642"/>
    <x v="587"/>
    <x v="16"/>
    <x v="2"/>
    <x v="9"/>
    <x v="615"/>
    <n v="447.94"/>
    <n v="7"/>
    <n v="89.59"/>
    <x v="2"/>
    <x v="1"/>
  </r>
  <r>
    <n v="44642"/>
    <x v="587"/>
    <x v="16"/>
    <x v="0"/>
    <x v="2"/>
    <x v="1276"/>
    <n v="150.41"/>
    <n v="9"/>
    <n v="-33.840000000000003"/>
    <x v="2"/>
    <x v="1"/>
  </r>
  <r>
    <n v="44643"/>
    <x v="427"/>
    <x v="0"/>
    <x v="1"/>
    <x v="5"/>
    <x v="415"/>
    <n v="107.77"/>
    <n v="2"/>
    <n v="-29.25"/>
    <x v="2"/>
    <x v="1"/>
  </r>
  <r>
    <n v="44643"/>
    <x v="320"/>
    <x v="9"/>
    <x v="0"/>
    <x v="7"/>
    <x v="78"/>
    <n v="31.56"/>
    <n v="4"/>
    <n v="14.2"/>
    <x v="2"/>
    <x v="1"/>
  </r>
  <r>
    <n v="44643"/>
    <x v="320"/>
    <x v="9"/>
    <x v="0"/>
    <x v="2"/>
    <x v="132"/>
    <n v="27.92"/>
    <n v="4"/>
    <n v="0.56000000000000005"/>
    <x v="2"/>
    <x v="1"/>
  </r>
  <r>
    <n v="44643"/>
    <x v="244"/>
    <x v="3"/>
    <x v="0"/>
    <x v="0"/>
    <x v="64"/>
    <n v="33.36"/>
    <n v="4"/>
    <n v="16.68"/>
    <x v="2"/>
    <x v="1"/>
  </r>
  <r>
    <n v="44643"/>
    <x v="450"/>
    <x v="3"/>
    <x v="0"/>
    <x v="0"/>
    <x v="40"/>
    <n v="192.72"/>
    <n v="11"/>
    <n v="92.51"/>
    <x v="2"/>
    <x v="1"/>
  </r>
  <r>
    <n v="44643"/>
    <x v="450"/>
    <x v="3"/>
    <x v="2"/>
    <x v="9"/>
    <x v="102"/>
    <n v="239.97"/>
    <n v="3"/>
    <n v="86.39"/>
    <x v="2"/>
    <x v="1"/>
  </r>
  <r>
    <n v="44644"/>
    <x v="285"/>
    <x v="1"/>
    <x v="1"/>
    <x v="11"/>
    <x v="430"/>
    <n v="359.06"/>
    <n v="3"/>
    <n v="-35.909999999999997"/>
    <x v="2"/>
    <x v="1"/>
  </r>
  <r>
    <n v="44644"/>
    <x v="624"/>
    <x v="16"/>
    <x v="0"/>
    <x v="12"/>
    <x v="1277"/>
    <n v="6.99"/>
    <n v="2"/>
    <n v="0.52"/>
    <x v="2"/>
    <x v="1"/>
  </r>
  <r>
    <n v="44644"/>
    <x v="552"/>
    <x v="22"/>
    <x v="1"/>
    <x v="8"/>
    <x v="1278"/>
    <n v="46.9"/>
    <n v="5"/>
    <n v="13.13"/>
    <x v="2"/>
    <x v="1"/>
  </r>
  <r>
    <n v="44646"/>
    <x v="625"/>
    <x v="16"/>
    <x v="0"/>
    <x v="0"/>
    <x v="728"/>
    <n v="74.349999999999994"/>
    <n v="3"/>
    <n v="23.24"/>
    <x v="2"/>
    <x v="1"/>
  </r>
  <r>
    <n v="44646"/>
    <x v="344"/>
    <x v="2"/>
    <x v="0"/>
    <x v="0"/>
    <x v="1279"/>
    <n v="40.03"/>
    <n v="6"/>
    <n v="12.51"/>
    <x v="2"/>
    <x v="1"/>
  </r>
  <r>
    <n v="44646"/>
    <x v="344"/>
    <x v="2"/>
    <x v="2"/>
    <x v="9"/>
    <x v="843"/>
    <n v="16.78"/>
    <n v="3"/>
    <n v="5.03"/>
    <x v="2"/>
    <x v="1"/>
  </r>
  <r>
    <n v="44646"/>
    <x v="227"/>
    <x v="22"/>
    <x v="1"/>
    <x v="13"/>
    <x v="233"/>
    <n v="3393.68"/>
    <n v="8"/>
    <n v="610.86"/>
    <x v="2"/>
    <x v="1"/>
  </r>
  <r>
    <n v="44646"/>
    <x v="436"/>
    <x v="20"/>
    <x v="0"/>
    <x v="2"/>
    <x v="880"/>
    <n v="1085.42"/>
    <n v="7"/>
    <n v="282.20999999999998"/>
    <x v="2"/>
    <x v="1"/>
  </r>
  <r>
    <n v="44646"/>
    <x v="436"/>
    <x v="20"/>
    <x v="0"/>
    <x v="12"/>
    <x v="1280"/>
    <n v="13.11"/>
    <n v="3"/>
    <n v="3.41"/>
    <x v="2"/>
    <x v="1"/>
  </r>
  <r>
    <n v="44647"/>
    <x v="20"/>
    <x v="22"/>
    <x v="0"/>
    <x v="2"/>
    <x v="252"/>
    <n v="83.7"/>
    <n v="5"/>
    <n v="3.35"/>
    <x v="2"/>
    <x v="1"/>
  </r>
  <r>
    <n v="44648"/>
    <x v="513"/>
    <x v="3"/>
    <x v="2"/>
    <x v="9"/>
    <x v="1281"/>
    <n v="166.24"/>
    <n v="1"/>
    <n v="24.94"/>
    <x v="2"/>
    <x v="1"/>
  </r>
  <r>
    <n v="44648"/>
    <x v="513"/>
    <x v="3"/>
    <x v="0"/>
    <x v="0"/>
    <x v="1282"/>
    <n v="33.4"/>
    <n v="5"/>
    <n v="16.03"/>
    <x v="2"/>
    <x v="1"/>
  </r>
  <r>
    <n v="44648"/>
    <x v="74"/>
    <x v="2"/>
    <x v="0"/>
    <x v="0"/>
    <x v="423"/>
    <n v="15.55"/>
    <n v="3"/>
    <n v="5.44"/>
    <x v="2"/>
    <x v="1"/>
  </r>
  <r>
    <n v="44648"/>
    <x v="74"/>
    <x v="2"/>
    <x v="0"/>
    <x v="0"/>
    <x v="894"/>
    <n v="5.23"/>
    <n v="1"/>
    <n v="1.7"/>
    <x v="2"/>
    <x v="1"/>
  </r>
  <r>
    <n v="44648"/>
    <x v="209"/>
    <x v="20"/>
    <x v="0"/>
    <x v="10"/>
    <x v="464"/>
    <n v="22.92"/>
    <n v="3"/>
    <n v="11.23"/>
    <x v="2"/>
    <x v="1"/>
  </r>
  <r>
    <n v="44649"/>
    <x v="421"/>
    <x v="16"/>
    <x v="1"/>
    <x v="5"/>
    <x v="1283"/>
    <n v="1166.92"/>
    <n v="5"/>
    <n v="131.28"/>
    <x v="2"/>
    <x v="1"/>
  </r>
  <r>
    <n v="44649"/>
    <x v="445"/>
    <x v="22"/>
    <x v="0"/>
    <x v="12"/>
    <x v="1284"/>
    <n v="73.28"/>
    <n v="4"/>
    <n v="21.25"/>
    <x v="2"/>
    <x v="1"/>
  </r>
  <r>
    <n v="44649"/>
    <x v="77"/>
    <x v="3"/>
    <x v="0"/>
    <x v="0"/>
    <x v="1285"/>
    <n v="212.64"/>
    <n v="6"/>
    <n v="99.94"/>
    <x v="2"/>
    <x v="1"/>
  </r>
  <r>
    <n v="44649"/>
    <x v="77"/>
    <x v="3"/>
    <x v="0"/>
    <x v="0"/>
    <x v="1071"/>
    <n v="9.8699999999999992"/>
    <n v="3"/>
    <n v="4.54"/>
    <x v="2"/>
    <x v="1"/>
  </r>
  <r>
    <n v="44649"/>
    <x v="77"/>
    <x v="3"/>
    <x v="2"/>
    <x v="9"/>
    <x v="1286"/>
    <n v="53.25"/>
    <n v="3"/>
    <n v="20.77"/>
    <x v="2"/>
    <x v="1"/>
  </r>
  <r>
    <n v="44649"/>
    <x v="77"/>
    <x v="3"/>
    <x v="1"/>
    <x v="8"/>
    <x v="731"/>
    <n v="19.920000000000002"/>
    <n v="3"/>
    <n v="9.56"/>
    <x v="2"/>
    <x v="1"/>
  </r>
  <r>
    <n v="44649"/>
    <x v="83"/>
    <x v="6"/>
    <x v="0"/>
    <x v="4"/>
    <x v="182"/>
    <n v="5.56"/>
    <n v="2"/>
    <n v="1.45"/>
    <x v="2"/>
    <x v="1"/>
  </r>
  <r>
    <n v="44649"/>
    <x v="626"/>
    <x v="20"/>
    <x v="0"/>
    <x v="0"/>
    <x v="1287"/>
    <n v="17.64"/>
    <n v="4"/>
    <n v="8.11"/>
    <x v="2"/>
    <x v="1"/>
  </r>
  <r>
    <n v="44650"/>
    <x v="452"/>
    <x v="1"/>
    <x v="0"/>
    <x v="0"/>
    <x v="903"/>
    <n v="23.52"/>
    <n v="5"/>
    <n v="8.5299999999999994"/>
    <x v="2"/>
    <x v="1"/>
  </r>
  <r>
    <n v="44650"/>
    <x v="452"/>
    <x v="1"/>
    <x v="2"/>
    <x v="6"/>
    <x v="80"/>
    <n v="180.96"/>
    <n v="5"/>
    <n v="13.57"/>
    <x v="2"/>
    <x v="1"/>
  </r>
  <r>
    <n v="44650"/>
    <x v="108"/>
    <x v="1"/>
    <x v="1"/>
    <x v="5"/>
    <x v="914"/>
    <n v="366.74"/>
    <n v="4"/>
    <n v="-110.02"/>
    <x v="2"/>
    <x v="1"/>
  </r>
  <r>
    <n v="44651"/>
    <x v="134"/>
    <x v="16"/>
    <x v="2"/>
    <x v="6"/>
    <x v="1288"/>
    <n v="79.959999999999994"/>
    <n v="5"/>
    <n v="27.99"/>
    <x v="2"/>
    <x v="1"/>
  </r>
  <r>
    <n v="44651"/>
    <x v="290"/>
    <x v="0"/>
    <x v="0"/>
    <x v="0"/>
    <x v="1289"/>
    <n v="98.38"/>
    <n v="3"/>
    <n v="35.659999999999997"/>
    <x v="2"/>
    <x v="1"/>
  </r>
  <r>
    <n v="44651"/>
    <x v="290"/>
    <x v="0"/>
    <x v="1"/>
    <x v="8"/>
    <x v="1290"/>
    <n v="22.38"/>
    <n v="3"/>
    <n v="-7.83"/>
    <x v="2"/>
    <x v="1"/>
  </r>
  <r>
    <n v="44653"/>
    <x v="627"/>
    <x v="0"/>
    <x v="0"/>
    <x v="12"/>
    <x v="1051"/>
    <n v="32.19"/>
    <n v="2"/>
    <n v="-80.48"/>
    <x v="3"/>
    <x v="1"/>
  </r>
  <r>
    <n v="44653"/>
    <x v="627"/>
    <x v="0"/>
    <x v="2"/>
    <x v="9"/>
    <x v="907"/>
    <n v="50.12"/>
    <n v="7"/>
    <n v="-0.63"/>
    <x v="3"/>
    <x v="1"/>
  </r>
  <r>
    <n v="44653"/>
    <x v="627"/>
    <x v="0"/>
    <x v="2"/>
    <x v="9"/>
    <x v="1291"/>
    <n v="47.98"/>
    <n v="3"/>
    <n v="1.8"/>
    <x v="3"/>
    <x v="1"/>
  </r>
  <r>
    <n v="44653"/>
    <x v="568"/>
    <x v="0"/>
    <x v="0"/>
    <x v="3"/>
    <x v="1292"/>
    <n v="9.16"/>
    <n v="3"/>
    <n v="-13.73"/>
    <x v="3"/>
    <x v="1"/>
  </r>
  <r>
    <n v="44653"/>
    <x v="628"/>
    <x v="3"/>
    <x v="2"/>
    <x v="15"/>
    <x v="1293"/>
    <n v="71.98"/>
    <n v="3"/>
    <n v="24.29"/>
    <x v="3"/>
    <x v="1"/>
  </r>
  <r>
    <n v="44653"/>
    <x v="315"/>
    <x v="12"/>
    <x v="2"/>
    <x v="6"/>
    <x v="1130"/>
    <n v="87.8"/>
    <n v="5"/>
    <n v="32.93"/>
    <x v="3"/>
    <x v="1"/>
  </r>
  <r>
    <n v="44655"/>
    <x v="155"/>
    <x v="20"/>
    <x v="0"/>
    <x v="4"/>
    <x v="385"/>
    <n v="11.16"/>
    <n v="2"/>
    <n v="4.3499999999999996"/>
    <x v="3"/>
    <x v="1"/>
  </r>
  <r>
    <n v="44655"/>
    <x v="155"/>
    <x v="20"/>
    <x v="1"/>
    <x v="8"/>
    <x v="1294"/>
    <n v="108.4"/>
    <n v="2"/>
    <n v="22.76"/>
    <x v="3"/>
    <x v="1"/>
  </r>
  <r>
    <n v="44655"/>
    <x v="155"/>
    <x v="20"/>
    <x v="0"/>
    <x v="3"/>
    <x v="213"/>
    <n v="82.34"/>
    <n v="3"/>
    <n v="27.79"/>
    <x v="3"/>
    <x v="1"/>
  </r>
  <r>
    <n v="44655"/>
    <x v="155"/>
    <x v="20"/>
    <x v="0"/>
    <x v="3"/>
    <x v="245"/>
    <n v="9.09"/>
    <n v="4"/>
    <n v="3.29"/>
    <x v="3"/>
    <x v="1"/>
  </r>
  <r>
    <n v="44655"/>
    <x v="115"/>
    <x v="14"/>
    <x v="0"/>
    <x v="12"/>
    <x v="1295"/>
    <n v="644.08000000000004"/>
    <n v="2"/>
    <n v="107.35"/>
    <x v="3"/>
    <x v="1"/>
  </r>
  <r>
    <n v="44655"/>
    <x v="115"/>
    <x v="14"/>
    <x v="0"/>
    <x v="7"/>
    <x v="78"/>
    <n v="5.84"/>
    <n v="2"/>
    <n v="2.63"/>
    <x v="3"/>
    <x v="1"/>
  </r>
  <r>
    <n v="44655"/>
    <x v="115"/>
    <x v="14"/>
    <x v="0"/>
    <x v="3"/>
    <x v="1088"/>
    <n v="12.76"/>
    <n v="2"/>
    <n v="5.87"/>
    <x v="3"/>
    <x v="1"/>
  </r>
  <r>
    <n v="44655"/>
    <x v="115"/>
    <x v="14"/>
    <x v="2"/>
    <x v="6"/>
    <x v="1124"/>
    <n v="10.95"/>
    <n v="1"/>
    <n v="0.44"/>
    <x v="3"/>
    <x v="1"/>
  </r>
  <r>
    <n v="44655"/>
    <x v="115"/>
    <x v="14"/>
    <x v="2"/>
    <x v="16"/>
    <x v="359"/>
    <n v="599.98"/>
    <n v="2"/>
    <n v="209.99"/>
    <x v="3"/>
    <x v="1"/>
  </r>
  <r>
    <n v="44656"/>
    <x v="480"/>
    <x v="15"/>
    <x v="0"/>
    <x v="3"/>
    <x v="1140"/>
    <n v="157.79"/>
    <n v="1"/>
    <n v="-115.72"/>
    <x v="3"/>
    <x v="1"/>
  </r>
  <r>
    <n v="44656"/>
    <x v="243"/>
    <x v="2"/>
    <x v="0"/>
    <x v="12"/>
    <x v="1123"/>
    <n v="98.11"/>
    <n v="7"/>
    <n v="18.399999999999999"/>
    <x v="3"/>
    <x v="1"/>
  </r>
  <r>
    <n v="44656"/>
    <x v="243"/>
    <x v="2"/>
    <x v="0"/>
    <x v="2"/>
    <x v="923"/>
    <n v="563.80999999999995"/>
    <n v="4"/>
    <n v="21.14"/>
    <x v="3"/>
    <x v="1"/>
  </r>
  <r>
    <n v="44656"/>
    <x v="243"/>
    <x v="2"/>
    <x v="0"/>
    <x v="3"/>
    <x v="1296"/>
    <n v="10.43"/>
    <n v="4"/>
    <n v="-6.95"/>
    <x v="3"/>
    <x v="1"/>
  </r>
  <r>
    <n v="44656"/>
    <x v="243"/>
    <x v="2"/>
    <x v="1"/>
    <x v="8"/>
    <x v="990"/>
    <n v="547.14"/>
    <n v="4"/>
    <n v="-68.39"/>
    <x v="3"/>
    <x v="1"/>
  </r>
  <r>
    <n v="44656"/>
    <x v="243"/>
    <x v="2"/>
    <x v="2"/>
    <x v="6"/>
    <x v="1297"/>
    <n v="14.85"/>
    <n v="5"/>
    <n v="-3.22"/>
    <x v="3"/>
    <x v="1"/>
  </r>
  <r>
    <n v="44656"/>
    <x v="243"/>
    <x v="2"/>
    <x v="2"/>
    <x v="6"/>
    <x v="1213"/>
    <n v="41.99"/>
    <n v="2"/>
    <n v="-9.8000000000000007"/>
    <x v="3"/>
    <x v="1"/>
  </r>
  <r>
    <n v="44656"/>
    <x v="243"/>
    <x v="2"/>
    <x v="1"/>
    <x v="8"/>
    <x v="1298"/>
    <n v="7.58"/>
    <n v="1"/>
    <n v="2.37"/>
    <x v="3"/>
    <x v="1"/>
  </r>
  <r>
    <n v="44656"/>
    <x v="243"/>
    <x v="2"/>
    <x v="1"/>
    <x v="11"/>
    <x v="194"/>
    <n v="352.45"/>
    <n v="5"/>
    <n v="-211.47"/>
    <x v="3"/>
    <x v="1"/>
  </r>
  <r>
    <n v="44656"/>
    <x v="207"/>
    <x v="2"/>
    <x v="0"/>
    <x v="1"/>
    <x v="849"/>
    <n v="23.9"/>
    <n v="6"/>
    <n v="7.77"/>
    <x v="3"/>
    <x v="1"/>
  </r>
  <r>
    <n v="44656"/>
    <x v="27"/>
    <x v="3"/>
    <x v="1"/>
    <x v="5"/>
    <x v="341"/>
    <n v="892.22"/>
    <n v="3"/>
    <n v="89.22"/>
    <x v="3"/>
    <x v="1"/>
  </r>
  <r>
    <n v="44656"/>
    <x v="259"/>
    <x v="22"/>
    <x v="2"/>
    <x v="9"/>
    <x v="677"/>
    <n v="239.94"/>
    <n v="6"/>
    <n v="26.39"/>
    <x v="3"/>
    <x v="1"/>
  </r>
  <r>
    <n v="44656"/>
    <x v="259"/>
    <x v="22"/>
    <x v="0"/>
    <x v="4"/>
    <x v="1299"/>
    <n v="23.84"/>
    <n v="8"/>
    <n v="6.44"/>
    <x v="3"/>
    <x v="1"/>
  </r>
  <r>
    <n v="44657"/>
    <x v="426"/>
    <x v="0"/>
    <x v="0"/>
    <x v="4"/>
    <x v="16"/>
    <n v="42.05"/>
    <n v="9"/>
    <n v="5.26"/>
    <x v="3"/>
    <x v="1"/>
  </r>
  <r>
    <n v="44657"/>
    <x v="426"/>
    <x v="0"/>
    <x v="2"/>
    <x v="9"/>
    <x v="357"/>
    <n v="25.49"/>
    <n v="2"/>
    <n v="4.46"/>
    <x v="3"/>
    <x v="1"/>
  </r>
  <r>
    <n v="44657"/>
    <x v="426"/>
    <x v="0"/>
    <x v="0"/>
    <x v="3"/>
    <x v="873"/>
    <n v="6.9"/>
    <n v="3"/>
    <n v="-12.08"/>
    <x v="3"/>
    <x v="1"/>
  </r>
  <r>
    <n v="44657"/>
    <x v="426"/>
    <x v="0"/>
    <x v="0"/>
    <x v="3"/>
    <x v="274"/>
    <n v="9.65"/>
    <n v="6"/>
    <n v="-16.88"/>
    <x v="3"/>
    <x v="1"/>
  </r>
  <r>
    <n v="44657"/>
    <x v="426"/>
    <x v="0"/>
    <x v="0"/>
    <x v="0"/>
    <x v="404"/>
    <n v="7.97"/>
    <n v="2"/>
    <n v="2.89"/>
    <x v="3"/>
    <x v="1"/>
  </r>
  <r>
    <n v="44657"/>
    <x v="294"/>
    <x v="25"/>
    <x v="0"/>
    <x v="0"/>
    <x v="653"/>
    <n v="47.95"/>
    <n v="3"/>
    <n v="16.18"/>
    <x v="3"/>
    <x v="1"/>
  </r>
  <r>
    <n v="44658"/>
    <x v="184"/>
    <x v="0"/>
    <x v="0"/>
    <x v="12"/>
    <x v="1193"/>
    <n v="463.25"/>
    <n v="8"/>
    <n v="-1181.28"/>
    <x v="3"/>
    <x v="1"/>
  </r>
  <r>
    <n v="44658"/>
    <x v="184"/>
    <x v="0"/>
    <x v="2"/>
    <x v="9"/>
    <x v="1300"/>
    <n v="383.95"/>
    <n v="6"/>
    <n v="47.99"/>
    <x v="3"/>
    <x v="1"/>
  </r>
  <r>
    <n v="44658"/>
    <x v="365"/>
    <x v="2"/>
    <x v="0"/>
    <x v="4"/>
    <x v="1099"/>
    <n v="11.74"/>
    <n v="3"/>
    <n v="1.03"/>
    <x v="3"/>
    <x v="1"/>
  </r>
  <r>
    <n v="44658"/>
    <x v="218"/>
    <x v="20"/>
    <x v="0"/>
    <x v="0"/>
    <x v="1040"/>
    <n v="25.92"/>
    <n v="4"/>
    <n v="12.44"/>
    <x v="3"/>
    <x v="1"/>
  </r>
  <r>
    <n v="44658"/>
    <x v="218"/>
    <x v="20"/>
    <x v="0"/>
    <x v="2"/>
    <x v="350"/>
    <n v="22.58"/>
    <n v="2"/>
    <n v="5.87"/>
    <x v="3"/>
    <x v="1"/>
  </r>
  <r>
    <n v="44660"/>
    <x v="144"/>
    <x v="3"/>
    <x v="1"/>
    <x v="13"/>
    <x v="1301"/>
    <n v="369.91"/>
    <n v="3"/>
    <n v="-13.87"/>
    <x v="3"/>
    <x v="1"/>
  </r>
  <r>
    <n v="44660"/>
    <x v="260"/>
    <x v="20"/>
    <x v="0"/>
    <x v="2"/>
    <x v="565"/>
    <n v="17.940000000000001"/>
    <n v="3"/>
    <n v="3.05"/>
    <x v="3"/>
    <x v="1"/>
  </r>
  <r>
    <n v="44660"/>
    <x v="466"/>
    <x v="37"/>
    <x v="0"/>
    <x v="12"/>
    <x v="1302"/>
    <n v="370.14"/>
    <n v="3"/>
    <n v="144.35"/>
    <x v="3"/>
    <x v="1"/>
  </r>
  <r>
    <n v="44661"/>
    <x v="441"/>
    <x v="3"/>
    <x v="0"/>
    <x v="3"/>
    <x v="170"/>
    <n v="12.83"/>
    <n v="2"/>
    <n v="4.33"/>
    <x v="3"/>
    <x v="1"/>
  </r>
  <r>
    <n v="44661"/>
    <x v="469"/>
    <x v="20"/>
    <x v="0"/>
    <x v="2"/>
    <x v="1303"/>
    <n v="142.04"/>
    <n v="4"/>
    <n v="38.35"/>
    <x v="3"/>
    <x v="1"/>
  </r>
  <r>
    <n v="44661"/>
    <x v="469"/>
    <x v="20"/>
    <x v="0"/>
    <x v="4"/>
    <x v="718"/>
    <n v="14.67"/>
    <n v="3"/>
    <n v="6.01"/>
    <x v="3"/>
    <x v="1"/>
  </r>
  <r>
    <n v="44662"/>
    <x v="145"/>
    <x v="20"/>
    <x v="2"/>
    <x v="9"/>
    <x v="662"/>
    <n v="85.14"/>
    <n v="3"/>
    <n v="34.909999999999997"/>
    <x v="3"/>
    <x v="1"/>
  </r>
  <r>
    <n v="44662"/>
    <x v="145"/>
    <x v="20"/>
    <x v="2"/>
    <x v="6"/>
    <x v="1304"/>
    <n v="21.99"/>
    <n v="1"/>
    <n v="10.56"/>
    <x v="3"/>
    <x v="1"/>
  </r>
  <r>
    <n v="44662"/>
    <x v="145"/>
    <x v="20"/>
    <x v="0"/>
    <x v="12"/>
    <x v="1305"/>
    <n v="406.6"/>
    <n v="5"/>
    <n v="113.85"/>
    <x v="3"/>
    <x v="1"/>
  </r>
  <r>
    <n v="44662"/>
    <x v="378"/>
    <x v="16"/>
    <x v="1"/>
    <x v="8"/>
    <x v="1306"/>
    <n v="67.36"/>
    <n v="2"/>
    <n v="10.1"/>
    <x v="3"/>
    <x v="1"/>
  </r>
  <r>
    <n v="44662"/>
    <x v="378"/>
    <x v="16"/>
    <x v="1"/>
    <x v="8"/>
    <x v="1307"/>
    <n v="54.53"/>
    <n v="3"/>
    <n v="14.31"/>
    <x v="3"/>
    <x v="1"/>
  </r>
  <r>
    <n v="44662"/>
    <x v="539"/>
    <x v="3"/>
    <x v="2"/>
    <x v="16"/>
    <x v="1308"/>
    <n v="639.97"/>
    <n v="4"/>
    <n v="215.99"/>
    <x v="3"/>
    <x v="1"/>
  </r>
  <r>
    <n v="44662"/>
    <x v="539"/>
    <x v="3"/>
    <x v="0"/>
    <x v="0"/>
    <x v="371"/>
    <n v="52.76"/>
    <n v="2"/>
    <n v="24.27"/>
    <x v="3"/>
    <x v="1"/>
  </r>
  <r>
    <n v="44663"/>
    <x v="629"/>
    <x v="22"/>
    <x v="0"/>
    <x v="2"/>
    <x v="1160"/>
    <n v="40.74"/>
    <n v="3"/>
    <n v="0.41"/>
    <x v="3"/>
    <x v="1"/>
  </r>
  <r>
    <n v="44664"/>
    <x v="456"/>
    <x v="3"/>
    <x v="2"/>
    <x v="9"/>
    <x v="399"/>
    <n v="199.96"/>
    <n v="4"/>
    <n v="69.989999999999995"/>
    <x v="3"/>
    <x v="1"/>
  </r>
  <r>
    <n v="44664"/>
    <x v="456"/>
    <x v="3"/>
    <x v="1"/>
    <x v="13"/>
    <x v="230"/>
    <n v="710.83"/>
    <n v="3"/>
    <n v="-97.74"/>
    <x v="3"/>
    <x v="1"/>
  </r>
  <r>
    <n v="44664"/>
    <x v="630"/>
    <x v="31"/>
    <x v="0"/>
    <x v="14"/>
    <x v="277"/>
    <n v="12.88"/>
    <n v="1"/>
    <n v="0.39"/>
    <x v="3"/>
    <x v="1"/>
  </r>
  <r>
    <n v="44664"/>
    <x v="631"/>
    <x v="12"/>
    <x v="0"/>
    <x v="0"/>
    <x v="801"/>
    <n v="31.1"/>
    <n v="6"/>
    <n v="10.89"/>
    <x v="3"/>
    <x v="1"/>
  </r>
  <r>
    <n v="44664"/>
    <x v="631"/>
    <x v="12"/>
    <x v="0"/>
    <x v="0"/>
    <x v="1309"/>
    <n v="54.82"/>
    <n v="3"/>
    <n v="17.82"/>
    <x v="3"/>
    <x v="1"/>
  </r>
  <r>
    <n v="44664"/>
    <x v="478"/>
    <x v="3"/>
    <x v="1"/>
    <x v="8"/>
    <x v="1310"/>
    <n v="37.68"/>
    <n v="2"/>
    <n v="15.83"/>
    <x v="3"/>
    <x v="1"/>
  </r>
  <r>
    <n v="44664"/>
    <x v="478"/>
    <x v="3"/>
    <x v="2"/>
    <x v="6"/>
    <x v="86"/>
    <n v="258.58"/>
    <n v="2"/>
    <n v="19.39"/>
    <x v="3"/>
    <x v="1"/>
  </r>
  <r>
    <n v="44664"/>
    <x v="478"/>
    <x v="3"/>
    <x v="0"/>
    <x v="12"/>
    <x v="1311"/>
    <n v="75.84"/>
    <n v="2"/>
    <n v="29.58"/>
    <x v="3"/>
    <x v="1"/>
  </r>
  <r>
    <n v="44664"/>
    <x v="331"/>
    <x v="40"/>
    <x v="0"/>
    <x v="3"/>
    <x v="246"/>
    <n v="17.43"/>
    <n v="3"/>
    <n v="8.02"/>
    <x v="3"/>
    <x v="1"/>
  </r>
  <r>
    <n v="44664"/>
    <x v="632"/>
    <x v="3"/>
    <x v="1"/>
    <x v="13"/>
    <x v="1312"/>
    <n v="241.57"/>
    <n v="2"/>
    <n v="-15.1"/>
    <x v="3"/>
    <x v="1"/>
  </r>
  <r>
    <n v="44664"/>
    <x v="632"/>
    <x v="3"/>
    <x v="2"/>
    <x v="6"/>
    <x v="1313"/>
    <n v="479.92"/>
    <n v="2"/>
    <n v="41.99"/>
    <x v="3"/>
    <x v="1"/>
  </r>
  <r>
    <n v="44664"/>
    <x v="433"/>
    <x v="12"/>
    <x v="0"/>
    <x v="2"/>
    <x v="1314"/>
    <n v="10.74"/>
    <n v="1"/>
    <n v="0.81"/>
    <x v="3"/>
    <x v="1"/>
  </r>
  <r>
    <n v="44664"/>
    <x v="558"/>
    <x v="0"/>
    <x v="1"/>
    <x v="13"/>
    <x v="280"/>
    <n v="609.98"/>
    <n v="4"/>
    <n v="-113.28"/>
    <x v="3"/>
    <x v="1"/>
  </r>
  <r>
    <n v="44664"/>
    <x v="558"/>
    <x v="0"/>
    <x v="1"/>
    <x v="13"/>
    <x v="1312"/>
    <n v="211.37"/>
    <n v="2"/>
    <n v="-45.29"/>
    <x v="3"/>
    <x v="1"/>
  </r>
  <r>
    <n v="44664"/>
    <x v="558"/>
    <x v="0"/>
    <x v="2"/>
    <x v="6"/>
    <x v="43"/>
    <n v="239.98"/>
    <n v="3"/>
    <n v="18"/>
    <x v="3"/>
    <x v="1"/>
  </r>
  <r>
    <n v="44665"/>
    <x v="633"/>
    <x v="11"/>
    <x v="0"/>
    <x v="12"/>
    <x v="699"/>
    <n v="35.21"/>
    <n v="1"/>
    <n v="2.64"/>
    <x v="3"/>
    <x v="1"/>
  </r>
  <r>
    <n v="44667"/>
    <x v="161"/>
    <x v="10"/>
    <x v="0"/>
    <x v="12"/>
    <x v="1173"/>
    <n v="45.22"/>
    <n v="3"/>
    <n v="4.5199999999999996"/>
    <x v="3"/>
    <x v="1"/>
  </r>
  <r>
    <n v="44667"/>
    <x v="161"/>
    <x v="10"/>
    <x v="0"/>
    <x v="7"/>
    <x v="690"/>
    <n v="10.42"/>
    <n v="7"/>
    <n v="-2.21"/>
    <x v="3"/>
    <x v="1"/>
  </r>
  <r>
    <n v="44667"/>
    <x v="161"/>
    <x v="10"/>
    <x v="0"/>
    <x v="4"/>
    <x v="268"/>
    <n v="7.87"/>
    <n v="3"/>
    <n v="1.28"/>
    <x v="3"/>
    <x v="1"/>
  </r>
  <r>
    <n v="44667"/>
    <x v="161"/>
    <x v="10"/>
    <x v="2"/>
    <x v="6"/>
    <x v="535"/>
    <n v="118.78"/>
    <n v="3"/>
    <n v="-27.72"/>
    <x v="3"/>
    <x v="1"/>
  </r>
  <r>
    <n v="44667"/>
    <x v="161"/>
    <x v="10"/>
    <x v="0"/>
    <x v="7"/>
    <x v="1144"/>
    <n v="1.45"/>
    <n v="1"/>
    <n v="0.24"/>
    <x v="3"/>
    <x v="1"/>
  </r>
  <r>
    <n v="44667"/>
    <x v="161"/>
    <x v="10"/>
    <x v="0"/>
    <x v="3"/>
    <x v="1315"/>
    <n v="55.47"/>
    <n v="5"/>
    <n v="-46.23"/>
    <x v="3"/>
    <x v="1"/>
  </r>
  <r>
    <n v="44667"/>
    <x v="396"/>
    <x v="2"/>
    <x v="0"/>
    <x v="7"/>
    <x v="78"/>
    <n v="12.58"/>
    <n v="4"/>
    <n v="4.09"/>
    <x v="3"/>
    <x v="1"/>
  </r>
  <r>
    <n v="44667"/>
    <x v="417"/>
    <x v="1"/>
    <x v="2"/>
    <x v="16"/>
    <x v="1134"/>
    <n v="1439.97"/>
    <n v="4"/>
    <n v="485.99"/>
    <x v="3"/>
    <x v="1"/>
  </r>
  <r>
    <n v="44667"/>
    <x v="417"/>
    <x v="1"/>
    <x v="2"/>
    <x v="9"/>
    <x v="1316"/>
    <n v="43.56"/>
    <n v="3"/>
    <n v="-4.9000000000000004"/>
    <x v="3"/>
    <x v="1"/>
  </r>
  <r>
    <n v="44667"/>
    <x v="172"/>
    <x v="6"/>
    <x v="2"/>
    <x v="6"/>
    <x v="485"/>
    <n v="569.64"/>
    <n v="2"/>
    <n v="148.11000000000001"/>
    <x v="3"/>
    <x v="1"/>
  </r>
  <r>
    <n v="44667"/>
    <x v="172"/>
    <x v="6"/>
    <x v="0"/>
    <x v="3"/>
    <x v="997"/>
    <n v="9.14"/>
    <n v="1"/>
    <n v="4.57"/>
    <x v="3"/>
    <x v="1"/>
  </r>
  <r>
    <n v="44667"/>
    <x v="172"/>
    <x v="6"/>
    <x v="1"/>
    <x v="8"/>
    <x v="990"/>
    <n v="1196.8599999999999"/>
    <n v="7"/>
    <n v="119.69"/>
    <x v="3"/>
    <x v="1"/>
  </r>
  <r>
    <n v="44667"/>
    <x v="172"/>
    <x v="6"/>
    <x v="1"/>
    <x v="11"/>
    <x v="1317"/>
    <n v="523.26"/>
    <n v="9"/>
    <n v="125.58"/>
    <x v="3"/>
    <x v="1"/>
  </r>
  <r>
    <n v="44667"/>
    <x v="491"/>
    <x v="20"/>
    <x v="1"/>
    <x v="5"/>
    <x v="1318"/>
    <n v="127.76"/>
    <n v="2"/>
    <n v="2.84"/>
    <x v="3"/>
    <x v="1"/>
  </r>
  <r>
    <n v="44668"/>
    <x v="208"/>
    <x v="3"/>
    <x v="0"/>
    <x v="4"/>
    <x v="531"/>
    <n v="5.56"/>
    <n v="2"/>
    <n v="2.2200000000000002"/>
    <x v="3"/>
    <x v="1"/>
  </r>
  <r>
    <n v="44668"/>
    <x v="208"/>
    <x v="3"/>
    <x v="2"/>
    <x v="9"/>
    <x v="23"/>
    <n v="323.37"/>
    <n v="3"/>
    <n v="129.35"/>
    <x v="3"/>
    <x v="1"/>
  </r>
  <r>
    <n v="44668"/>
    <x v="208"/>
    <x v="3"/>
    <x v="2"/>
    <x v="6"/>
    <x v="1319"/>
    <n v="783.96"/>
    <n v="5"/>
    <n v="68.599999999999994"/>
    <x v="3"/>
    <x v="1"/>
  </r>
  <r>
    <n v="44668"/>
    <x v="208"/>
    <x v="3"/>
    <x v="0"/>
    <x v="12"/>
    <x v="1193"/>
    <n v="1447.65"/>
    <n v="5"/>
    <n v="419.82"/>
    <x v="3"/>
    <x v="1"/>
  </r>
  <r>
    <n v="44668"/>
    <x v="208"/>
    <x v="3"/>
    <x v="0"/>
    <x v="0"/>
    <x v="938"/>
    <n v="11.96"/>
    <n v="2"/>
    <n v="5.86"/>
    <x v="3"/>
    <x v="1"/>
  </r>
  <r>
    <n v="44668"/>
    <x v="401"/>
    <x v="20"/>
    <x v="2"/>
    <x v="9"/>
    <x v="1189"/>
    <n v="99.6"/>
    <n v="1"/>
    <n v="36.85"/>
    <x v="3"/>
    <x v="1"/>
  </r>
  <r>
    <n v="44668"/>
    <x v="401"/>
    <x v="20"/>
    <x v="0"/>
    <x v="3"/>
    <x v="1320"/>
    <n v="62.3"/>
    <n v="13"/>
    <n v="21.02"/>
    <x v="3"/>
    <x v="1"/>
  </r>
  <r>
    <n v="44668"/>
    <x v="401"/>
    <x v="20"/>
    <x v="0"/>
    <x v="4"/>
    <x v="1321"/>
    <n v="10.71"/>
    <n v="3"/>
    <n v="2.78"/>
    <x v="3"/>
    <x v="1"/>
  </r>
  <r>
    <n v="44669"/>
    <x v="0"/>
    <x v="18"/>
    <x v="0"/>
    <x v="3"/>
    <x v="212"/>
    <n v="38.22"/>
    <n v="6"/>
    <n v="17.96"/>
    <x v="3"/>
    <x v="1"/>
  </r>
  <r>
    <n v="44669"/>
    <x v="0"/>
    <x v="18"/>
    <x v="0"/>
    <x v="1"/>
    <x v="634"/>
    <n v="75.180000000000007"/>
    <n v="6"/>
    <n v="35.33"/>
    <x v="3"/>
    <x v="1"/>
  </r>
  <r>
    <n v="44669"/>
    <x v="0"/>
    <x v="18"/>
    <x v="1"/>
    <x v="8"/>
    <x v="895"/>
    <n v="6.16"/>
    <n v="2"/>
    <n v="2.96"/>
    <x v="3"/>
    <x v="1"/>
  </r>
  <r>
    <n v="44669"/>
    <x v="0"/>
    <x v="18"/>
    <x v="1"/>
    <x v="5"/>
    <x v="1322"/>
    <n v="89.99"/>
    <n v="1"/>
    <n v="17.100000000000001"/>
    <x v="3"/>
    <x v="1"/>
  </r>
  <r>
    <n v="44669"/>
    <x v="439"/>
    <x v="8"/>
    <x v="2"/>
    <x v="9"/>
    <x v="1286"/>
    <n v="106.5"/>
    <n v="6"/>
    <n v="41.54"/>
    <x v="3"/>
    <x v="1"/>
  </r>
  <r>
    <n v="44669"/>
    <x v="334"/>
    <x v="20"/>
    <x v="0"/>
    <x v="1"/>
    <x v="1323"/>
    <n v="21.93"/>
    <n v="3"/>
    <n v="10.31"/>
    <x v="3"/>
    <x v="1"/>
  </r>
  <r>
    <n v="44669"/>
    <x v="354"/>
    <x v="3"/>
    <x v="0"/>
    <x v="2"/>
    <x v="1324"/>
    <n v="947.17"/>
    <n v="7"/>
    <n v="9.4700000000000006"/>
    <x v="3"/>
    <x v="1"/>
  </r>
  <r>
    <n v="44669"/>
    <x v="354"/>
    <x v="3"/>
    <x v="0"/>
    <x v="0"/>
    <x v="1325"/>
    <n v="61.96"/>
    <n v="2"/>
    <n v="27.88"/>
    <x v="3"/>
    <x v="1"/>
  </r>
  <r>
    <n v="44669"/>
    <x v="180"/>
    <x v="3"/>
    <x v="0"/>
    <x v="2"/>
    <x v="678"/>
    <n v="115.44"/>
    <n v="3"/>
    <n v="30.01"/>
    <x v="3"/>
    <x v="1"/>
  </r>
  <r>
    <n v="44669"/>
    <x v="634"/>
    <x v="0"/>
    <x v="2"/>
    <x v="9"/>
    <x v="1326"/>
    <n v="41.42"/>
    <n v="2"/>
    <n v="8.2799999999999994"/>
    <x v="3"/>
    <x v="1"/>
  </r>
  <r>
    <n v="44669"/>
    <x v="634"/>
    <x v="0"/>
    <x v="2"/>
    <x v="6"/>
    <x v="1327"/>
    <n v="244.77"/>
    <n v="4"/>
    <n v="24.48"/>
    <x v="3"/>
    <x v="1"/>
  </r>
  <r>
    <n v="44669"/>
    <x v="634"/>
    <x v="0"/>
    <x v="0"/>
    <x v="4"/>
    <x v="1192"/>
    <n v="74.349999999999994"/>
    <n v="3"/>
    <n v="6.51"/>
    <x v="3"/>
    <x v="1"/>
  </r>
  <r>
    <n v="44669"/>
    <x v="634"/>
    <x v="0"/>
    <x v="0"/>
    <x v="3"/>
    <x v="39"/>
    <n v="4.3099999999999996"/>
    <n v="2"/>
    <n v="-6.9"/>
    <x v="3"/>
    <x v="1"/>
  </r>
  <r>
    <n v="44669"/>
    <x v="634"/>
    <x v="0"/>
    <x v="1"/>
    <x v="5"/>
    <x v="100"/>
    <n v="56.69"/>
    <n v="1"/>
    <n v="-20.25"/>
    <x v="3"/>
    <x v="1"/>
  </r>
  <r>
    <n v="44669"/>
    <x v="634"/>
    <x v="0"/>
    <x v="2"/>
    <x v="6"/>
    <x v="1120"/>
    <n v="97.97"/>
    <n v="2"/>
    <n v="6.12"/>
    <x v="3"/>
    <x v="1"/>
  </r>
  <r>
    <n v="44669"/>
    <x v="634"/>
    <x v="0"/>
    <x v="0"/>
    <x v="4"/>
    <x v="608"/>
    <n v="7.87"/>
    <n v="3"/>
    <n v="0.89"/>
    <x v="3"/>
    <x v="1"/>
  </r>
  <r>
    <n v="44669"/>
    <x v="634"/>
    <x v="0"/>
    <x v="0"/>
    <x v="0"/>
    <x v="721"/>
    <n v="15.55"/>
    <n v="3"/>
    <n v="5.44"/>
    <x v="3"/>
    <x v="1"/>
  </r>
  <r>
    <n v="44669"/>
    <x v="634"/>
    <x v="0"/>
    <x v="0"/>
    <x v="3"/>
    <x v="116"/>
    <n v="1.48"/>
    <n v="1"/>
    <n v="-2.29"/>
    <x v="3"/>
    <x v="1"/>
  </r>
  <r>
    <n v="44670"/>
    <x v="190"/>
    <x v="0"/>
    <x v="0"/>
    <x v="12"/>
    <x v="155"/>
    <n v="19.57"/>
    <n v="2"/>
    <n v="-52.83"/>
    <x v="3"/>
    <x v="1"/>
  </r>
  <r>
    <n v="44670"/>
    <x v="190"/>
    <x v="0"/>
    <x v="0"/>
    <x v="3"/>
    <x v="411"/>
    <n v="310.39"/>
    <n v="4"/>
    <n v="-512.15"/>
    <x v="3"/>
    <x v="1"/>
  </r>
  <r>
    <n v="44671"/>
    <x v="161"/>
    <x v="4"/>
    <x v="2"/>
    <x v="6"/>
    <x v="307"/>
    <n v="287.97000000000003"/>
    <n v="3"/>
    <n v="77.75"/>
    <x v="3"/>
    <x v="1"/>
  </r>
  <r>
    <n v="44671"/>
    <x v="161"/>
    <x v="4"/>
    <x v="1"/>
    <x v="8"/>
    <x v="1328"/>
    <n v="595.38"/>
    <n v="6"/>
    <n v="297.69"/>
    <x v="3"/>
    <x v="1"/>
  </r>
  <r>
    <n v="44671"/>
    <x v="161"/>
    <x v="4"/>
    <x v="0"/>
    <x v="0"/>
    <x v="507"/>
    <n v="12.96"/>
    <n v="2"/>
    <n v="6.22"/>
    <x v="3"/>
    <x v="1"/>
  </r>
  <r>
    <n v="44671"/>
    <x v="414"/>
    <x v="0"/>
    <x v="0"/>
    <x v="0"/>
    <x v="646"/>
    <n v="117.46"/>
    <n v="3"/>
    <n v="44.05"/>
    <x v="3"/>
    <x v="1"/>
  </r>
  <r>
    <n v="44671"/>
    <x v="635"/>
    <x v="14"/>
    <x v="0"/>
    <x v="10"/>
    <x v="1329"/>
    <n v="180.96"/>
    <n v="2"/>
    <n v="81.430000000000007"/>
    <x v="3"/>
    <x v="1"/>
  </r>
  <r>
    <n v="44672"/>
    <x v="636"/>
    <x v="5"/>
    <x v="1"/>
    <x v="5"/>
    <x v="1182"/>
    <n v="191.96"/>
    <n v="2"/>
    <n v="51.83"/>
    <x v="3"/>
    <x v="1"/>
  </r>
  <r>
    <n v="44672"/>
    <x v="636"/>
    <x v="5"/>
    <x v="0"/>
    <x v="3"/>
    <x v="745"/>
    <n v="21.3"/>
    <n v="3"/>
    <n v="9.8000000000000007"/>
    <x v="3"/>
    <x v="1"/>
  </r>
  <r>
    <n v="44672"/>
    <x v="636"/>
    <x v="5"/>
    <x v="2"/>
    <x v="6"/>
    <x v="67"/>
    <n v="469.95"/>
    <n v="5"/>
    <n v="131.59"/>
    <x v="3"/>
    <x v="1"/>
  </r>
  <r>
    <n v="44672"/>
    <x v="636"/>
    <x v="5"/>
    <x v="1"/>
    <x v="8"/>
    <x v="1330"/>
    <n v="209.88"/>
    <n v="3"/>
    <n v="35.68"/>
    <x v="3"/>
    <x v="1"/>
  </r>
  <r>
    <n v="44673"/>
    <x v="86"/>
    <x v="3"/>
    <x v="2"/>
    <x v="6"/>
    <x v="550"/>
    <n v="88.78"/>
    <n v="3"/>
    <n v="7.77"/>
    <x v="3"/>
    <x v="1"/>
  </r>
  <r>
    <n v="44673"/>
    <x v="86"/>
    <x v="3"/>
    <x v="0"/>
    <x v="4"/>
    <x v="1218"/>
    <n v="64.14"/>
    <n v="3"/>
    <n v="16.68"/>
    <x v="3"/>
    <x v="1"/>
  </r>
  <r>
    <n v="44675"/>
    <x v="35"/>
    <x v="20"/>
    <x v="0"/>
    <x v="4"/>
    <x v="151"/>
    <n v="25.99"/>
    <n v="1"/>
    <n v="7.54"/>
    <x v="3"/>
    <x v="1"/>
  </r>
  <r>
    <n v="44676"/>
    <x v="65"/>
    <x v="3"/>
    <x v="0"/>
    <x v="3"/>
    <x v="246"/>
    <n v="13.94"/>
    <n v="3"/>
    <n v="4.53"/>
    <x v="3"/>
    <x v="1"/>
  </r>
  <r>
    <n v="44676"/>
    <x v="315"/>
    <x v="20"/>
    <x v="0"/>
    <x v="12"/>
    <x v="52"/>
    <n v="206.43"/>
    <n v="3"/>
    <n v="90.83"/>
    <x v="3"/>
    <x v="1"/>
  </r>
  <r>
    <n v="44676"/>
    <x v="603"/>
    <x v="21"/>
    <x v="0"/>
    <x v="4"/>
    <x v="619"/>
    <n v="57.75"/>
    <n v="5"/>
    <n v="16.170000000000002"/>
    <x v="3"/>
    <x v="1"/>
  </r>
  <r>
    <n v="44676"/>
    <x v="603"/>
    <x v="21"/>
    <x v="0"/>
    <x v="12"/>
    <x v="1217"/>
    <n v="272.39999999999998"/>
    <n v="5"/>
    <n v="76.27"/>
    <x v="3"/>
    <x v="1"/>
  </r>
  <r>
    <n v="44676"/>
    <x v="456"/>
    <x v="1"/>
    <x v="0"/>
    <x v="2"/>
    <x v="332"/>
    <n v="221.02"/>
    <n v="2"/>
    <n v="-55.26"/>
    <x v="3"/>
    <x v="1"/>
  </r>
  <r>
    <n v="44676"/>
    <x v="456"/>
    <x v="1"/>
    <x v="1"/>
    <x v="5"/>
    <x v="1331"/>
    <n v="128.06"/>
    <n v="3"/>
    <n v="-23.78"/>
    <x v="3"/>
    <x v="1"/>
  </r>
  <r>
    <n v="44676"/>
    <x v="637"/>
    <x v="3"/>
    <x v="0"/>
    <x v="10"/>
    <x v="1104"/>
    <n v="21.34"/>
    <n v="2"/>
    <n v="9.82"/>
    <x v="3"/>
    <x v="1"/>
  </r>
  <r>
    <n v="44677"/>
    <x v="264"/>
    <x v="15"/>
    <x v="1"/>
    <x v="5"/>
    <x v="1155"/>
    <n v="831.94"/>
    <n v="8"/>
    <n v="-114.39"/>
    <x v="3"/>
    <x v="1"/>
  </r>
  <r>
    <n v="44677"/>
    <x v="264"/>
    <x v="15"/>
    <x v="1"/>
    <x v="8"/>
    <x v="339"/>
    <n v="97.04"/>
    <n v="2"/>
    <n v="1.21"/>
    <x v="3"/>
    <x v="1"/>
  </r>
  <r>
    <n v="44677"/>
    <x v="264"/>
    <x v="15"/>
    <x v="0"/>
    <x v="2"/>
    <x v="509"/>
    <n v="72.78"/>
    <n v="1"/>
    <n v="-18.2"/>
    <x v="3"/>
    <x v="1"/>
  </r>
  <r>
    <n v="44677"/>
    <x v="517"/>
    <x v="0"/>
    <x v="1"/>
    <x v="5"/>
    <x v="1283"/>
    <n v="408.42"/>
    <n v="2"/>
    <n v="-5.83"/>
    <x v="3"/>
    <x v="1"/>
  </r>
  <r>
    <n v="44677"/>
    <x v="620"/>
    <x v="3"/>
    <x v="1"/>
    <x v="5"/>
    <x v="1047"/>
    <n v="63.94"/>
    <n v="3"/>
    <n v="6.39"/>
    <x v="3"/>
    <x v="1"/>
  </r>
  <r>
    <n v="44677"/>
    <x v="620"/>
    <x v="3"/>
    <x v="0"/>
    <x v="4"/>
    <x v="137"/>
    <n v="59.52"/>
    <n v="3"/>
    <n v="15.48"/>
    <x v="3"/>
    <x v="1"/>
  </r>
  <r>
    <n v="44677"/>
    <x v="620"/>
    <x v="3"/>
    <x v="2"/>
    <x v="6"/>
    <x v="1332"/>
    <n v="311.98"/>
    <n v="3"/>
    <n v="39"/>
    <x v="3"/>
    <x v="1"/>
  </r>
  <r>
    <n v="44677"/>
    <x v="620"/>
    <x v="3"/>
    <x v="0"/>
    <x v="3"/>
    <x v="637"/>
    <n v="50.35"/>
    <n v="3"/>
    <n v="17.62"/>
    <x v="3"/>
    <x v="1"/>
  </r>
  <r>
    <n v="44677"/>
    <x v="52"/>
    <x v="16"/>
    <x v="1"/>
    <x v="13"/>
    <x v="1091"/>
    <n v="191.52"/>
    <n v="1"/>
    <n v="-76.61"/>
    <x v="3"/>
    <x v="1"/>
  </r>
  <r>
    <n v="44677"/>
    <x v="52"/>
    <x v="16"/>
    <x v="0"/>
    <x v="4"/>
    <x v="268"/>
    <n v="2.62"/>
    <n v="1"/>
    <n v="0.43"/>
    <x v="3"/>
    <x v="1"/>
  </r>
  <r>
    <n v="44678"/>
    <x v="217"/>
    <x v="44"/>
    <x v="0"/>
    <x v="4"/>
    <x v="108"/>
    <n v="22.74"/>
    <n v="3"/>
    <n v="8.8699999999999992"/>
    <x v="3"/>
    <x v="1"/>
  </r>
  <r>
    <n v="44678"/>
    <x v="217"/>
    <x v="44"/>
    <x v="1"/>
    <x v="5"/>
    <x v="1333"/>
    <n v="1267.53"/>
    <n v="3"/>
    <n v="316.88"/>
    <x v="3"/>
    <x v="1"/>
  </r>
  <r>
    <n v="44678"/>
    <x v="217"/>
    <x v="44"/>
    <x v="2"/>
    <x v="15"/>
    <x v="1334"/>
    <n v="1379.92"/>
    <n v="8"/>
    <n v="648.55999999999995"/>
    <x v="3"/>
    <x v="1"/>
  </r>
  <r>
    <n v="44678"/>
    <x v="529"/>
    <x v="26"/>
    <x v="0"/>
    <x v="12"/>
    <x v="188"/>
    <n v="43.56"/>
    <n v="5"/>
    <n v="3.27"/>
    <x v="3"/>
    <x v="1"/>
  </r>
  <r>
    <n v="44678"/>
    <x v="529"/>
    <x v="26"/>
    <x v="0"/>
    <x v="14"/>
    <x v="817"/>
    <n v="5.84"/>
    <n v="2"/>
    <n v="0.73"/>
    <x v="3"/>
    <x v="1"/>
  </r>
  <r>
    <n v="44679"/>
    <x v="277"/>
    <x v="0"/>
    <x v="0"/>
    <x v="12"/>
    <x v="366"/>
    <n v="8.65"/>
    <n v="3"/>
    <n v="-20.329999999999998"/>
    <x v="3"/>
    <x v="1"/>
  </r>
  <r>
    <n v="44679"/>
    <x v="277"/>
    <x v="0"/>
    <x v="0"/>
    <x v="2"/>
    <x v="776"/>
    <n v="23.83"/>
    <n v="3"/>
    <n v="2.68"/>
    <x v="3"/>
    <x v="1"/>
  </r>
  <r>
    <n v="44679"/>
    <x v="277"/>
    <x v="0"/>
    <x v="0"/>
    <x v="3"/>
    <x v="185"/>
    <n v="12.18"/>
    <n v="4"/>
    <n v="-18.87"/>
    <x v="3"/>
    <x v="1"/>
  </r>
  <r>
    <n v="44679"/>
    <x v="26"/>
    <x v="14"/>
    <x v="0"/>
    <x v="12"/>
    <x v="1335"/>
    <n v="186.73"/>
    <n v="1"/>
    <n v="41.5"/>
    <x v="3"/>
    <x v="1"/>
  </r>
  <r>
    <n v="44679"/>
    <x v="26"/>
    <x v="14"/>
    <x v="0"/>
    <x v="3"/>
    <x v="1030"/>
    <n v="3812.97"/>
    <n v="3"/>
    <n v="1906.49"/>
    <x v="3"/>
    <x v="1"/>
  </r>
  <r>
    <n v="44680"/>
    <x v="412"/>
    <x v="2"/>
    <x v="0"/>
    <x v="0"/>
    <x v="404"/>
    <n v="7.97"/>
    <n v="2"/>
    <n v="2.89"/>
    <x v="3"/>
    <x v="1"/>
  </r>
  <r>
    <n v="44681"/>
    <x v="152"/>
    <x v="1"/>
    <x v="1"/>
    <x v="5"/>
    <x v="94"/>
    <n v="213.12"/>
    <n v="5"/>
    <n v="-15.22"/>
    <x v="3"/>
    <x v="1"/>
  </r>
  <r>
    <n v="44681"/>
    <x v="157"/>
    <x v="10"/>
    <x v="2"/>
    <x v="6"/>
    <x v="686"/>
    <n v="1022.97"/>
    <n v="5"/>
    <n v="-255.74"/>
    <x v="3"/>
    <x v="1"/>
  </r>
  <r>
    <n v="44681"/>
    <x v="127"/>
    <x v="3"/>
    <x v="0"/>
    <x v="4"/>
    <x v="619"/>
    <n v="34.65"/>
    <n v="3"/>
    <n v="9.6999999999999993"/>
    <x v="3"/>
    <x v="1"/>
  </r>
  <r>
    <n v="44681"/>
    <x v="127"/>
    <x v="3"/>
    <x v="2"/>
    <x v="6"/>
    <x v="1297"/>
    <n v="19.8"/>
    <n v="5"/>
    <n v="1.73"/>
    <x v="3"/>
    <x v="1"/>
  </r>
  <r>
    <n v="44681"/>
    <x v="638"/>
    <x v="32"/>
    <x v="1"/>
    <x v="8"/>
    <x v="1084"/>
    <n v="31.4"/>
    <n v="5"/>
    <n v="13.19"/>
    <x v="3"/>
    <x v="1"/>
  </r>
  <r>
    <n v="44681"/>
    <x v="638"/>
    <x v="32"/>
    <x v="1"/>
    <x v="8"/>
    <x v="1336"/>
    <n v="9.48"/>
    <n v="1"/>
    <n v="3.79"/>
    <x v="3"/>
    <x v="1"/>
  </r>
  <r>
    <n v="44681"/>
    <x v="638"/>
    <x v="32"/>
    <x v="2"/>
    <x v="6"/>
    <x v="1337"/>
    <n v="209.5"/>
    <n v="10"/>
    <n v="58.66"/>
    <x v="3"/>
    <x v="1"/>
  </r>
  <r>
    <n v="44681"/>
    <x v="638"/>
    <x v="32"/>
    <x v="1"/>
    <x v="8"/>
    <x v="1338"/>
    <n v="24.3"/>
    <n v="5"/>
    <n v="10.45"/>
    <x v="3"/>
    <x v="1"/>
  </r>
  <r>
    <n v="44681"/>
    <x v="638"/>
    <x v="32"/>
    <x v="0"/>
    <x v="0"/>
    <x v="381"/>
    <n v="6.48"/>
    <n v="1"/>
    <n v="3.11"/>
    <x v="3"/>
    <x v="1"/>
  </r>
  <r>
    <n v="44682"/>
    <x v="403"/>
    <x v="3"/>
    <x v="2"/>
    <x v="6"/>
    <x v="1339"/>
    <n v="88.75"/>
    <n v="3"/>
    <n v="11.09"/>
    <x v="4"/>
    <x v="1"/>
  </r>
  <r>
    <n v="44682"/>
    <x v="639"/>
    <x v="16"/>
    <x v="1"/>
    <x v="8"/>
    <x v="34"/>
    <n v="63.55"/>
    <n v="3"/>
    <n v="14.3"/>
    <x v="4"/>
    <x v="1"/>
  </r>
  <r>
    <n v="44682"/>
    <x v="639"/>
    <x v="16"/>
    <x v="0"/>
    <x v="14"/>
    <x v="1340"/>
    <n v="41.38"/>
    <n v="3"/>
    <n v="4.6500000000000004"/>
    <x v="4"/>
    <x v="1"/>
  </r>
  <r>
    <n v="44682"/>
    <x v="639"/>
    <x v="16"/>
    <x v="0"/>
    <x v="4"/>
    <x v="1341"/>
    <n v="172.7"/>
    <n v="6"/>
    <n v="10.79"/>
    <x v="4"/>
    <x v="1"/>
  </r>
  <r>
    <n v="44682"/>
    <x v="487"/>
    <x v="3"/>
    <x v="0"/>
    <x v="3"/>
    <x v="185"/>
    <n v="12.18"/>
    <n v="1"/>
    <n v="4.41"/>
    <x v="4"/>
    <x v="1"/>
  </r>
  <r>
    <n v="44682"/>
    <x v="487"/>
    <x v="3"/>
    <x v="0"/>
    <x v="2"/>
    <x v="304"/>
    <n v="37.32"/>
    <n v="3"/>
    <n v="10.45"/>
    <x v="4"/>
    <x v="1"/>
  </r>
  <r>
    <n v="44682"/>
    <x v="487"/>
    <x v="3"/>
    <x v="0"/>
    <x v="14"/>
    <x v="1342"/>
    <n v="35.06"/>
    <n v="2"/>
    <n v="10.52"/>
    <x v="4"/>
    <x v="1"/>
  </r>
  <r>
    <n v="44683"/>
    <x v="479"/>
    <x v="0"/>
    <x v="0"/>
    <x v="1"/>
    <x v="198"/>
    <n v="8.86"/>
    <n v="3"/>
    <n v="2.99"/>
    <x v="4"/>
    <x v="1"/>
  </r>
  <r>
    <n v="44683"/>
    <x v="479"/>
    <x v="0"/>
    <x v="2"/>
    <x v="6"/>
    <x v="987"/>
    <n v="158.38"/>
    <n v="3"/>
    <n v="13.86"/>
    <x v="4"/>
    <x v="1"/>
  </r>
  <r>
    <n v="44684"/>
    <x v="640"/>
    <x v="3"/>
    <x v="1"/>
    <x v="8"/>
    <x v="97"/>
    <n v="665.88"/>
    <n v="6"/>
    <n v="106.54"/>
    <x v="4"/>
    <x v="1"/>
  </r>
  <r>
    <n v="44684"/>
    <x v="149"/>
    <x v="2"/>
    <x v="0"/>
    <x v="4"/>
    <x v="1343"/>
    <n v="59.9"/>
    <n v="2"/>
    <n v="14.23"/>
    <x v="4"/>
    <x v="1"/>
  </r>
  <r>
    <n v="44684"/>
    <x v="149"/>
    <x v="2"/>
    <x v="0"/>
    <x v="12"/>
    <x v="1344"/>
    <n v="23.7"/>
    <n v="2"/>
    <n v="6.52"/>
    <x v="4"/>
    <x v="1"/>
  </r>
  <r>
    <n v="44684"/>
    <x v="149"/>
    <x v="2"/>
    <x v="0"/>
    <x v="0"/>
    <x v="602"/>
    <n v="7.97"/>
    <n v="2"/>
    <n v="2.89"/>
    <x v="4"/>
    <x v="1"/>
  </r>
  <r>
    <n v="44684"/>
    <x v="149"/>
    <x v="2"/>
    <x v="0"/>
    <x v="12"/>
    <x v="652"/>
    <n v="18.2"/>
    <n v="7"/>
    <n v="2.0499999999999998"/>
    <x v="4"/>
    <x v="1"/>
  </r>
  <r>
    <n v="44684"/>
    <x v="149"/>
    <x v="2"/>
    <x v="2"/>
    <x v="9"/>
    <x v="813"/>
    <n v="27.55"/>
    <n v="3"/>
    <n v="-0.34"/>
    <x v="4"/>
    <x v="1"/>
  </r>
  <r>
    <n v="44684"/>
    <x v="149"/>
    <x v="2"/>
    <x v="1"/>
    <x v="5"/>
    <x v="249"/>
    <n v="844.12"/>
    <n v="6"/>
    <n v="-36.18"/>
    <x v="4"/>
    <x v="1"/>
  </r>
  <r>
    <n v="44684"/>
    <x v="149"/>
    <x v="2"/>
    <x v="0"/>
    <x v="2"/>
    <x v="555"/>
    <n v="76.75"/>
    <n v="3"/>
    <n v="-9.59"/>
    <x v="4"/>
    <x v="1"/>
  </r>
  <r>
    <n v="44684"/>
    <x v="641"/>
    <x v="3"/>
    <x v="0"/>
    <x v="4"/>
    <x v="421"/>
    <n v="8.82"/>
    <n v="3"/>
    <n v="2.56"/>
    <x v="4"/>
    <x v="1"/>
  </r>
  <r>
    <n v="44684"/>
    <x v="641"/>
    <x v="3"/>
    <x v="0"/>
    <x v="3"/>
    <x v="1345"/>
    <n v="62.5"/>
    <n v="2"/>
    <n v="21.87"/>
    <x v="4"/>
    <x v="1"/>
  </r>
  <r>
    <n v="44684"/>
    <x v="641"/>
    <x v="3"/>
    <x v="2"/>
    <x v="9"/>
    <x v="711"/>
    <n v="339.96"/>
    <n v="4"/>
    <n v="122.39"/>
    <x v="4"/>
    <x v="1"/>
  </r>
  <r>
    <n v="44684"/>
    <x v="641"/>
    <x v="3"/>
    <x v="0"/>
    <x v="3"/>
    <x v="36"/>
    <n v="49.57"/>
    <n v="2"/>
    <n v="17.350000000000001"/>
    <x v="4"/>
    <x v="1"/>
  </r>
  <r>
    <n v="44684"/>
    <x v="155"/>
    <x v="3"/>
    <x v="0"/>
    <x v="3"/>
    <x v="872"/>
    <n v="13.85"/>
    <n v="3"/>
    <n v="5.19"/>
    <x v="4"/>
    <x v="1"/>
  </r>
  <r>
    <n v="44685"/>
    <x v="464"/>
    <x v="20"/>
    <x v="1"/>
    <x v="8"/>
    <x v="1346"/>
    <n v="26.8"/>
    <n v="2"/>
    <n v="12.86"/>
    <x v="4"/>
    <x v="1"/>
  </r>
  <r>
    <n v="44685"/>
    <x v="174"/>
    <x v="1"/>
    <x v="1"/>
    <x v="8"/>
    <x v="626"/>
    <n v="22.29"/>
    <n v="7"/>
    <n v="-8.92"/>
    <x v="4"/>
    <x v="1"/>
  </r>
  <r>
    <n v="44685"/>
    <x v="123"/>
    <x v="0"/>
    <x v="2"/>
    <x v="6"/>
    <x v="1347"/>
    <n v="946.34"/>
    <n v="7"/>
    <n v="118.29"/>
    <x v="4"/>
    <x v="1"/>
  </r>
  <r>
    <n v="44685"/>
    <x v="642"/>
    <x v="18"/>
    <x v="0"/>
    <x v="4"/>
    <x v="373"/>
    <n v="125.93"/>
    <n v="7"/>
    <n v="35.26"/>
    <x v="4"/>
    <x v="1"/>
  </r>
  <r>
    <n v="44688"/>
    <x v="643"/>
    <x v="0"/>
    <x v="1"/>
    <x v="13"/>
    <x v="1348"/>
    <n v="244.01"/>
    <n v="2"/>
    <n v="-31.37"/>
    <x v="4"/>
    <x v="1"/>
  </r>
  <r>
    <n v="44688"/>
    <x v="643"/>
    <x v="0"/>
    <x v="0"/>
    <x v="0"/>
    <x v="157"/>
    <n v="15.94"/>
    <n v="4"/>
    <n v="5.38"/>
    <x v="4"/>
    <x v="1"/>
  </r>
  <r>
    <n v="44688"/>
    <x v="393"/>
    <x v="5"/>
    <x v="0"/>
    <x v="0"/>
    <x v="497"/>
    <n v="45.68"/>
    <n v="2"/>
    <n v="21.01"/>
    <x v="4"/>
    <x v="1"/>
  </r>
  <r>
    <n v="44689"/>
    <x v="595"/>
    <x v="10"/>
    <x v="1"/>
    <x v="8"/>
    <x v="365"/>
    <n v="8.35"/>
    <n v="6"/>
    <n v="1.25"/>
    <x v="4"/>
    <x v="1"/>
  </r>
  <r>
    <n v="44689"/>
    <x v="158"/>
    <x v="11"/>
    <x v="0"/>
    <x v="4"/>
    <x v="269"/>
    <n v="5.25"/>
    <n v="2"/>
    <n v="0.59"/>
    <x v="4"/>
    <x v="1"/>
  </r>
  <r>
    <n v="44689"/>
    <x v="392"/>
    <x v="28"/>
    <x v="0"/>
    <x v="3"/>
    <x v="372"/>
    <n v="43.98"/>
    <n v="2"/>
    <n v="21.99"/>
    <x v="4"/>
    <x v="1"/>
  </r>
  <r>
    <n v="44689"/>
    <x v="392"/>
    <x v="28"/>
    <x v="2"/>
    <x v="6"/>
    <x v="431"/>
    <n v="377.97"/>
    <n v="3"/>
    <n v="105.83"/>
    <x v="4"/>
    <x v="1"/>
  </r>
  <r>
    <n v="44689"/>
    <x v="392"/>
    <x v="28"/>
    <x v="1"/>
    <x v="8"/>
    <x v="392"/>
    <n v="123.96"/>
    <n v="3"/>
    <n v="11.16"/>
    <x v="4"/>
    <x v="1"/>
  </r>
  <r>
    <n v="44689"/>
    <x v="314"/>
    <x v="20"/>
    <x v="0"/>
    <x v="0"/>
    <x v="1011"/>
    <n v="37.94"/>
    <n v="2"/>
    <n v="18.21"/>
    <x v="4"/>
    <x v="1"/>
  </r>
  <r>
    <n v="44689"/>
    <x v="262"/>
    <x v="20"/>
    <x v="1"/>
    <x v="8"/>
    <x v="34"/>
    <n v="79.44"/>
    <n v="3"/>
    <n v="30.19"/>
    <x v="4"/>
    <x v="1"/>
  </r>
  <r>
    <n v="44689"/>
    <x v="262"/>
    <x v="20"/>
    <x v="0"/>
    <x v="14"/>
    <x v="104"/>
    <n v="357.93"/>
    <n v="3"/>
    <n v="7.16"/>
    <x v="4"/>
    <x v="1"/>
  </r>
  <r>
    <n v="44689"/>
    <x v="262"/>
    <x v="20"/>
    <x v="1"/>
    <x v="5"/>
    <x v="478"/>
    <n v="127.76"/>
    <n v="2"/>
    <n v="21.29"/>
    <x v="4"/>
    <x v="1"/>
  </r>
  <r>
    <n v="44689"/>
    <x v="262"/>
    <x v="20"/>
    <x v="2"/>
    <x v="16"/>
    <x v="673"/>
    <n v="2799.94"/>
    <n v="7"/>
    <n v="1014.98"/>
    <x v="4"/>
    <x v="1"/>
  </r>
  <r>
    <n v="44689"/>
    <x v="262"/>
    <x v="20"/>
    <x v="0"/>
    <x v="0"/>
    <x v="113"/>
    <n v="19.440000000000001"/>
    <n v="3"/>
    <n v="9.33"/>
    <x v="4"/>
    <x v="1"/>
  </r>
  <r>
    <n v="44690"/>
    <x v="297"/>
    <x v="5"/>
    <x v="0"/>
    <x v="3"/>
    <x v="999"/>
    <n v="48.81"/>
    <n v="3"/>
    <n v="23.92"/>
    <x v="4"/>
    <x v="1"/>
  </r>
  <r>
    <n v="44691"/>
    <x v="285"/>
    <x v="1"/>
    <x v="0"/>
    <x v="12"/>
    <x v="1349"/>
    <n v="70.97"/>
    <n v="5"/>
    <n v="-191.62"/>
    <x v="4"/>
    <x v="1"/>
  </r>
  <r>
    <n v="44691"/>
    <x v="285"/>
    <x v="1"/>
    <x v="0"/>
    <x v="4"/>
    <x v="666"/>
    <n v="36.78"/>
    <n v="2"/>
    <n v="3.68"/>
    <x v="4"/>
    <x v="1"/>
  </r>
  <r>
    <n v="44691"/>
    <x v="513"/>
    <x v="26"/>
    <x v="2"/>
    <x v="9"/>
    <x v="774"/>
    <n v="46.69"/>
    <n v="4"/>
    <n v="-2.92"/>
    <x v="4"/>
    <x v="1"/>
  </r>
  <r>
    <n v="44692"/>
    <x v="152"/>
    <x v="12"/>
    <x v="1"/>
    <x v="5"/>
    <x v="1350"/>
    <n v="191.97"/>
    <n v="7"/>
    <n v="16.8"/>
    <x v="4"/>
    <x v="1"/>
  </r>
  <r>
    <n v="44693"/>
    <x v="106"/>
    <x v="3"/>
    <x v="0"/>
    <x v="0"/>
    <x v="1351"/>
    <n v="12.84"/>
    <n v="3"/>
    <n v="5.78"/>
    <x v="4"/>
    <x v="1"/>
  </r>
  <r>
    <n v="44693"/>
    <x v="106"/>
    <x v="3"/>
    <x v="0"/>
    <x v="0"/>
    <x v="1352"/>
    <n v="25.68"/>
    <n v="6"/>
    <n v="11.56"/>
    <x v="4"/>
    <x v="1"/>
  </r>
  <r>
    <n v="44693"/>
    <x v="374"/>
    <x v="26"/>
    <x v="2"/>
    <x v="6"/>
    <x v="431"/>
    <n v="201.58"/>
    <n v="2"/>
    <n v="20.16"/>
    <x v="4"/>
    <x v="1"/>
  </r>
  <r>
    <n v="44693"/>
    <x v="86"/>
    <x v="20"/>
    <x v="0"/>
    <x v="2"/>
    <x v="737"/>
    <n v="36.630000000000003"/>
    <n v="3"/>
    <n v="9.89"/>
    <x v="4"/>
    <x v="1"/>
  </r>
  <r>
    <n v="44693"/>
    <x v="644"/>
    <x v="22"/>
    <x v="0"/>
    <x v="3"/>
    <x v="756"/>
    <n v="14.59"/>
    <n v="3"/>
    <n v="4.92"/>
    <x v="4"/>
    <x v="1"/>
  </r>
  <r>
    <n v="44693"/>
    <x v="229"/>
    <x v="0"/>
    <x v="1"/>
    <x v="8"/>
    <x v="1031"/>
    <n v="21.97"/>
    <n v="4"/>
    <n v="-15.93"/>
    <x v="4"/>
    <x v="1"/>
  </r>
  <r>
    <n v="44693"/>
    <x v="229"/>
    <x v="0"/>
    <x v="2"/>
    <x v="6"/>
    <x v="967"/>
    <n v="619.15"/>
    <n v="6"/>
    <n v="69.650000000000006"/>
    <x v="4"/>
    <x v="1"/>
  </r>
  <r>
    <n v="44693"/>
    <x v="229"/>
    <x v="0"/>
    <x v="0"/>
    <x v="0"/>
    <x v="1131"/>
    <n v="127.9"/>
    <n v="7"/>
    <n v="41.57"/>
    <x v="4"/>
    <x v="1"/>
  </r>
  <r>
    <n v="44694"/>
    <x v="151"/>
    <x v="1"/>
    <x v="2"/>
    <x v="6"/>
    <x v="1008"/>
    <n v="222.38"/>
    <n v="2"/>
    <n v="16.68"/>
    <x v="4"/>
    <x v="1"/>
  </r>
  <r>
    <n v="44694"/>
    <x v="151"/>
    <x v="1"/>
    <x v="0"/>
    <x v="7"/>
    <x v="790"/>
    <n v="16"/>
    <n v="4"/>
    <n v="5.6"/>
    <x v="4"/>
    <x v="1"/>
  </r>
  <r>
    <n v="44695"/>
    <x v="618"/>
    <x v="2"/>
    <x v="0"/>
    <x v="4"/>
    <x v="1192"/>
    <n v="198.27"/>
    <n v="8"/>
    <n v="17.350000000000001"/>
    <x v="4"/>
    <x v="1"/>
  </r>
  <r>
    <n v="44695"/>
    <x v="618"/>
    <x v="2"/>
    <x v="0"/>
    <x v="1"/>
    <x v="236"/>
    <n v="47.36"/>
    <n v="4"/>
    <n v="17.760000000000002"/>
    <x v="4"/>
    <x v="1"/>
  </r>
  <r>
    <n v="44695"/>
    <x v="618"/>
    <x v="2"/>
    <x v="0"/>
    <x v="10"/>
    <x v="1353"/>
    <n v="200.98"/>
    <n v="7"/>
    <n v="62.81"/>
    <x v="4"/>
    <x v="1"/>
  </r>
  <r>
    <n v="44695"/>
    <x v="618"/>
    <x v="2"/>
    <x v="0"/>
    <x v="1"/>
    <x v="956"/>
    <n v="97.7"/>
    <n v="4"/>
    <n v="31.75"/>
    <x v="4"/>
    <x v="1"/>
  </r>
  <r>
    <n v="44695"/>
    <x v="618"/>
    <x v="2"/>
    <x v="0"/>
    <x v="4"/>
    <x v="1354"/>
    <n v="2.7"/>
    <n v="1"/>
    <n v="0.81"/>
    <x v="4"/>
    <x v="1"/>
  </r>
  <r>
    <n v="44695"/>
    <x v="618"/>
    <x v="2"/>
    <x v="0"/>
    <x v="3"/>
    <x v="36"/>
    <n v="18.59"/>
    <n v="2"/>
    <n v="-13.63"/>
    <x v="4"/>
    <x v="1"/>
  </r>
  <r>
    <n v="44695"/>
    <x v="618"/>
    <x v="2"/>
    <x v="0"/>
    <x v="3"/>
    <x v="601"/>
    <n v="4.9000000000000004"/>
    <n v="3"/>
    <n v="-3.43"/>
    <x v="4"/>
    <x v="1"/>
  </r>
  <r>
    <n v="44695"/>
    <x v="459"/>
    <x v="3"/>
    <x v="0"/>
    <x v="2"/>
    <x v="479"/>
    <n v="1117.92"/>
    <n v="4"/>
    <n v="55.9"/>
    <x v="4"/>
    <x v="1"/>
  </r>
  <r>
    <n v="44695"/>
    <x v="595"/>
    <x v="3"/>
    <x v="1"/>
    <x v="11"/>
    <x v="1049"/>
    <n v="509.96"/>
    <n v="5"/>
    <n v="42"/>
    <x v="4"/>
    <x v="1"/>
  </r>
  <r>
    <n v="44695"/>
    <x v="595"/>
    <x v="3"/>
    <x v="1"/>
    <x v="8"/>
    <x v="675"/>
    <n v="122.91"/>
    <n v="3"/>
    <n v="34.409999999999997"/>
    <x v="4"/>
    <x v="1"/>
  </r>
  <r>
    <n v="44695"/>
    <x v="595"/>
    <x v="3"/>
    <x v="1"/>
    <x v="5"/>
    <x v="707"/>
    <n v="97.57"/>
    <n v="2"/>
    <n v="-6.1"/>
    <x v="4"/>
    <x v="1"/>
  </r>
  <r>
    <n v="44695"/>
    <x v="595"/>
    <x v="3"/>
    <x v="1"/>
    <x v="5"/>
    <x v="149"/>
    <n v="722.35"/>
    <n v="3"/>
    <n v="81.260000000000005"/>
    <x v="4"/>
    <x v="1"/>
  </r>
  <r>
    <n v="44696"/>
    <x v="123"/>
    <x v="4"/>
    <x v="0"/>
    <x v="10"/>
    <x v="1355"/>
    <n v="17.940000000000001"/>
    <n v="3"/>
    <n v="8.7899999999999991"/>
    <x v="4"/>
    <x v="1"/>
  </r>
  <r>
    <n v="44696"/>
    <x v="452"/>
    <x v="2"/>
    <x v="0"/>
    <x v="2"/>
    <x v="99"/>
    <n v="51.97"/>
    <n v="2"/>
    <n v="-10.39"/>
    <x v="4"/>
    <x v="1"/>
  </r>
  <r>
    <n v="44697"/>
    <x v="128"/>
    <x v="16"/>
    <x v="2"/>
    <x v="9"/>
    <x v="1300"/>
    <n v="255.97"/>
    <n v="4"/>
    <n v="32"/>
    <x v="4"/>
    <x v="1"/>
  </r>
  <r>
    <n v="44698"/>
    <x v="402"/>
    <x v="0"/>
    <x v="0"/>
    <x v="3"/>
    <x v="1356"/>
    <n v="33.28"/>
    <n v="5"/>
    <n v="-49.92"/>
    <x v="4"/>
    <x v="1"/>
  </r>
  <r>
    <n v="44698"/>
    <x v="402"/>
    <x v="0"/>
    <x v="0"/>
    <x v="0"/>
    <x v="1357"/>
    <n v="14.09"/>
    <n v="3"/>
    <n v="4.93"/>
    <x v="4"/>
    <x v="1"/>
  </r>
  <r>
    <n v="44698"/>
    <x v="265"/>
    <x v="20"/>
    <x v="0"/>
    <x v="1"/>
    <x v="1358"/>
    <n v="31.5"/>
    <n v="10"/>
    <n v="15.12"/>
    <x v="4"/>
    <x v="1"/>
  </r>
  <r>
    <n v="44698"/>
    <x v="265"/>
    <x v="20"/>
    <x v="0"/>
    <x v="14"/>
    <x v="930"/>
    <n v="55.6"/>
    <n v="4"/>
    <n v="16.12"/>
    <x v="4"/>
    <x v="1"/>
  </r>
  <r>
    <n v="44699"/>
    <x v="8"/>
    <x v="3"/>
    <x v="0"/>
    <x v="0"/>
    <x v="850"/>
    <n v="10.86"/>
    <n v="2"/>
    <n v="5.32"/>
    <x v="4"/>
    <x v="1"/>
  </r>
  <r>
    <n v="44701"/>
    <x v="320"/>
    <x v="25"/>
    <x v="1"/>
    <x v="8"/>
    <x v="193"/>
    <n v="163.13999999999999"/>
    <n v="4"/>
    <n v="20.39"/>
    <x v="4"/>
    <x v="1"/>
  </r>
  <r>
    <n v="44701"/>
    <x v="320"/>
    <x v="25"/>
    <x v="0"/>
    <x v="3"/>
    <x v="105"/>
    <n v="6.41"/>
    <n v="4"/>
    <n v="-4.91"/>
    <x v="4"/>
    <x v="1"/>
  </r>
  <r>
    <n v="44702"/>
    <x v="264"/>
    <x v="1"/>
    <x v="0"/>
    <x v="12"/>
    <x v="857"/>
    <n v="20.77"/>
    <n v="8"/>
    <n v="-52.96"/>
    <x v="4"/>
    <x v="1"/>
  </r>
  <r>
    <n v="44702"/>
    <x v="311"/>
    <x v="22"/>
    <x v="0"/>
    <x v="3"/>
    <x v="250"/>
    <n v="26.98"/>
    <n v="4"/>
    <n v="8.77"/>
    <x v="4"/>
    <x v="1"/>
  </r>
  <r>
    <n v="44702"/>
    <x v="418"/>
    <x v="2"/>
    <x v="0"/>
    <x v="3"/>
    <x v="209"/>
    <n v="24.59"/>
    <n v="2"/>
    <n v="-18.03"/>
    <x v="4"/>
    <x v="1"/>
  </r>
  <r>
    <n v="44703"/>
    <x v="417"/>
    <x v="3"/>
    <x v="0"/>
    <x v="1"/>
    <x v="218"/>
    <n v="8.26"/>
    <n v="2"/>
    <n v="3.8"/>
    <x v="4"/>
    <x v="1"/>
  </r>
  <r>
    <n v="44703"/>
    <x v="417"/>
    <x v="3"/>
    <x v="2"/>
    <x v="15"/>
    <x v="1359"/>
    <n v="2973.32"/>
    <n v="7"/>
    <n v="334.5"/>
    <x v="4"/>
    <x v="1"/>
  </r>
  <r>
    <n v="44703"/>
    <x v="417"/>
    <x v="3"/>
    <x v="0"/>
    <x v="2"/>
    <x v="788"/>
    <n v="104.79"/>
    <n v="7"/>
    <n v="29.34"/>
    <x v="4"/>
    <x v="1"/>
  </r>
  <r>
    <n v="44703"/>
    <x v="417"/>
    <x v="3"/>
    <x v="2"/>
    <x v="6"/>
    <x v="86"/>
    <n v="775.73"/>
    <n v="6"/>
    <n v="58.18"/>
    <x v="4"/>
    <x v="1"/>
  </r>
  <r>
    <n v="44704"/>
    <x v="400"/>
    <x v="9"/>
    <x v="0"/>
    <x v="10"/>
    <x v="323"/>
    <n v="186.69"/>
    <n v="3"/>
    <n v="87.74"/>
    <x v="4"/>
    <x v="1"/>
  </r>
  <r>
    <n v="44704"/>
    <x v="185"/>
    <x v="12"/>
    <x v="0"/>
    <x v="3"/>
    <x v="997"/>
    <n v="19.190000000000001"/>
    <n v="7"/>
    <n v="-12.8"/>
    <x v="4"/>
    <x v="1"/>
  </r>
  <r>
    <n v="44704"/>
    <x v="185"/>
    <x v="12"/>
    <x v="0"/>
    <x v="12"/>
    <x v="672"/>
    <n v="121.79"/>
    <n v="4"/>
    <n v="13.7"/>
    <x v="4"/>
    <x v="1"/>
  </r>
  <r>
    <n v="44704"/>
    <x v="94"/>
    <x v="43"/>
    <x v="0"/>
    <x v="2"/>
    <x v="1187"/>
    <n v="51.45"/>
    <n v="3"/>
    <n v="13.89"/>
    <x v="4"/>
    <x v="1"/>
  </r>
  <r>
    <n v="44704"/>
    <x v="39"/>
    <x v="14"/>
    <x v="0"/>
    <x v="12"/>
    <x v="427"/>
    <n v="850.5"/>
    <n v="5"/>
    <n v="245.7"/>
    <x v="4"/>
    <x v="1"/>
  </r>
  <r>
    <n v="44704"/>
    <x v="39"/>
    <x v="14"/>
    <x v="1"/>
    <x v="8"/>
    <x v="598"/>
    <n v="75.33"/>
    <n v="9"/>
    <n v="19.59"/>
    <x v="4"/>
    <x v="1"/>
  </r>
  <r>
    <n v="44705"/>
    <x v="6"/>
    <x v="1"/>
    <x v="1"/>
    <x v="5"/>
    <x v="561"/>
    <n v="602.65"/>
    <n v="7"/>
    <n v="-163.58000000000001"/>
    <x v="4"/>
    <x v="1"/>
  </r>
  <r>
    <n v="44705"/>
    <x v="6"/>
    <x v="1"/>
    <x v="0"/>
    <x v="3"/>
    <x v="405"/>
    <n v="7.66"/>
    <n v="6"/>
    <n v="-13.02"/>
    <x v="4"/>
    <x v="1"/>
  </r>
  <r>
    <n v="44706"/>
    <x v="645"/>
    <x v="26"/>
    <x v="0"/>
    <x v="12"/>
    <x v="1305"/>
    <n v="845.73"/>
    <n v="13"/>
    <n v="84.57"/>
    <x v="4"/>
    <x v="1"/>
  </r>
  <r>
    <n v="44706"/>
    <x v="70"/>
    <x v="3"/>
    <x v="1"/>
    <x v="8"/>
    <x v="55"/>
    <n v="14.73"/>
    <n v="3"/>
    <n v="4.8600000000000003"/>
    <x v="4"/>
    <x v="1"/>
  </r>
  <r>
    <n v="44706"/>
    <x v="39"/>
    <x v="42"/>
    <x v="0"/>
    <x v="4"/>
    <x v="760"/>
    <n v="21.24"/>
    <n v="3"/>
    <n v="8.07"/>
    <x v="4"/>
    <x v="1"/>
  </r>
  <r>
    <n v="44706"/>
    <x v="39"/>
    <x v="42"/>
    <x v="0"/>
    <x v="3"/>
    <x v="713"/>
    <n v="127.96"/>
    <n v="2"/>
    <n v="60.14"/>
    <x v="4"/>
    <x v="1"/>
  </r>
  <r>
    <n v="44706"/>
    <x v="563"/>
    <x v="15"/>
    <x v="2"/>
    <x v="6"/>
    <x v="1157"/>
    <n v="467.04"/>
    <n v="4"/>
    <n v="58.38"/>
    <x v="4"/>
    <x v="1"/>
  </r>
  <r>
    <n v="44706"/>
    <x v="22"/>
    <x v="0"/>
    <x v="0"/>
    <x v="14"/>
    <x v="1360"/>
    <n v="22.37"/>
    <n v="2"/>
    <n v="1.68"/>
    <x v="4"/>
    <x v="1"/>
  </r>
  <r>
    <n v="44706"/>
    <x v="22"/>
    <x v="0"/>
    <x v="0"/>
    <x v="0"/>
    <x v="741"/>
    <n v="32.369999999999997"/>
    <n v="7"/>
    <n v="11.73"/>
    <x v="4"/>
    <x v="1"/>
  </r>
  <r>
    <n v="44706"/>
    <x v="22"/>
    <x v="0"/>
    <x v="2"/>
    <x v="9"/>
    <x v="1361"/>
    <n v="207.98"/>
    <n v="2"/>
    <n v="36.4"/>
    <x v="4"/>
    <x v="1"/>
  </r>
  <r>
    <n v="44707"/>
    <x v="151"/>
    <x v="25"/>
    <x v="0"/>
    <x v="0"/>
    <x v="1226"/>
    <n v="18.27"/>
    <n v="1"/>
    <n v="5.94"/>
    <x v="4"/>
    <x v="1"/>
  </r>
  <r>
    <n v="44707"/>
    <x v="151"/>
    <x v="25"/>
    <x v="0"/>
    <x v="0"/>
    <x v="1362"/>
    <n v="153.72999999999999"/>
    <n v="4"/>
    <n v="53.8"/>
    <x v="4"/>
    <x v="1"/>
  </r>
  <r>
    <n v="44707"/>
    <x v="151"/>
    <x v="25"/>
    <x v="0"/>
    <x v="10"/>
    <x v="464"/>
    <n v="12.22"/>
    <n v="2"/>
    <n v="4.43"/>
    <x v="4"/>
    <x v="1"/>
  </r>
  <r>
    <n v="44707"/>
    <x v="151"/>
    <x v="25"/>
    <x v="2"/>
    <x v="9"/>
    <x v="33"/>
    <n v="167.94"/>
    <n v="7"/>
    <n v="50.38"/>
    <x v="4"/>
    <x v="1"/>
  </r>
  <r>
    <n v="44707"/>
    <x v="131"/>
    <x v="22"/>
    <x v="1"/>
    <x v="8"/>
    <x v="1115"/>
    <n v="20.239999999999998"/>
    <n v="1"/>
    <n v="7.89"/>
    <x v="4"/>
    <x v="1"/>
  </r>
  <r>
    <n v="44707"/>
    <x v="255"/>
    <x v="0"/>
    <x v="1"/>
    <x v="5"/>
    <x v="120"/>
    <n v="105.69"/>
    <n v="1"/>
    <n v="-28.69"/>
    <x v="4"/>
    <x v="1"/>
  </r>
  <r>
    <n v="44707"/>
    <x v="255"/>
    <x v="0"/>
    <x v="2"/>
    <x v="15"/>
    <x v="766"/>
    <n v="399.54"/>
    <n v="2"/>
    <n v="-79.91"/>
    <x v="4"/>
    <x v="1"/>
  </r>
  <r>
    <n v="44707"/>
    <x v="255"/>
    <x v="0"/>
    <x v="1"/>
    <x v="5"/>
    <x v="1004"/>
    <n v="104.93"/>
    <n v="5"/>
    <n v="-4.5"/>
    <x v="4"/>
    <x v="1"/>
  </r>
  <r>
    <n v="44709"/>
    <x v="646"/>
    <x v="22"/>
    <x v="0"/>
    <x v="4"/>
    <x v="1363"/>
    <n v="6.63"/>
    <n v="3"/>
    <n v="1.79"/>
    <x v="4"/>
    <x v="1"/>
  </r>
  <r>
    <n v="44709"/>
    <x v="366"/>
    <x v="20"/>
    <x v="0"/>
    <x v="4"/>
    <x v="840"/>
    <n v="47.82"/>
    <n v="3"/>
    <n v="14.35"/>
    <x v="4"/>
    <x v="1"/>
  </r>
  <r>
    <n v="44709"/>
    <x v="366"/>
    <x v="20"/>
    <x v="0"/>
    <x v="1"/>
    <x v="685"/>
    <n v="13.05"/>
    <n v="5"/>
    <n v="6"/>
    <x v="4"/>
    <x v="1"/>
  </r>
  <r>
    <n v="44709"/>
    <x v="282"/>
    <x v="20"/>
    <x v="2"/>
    <x v="6"/>
    <x v="527"/>
    <n v="45.99"/>
    <n v="1"/>
    <n v="13.34"/>
    <x v="4"/>
    <x v="1"/>
  </r>
  <r>
    <n v="44709"/>
    <x v="282"/>
    <x v="20"/>
    <x v="0"/>
    <x v="2"/>
    <x v="168"/>
    <n v="535.41"/>
    <n v="3"/>
    <n v="160.62"/>
    <x v="4"/>
    <x v="1"/>
  </r>
  <r>
    <n v="44709"/>
    <x v="282"/>
    <x v="20"/>
    <x v="0"/>
    <x v="3"/>
    <x v="51"/>
    <n v="6.1"/>
    <n v="2"/>
    <n v="2.06"/>
    <x v="4"/>
    <x v="1"/>
  </r>
  <r>
    <n v="44709"/>
    <x v="282"/>
    <x v="20"/>
    <x v="0"/>
    <x v="0"/>
    <x v="1364"/>
    <n v="45.36"/>
    <n v="7"/>
    <n v="21.77"/>
    <x v="4"/>
    <x v="1"/>
  </r>
  <r>
    <n v="44709"/>
    <x v="335"/>
    <x v="37"/>
    <x v="0"/>
    <x v="2"/>
    <x v="90"/>
    <n v="16.239999999999998"/>
    <n v="1"/>
    <n v="2.44"/>
    <x v="4"/>
    <x v="1"/>
  </r>
  <r>
    <n v="44709"/>
    <x v="335"/>
    <x v="37"/>
    <x v="0"/>
    <x v="2"/>
    <x v="1034"/>
    <n v="77.55"/>
    <n v="5"/>
    <n v="21.71"/>
    <x v="4"/>
    <x v="1"/>
  </r>
  <r>
    <n v="44710"/>
    <x v="315"/>
    <x v="22"/>
    <x v="0"/>
    <x v="0"/>
    <x v="1365"/>
    <n v="32.4"/>
    <n v="5"/>
    <n v="15.55"/>
    <x v="4"/>
    <x v="1"/>
  </r>
  <r>
    <n v="44710"/>
    <x v="315"/>
    <x v="22"/>
    <x v="0"/>
    <x v="2"/>
    <x v="1126"/>
    <n v="540.57000000000005"/>
    <n v="3"/>
    <n v="140.55000000000001"/>
    <x v="4"/>
    <x v="1"/>
  </r>
  <r>
    <n v="44710"/>
    <x v="315"/>
    <x v="22"/>
    <x v="0"/>
    <x v="3"/>
    <x v="516"/>
    <n v="167.76"/>
    <n v="5"/>
    <n v="62.91"/>
    <x v="4"/>
    <x v="1"/>
  </r>
  <r>
    <n v="44710"/>
    <x v="379"/>
    <x v="10"/>
    <x v="1"/>
    <x v="8"/>
    <x v="1366"/>
    <n v="41.57"/>
    <n v="4"/>
    <n v="-4.16"/>
    <x v="4"/>
    <x v="1"/>
  </r>
  <r>
    <n v="44710"/>
    <x v="379"/>
    <x v="10"/>
    <x v="1"/>
    <x v="5"/>
    <x v="120"/>
    <n v="317.06"/>
    <n v="3"/>
    <n v="-86.06"/>
    <x v="4"/>
    <x v="1"/>
  </r>
  <r>
    <n v="44710"/>
    <x v="379"/>
    <x v="10"/>
    <x v="0"/>
    <x v="7"/>
    <x v="789"/>
    <n v="8.0399999999999991"/>
    <n v="5"/>
    <n v="2.91"/>
    <x v="4"/>
    <x v="1"/>
  </r>
  <r>
    <n v="44710"/>
    <x v="366"/>
    <x v="18"/>
    <x v="0"/>
    <x v="1"/>
    <x v="218"/>
    <n v="12.39"/>
    <n v="3"/>
    <n v="5.7"/>
    <x v="4"/>
    <x v="1"/>
  </r>
  <r>
    <n v="44710"/>
    <x v="570"/>
    <x v="10"/>
    <x v="0"/>
    <x v="0"/>
    <x v="371"/>
    <n v="85.06"/>
    <n v="3"/>
    <n v="28.71"/>
    <x v="4"/>
    <x v="1"/>
  </r>
  <r>
    <n v="44711"/>
    <x v="647"/>
    <x v="20"/>
    <x v="2"/>
    <x v="6"/>
    <x v="1367"/>
    <n v="239.97"/>
    <n v="3"/>
    <n v="2.4"/>
    <x v="4"/>
    <x v="1"/>
  </r>
  <r>
    <n v="44711"/>
    <x v="647"/>
    <x v="20"/>
    <x v="0"/>
    <x v="12"/>
    <x v="1368"/>
    <n v="160.32"/>
    <n v="2"/>
    <n v="44.89"/>
    <x v="4"/>
    <x v="1"/>
  </r>
  <r>
    <n v="44711"/>
    <x v="647"/>
    <x v="20"/>
    <x v="2"/>
    <x v="6"/>
    <x v="1262"/>
    <n v="128.85"/>
    <n v="3"/>
    <n v="3.87"/>
    <x v="4"/>
    <x v="1"/>
  </r>
  <r>
    <n v="44711"/>
    <x v="648"/>
    <x v="6"/>
    <x v="2"/>
    <x v="9"/>
    <x v="1207"/>
    <n v="151.96"/>
    <n v="4"/>
    <n v="36.47"/>
    <x v="4"/>
    <x v="1"/>
  </r>
  <r>
    <n v="44712"/>
    <x v="153"/>
    <x v="3"/>
    <x v="0"/>
    <x v="0"/>
    <x v="1279"/>
    <n v="58.38"/>
    <n v="7"/>
    <n v="26.27"/>
    <x v="4"/>
    <x v="1"/>
  </r>
  <r>
    <n v="44712"/>
    <x v="153"/>
    <x v="3"/>
    <x v="0"/>
    <x v="0"/>
    <x v="1272"/>
    <n v="105.52"/>
    <n v="4"/>
    <n v="48.54"/>
    <x v="4"/>
    <x v="1"/>
  </r>
  <r>
    <n v="44712"/>
    <x v="153"/>
    <x v="3"/>
    <x v="0"/>
    <x v="2"/>
    <x v="1369"/>
    <n v="80.88"/>
    <n v="6"/>
    <n v="21.03"/>
    <x v="4"/>
    <x v="1"/>
  </r>
  <r>
    <n v="44712"/>
    <x v="90"/>
    <x v="37"/>
    <x v="1"/>
    <x v="8"/>
    <x v="457"/>
    <n v="22.2"/>
    <n v="6"/>
    <n v="9.1"/>
    <x v="4"/>
    <x v="1"/>
  </r>
  <r>
    <n v="44712"/>
    <x v="51"/>
    <x v="27"/>
    <x v="1"/>
    <x v="11"/>
    <x v="1370"/>
    <n v="1406.86"/>
    <n v="7"/>
    <n v="140.69"/>
    <x v="4"/>
    <x v="1"/>
  </r>
  <r>
    <n v="44712"/>
    <x v="51"/>
    <x v="27"/>
    <x v="0"/>
    <x v="1"/>
    <x v="1358"/>
    <n v="15.75"/>
    <n v="5"/>
    <n v="7.56"/>
    <x v="4"/>
    <x v="1"/>
  </r>
  <r>
    <n v="44712"/>
    <x v="51"/>
    <x v="27"/>
    <x v="0"/>
    <x v="2"/>
    <x v="899"/>
    <n v="323.10000000000002"/>
    <n v="2"/>
    <n v="61.39"/>
    <x v="4"/>
    <x v="1"/>
  </r>
  <r>
    <n v="44712"/>
    <x v="649"/>
    <x v="28"/>
    <x v="1"/>
    <x v="5"/>
    <x v="389"/>
    <n v="2567.84"/>
    <n v="8"/>
    <n v="770.35"/>
    <x v="4"/>
    <x v="1"/>
  </r>
  <r>
    <n v="44712"/>
    <x v="650"/>
    <x v="25"/>
    <x v="0"/>
    <x v="4"/>
    <x v="344"/>
    <n v="10.27"/>
    <n v="3"/>
    <n v="1.1599999999999999"/>
    <x v="4"/>
    <x v="1"/>
  </r>
  <r>
    <n v="44712"/>
    <x v="249"/>
    <x v="20"/>
    <x v="0"/>
    <x v="7"/>
    <x v="1371"/>
    <n v="7.56"/>
    <n v="6"/>
    <n v="0.3"/>
    <x v="4"/>
    <x v="1"/>
  </r>
  <r>
    <n v="44712"/>
    <x v="362"/>
    <x v="1"/>
    <x v="0"/>
    <x v="1"/>
    <x v="198"/>
    <n v="5.9"/>
    <n v="2"/>
    <n v="1.99"/>
    <x v="4"/>
    <x v="1"/>
  </r>
  <r>
    <n v="44712"/>
    <x v="362"/>
    <x v="1"/>
    <x v="0"/>
    <x v="0"/>
    <x v="728"/>
    <n v="173.49"/>
    <n v="7"/>
    <n v="54.22"/>
    <x v="4"/>
    <x v="1"/>
  </r>
  <r>
    <n v="44712"/>
    <x v="362"/>
    <x v="1"/>
    <x v="1"/>
    <x v="8"/>
    <x v="1372"/>
    <n v="51.56"/>
    <n v="2"/>
    <n v="-61.87"/>
    <x v="4"/>
    <x v="1"/>
  </r>
  <r>
    <n v="44712"/>
    <x v="362"/>
    <x v="1"/>
    <x v="0"/>
    <x v="3"/>
    <x v="56"/>
    <n v="3.56"/>
    <n v="3"/>
    <n v="-6.24"/>
    <x v="4"/>
    <x v="1"/>
  </r>
  <r>
    <n v="44712"/>
    <x v="551"/>
    <x v="23"/>
    <x v="0"/>
    <x v="0"/>
    <x v="172"/>
    <n v="274.8"/>
    <n v="5"/>
    <n v="134.65"/>
    <x v="4"/>
    <x v="1"/>
  </r>
  <r>
    <n v="44712"/>
    <x v="551"/>
    <x v="23"/>
    <x v="0"/>
    <x v="2"/>
    <x v="892"/>
    <n v="62.18"/>
    <n v="1"/>
    <n v="16.79"/>
    <x v="4"/>
    <x v="1"/>
  </r>
  <r>
    <n v="44712"/>
    <x v="551"/>
    <x v="23"/>
    <x v="1"/>
    <x v="8"/>
    <x v="66"/>
    <n v="8.2799999999999994"/>
    <n v="2"/>
    <n v="2.98"/>
    <x v="4"/>
    <x v="1"/>
  </r>
  <r>
    <n v="44713"/>
    <x v="124"/>
    <x v="0"/>
    <x v="0"/>
    <x v="3"/>
    <x v="824"/>
    <n v="5.73"/>
    <n v="8"/>
    <n v="-9.16"/>
    <x v="5"/>
    <x v="1"/>
  </r>
  <r>
    <n v="44713"/>
    <x v="124"/>
    <x v="0"/>
    <x v="0"/>
    <x v="0"/>
    <x v="1373"/>
    <n v="42.24"/>
    <n v="10"/>
    <n v="13.2"/>
    <x v="5"/>
    <x v="1"/>
  </r>
  <r>
    <n v="44713"/>
    <x v="63"/>
    <x v="14"/>
    <x v="2"/>
    <x v="6"/>
    <x v="860"/>
    <n v="299.98"/>
    <n v="2"/>
    <n v="83.99"/>
    <x v="5"/>
    <x v="1"/>
  </r>
  <r>
    <n v="44713"/>
    <x v="63"/>
    <x v="14"/>
    <x v="0"/>
    <x v="3"/>
    <x v="145"/>
    <n v="403.68"/>
    <n v="6"/>
    <n v="181.66"/>
    <x v="5"/>
    <x v="1"/>
  </r>
  <r>
    <n v="44713"/>
    <x v="63"/>
    <x v="14"/>
    <x v="2"/>
    <x v="6"/>
    <x v="1337"/>
    <n v="41.9"/>
    <n v="2"/>
    <n v="11.73"/>
    <x v="5"/>
    <x v="1"/>
  </r>
  <r>
    <n v="44713"/>
    <x v="63"/>
    <x v="14"/>
    <x v="0"/>
    <x v="1"/>
    <x v="1374"/>
    <n v="28.91"/>
    <n v="7"/>
    <n v="13.3"/>
    <x v="5"/>
    <x v="1"/>
  </r>
  <r>
    <n v="44713"/>
    <x v="651"/>
    <x v="3"/>
    <x v="0"/>
    <x v="0"/>
    <x v="903"/>
    <n v="11.76"/>
    <n v="2"/>
    <n v="5.76"/>
    <x v="5"/>
    <x v="1"/>
  </r>
  <r>
    <n v="44716"/>
    <x v="172"/>
    <x v="22"/>
    <x v="0"/>
    <x v="1"/>
    <x v="198"/>
    <n v="7.38"/>
    <n v="2"/>
    <n v="3.47"/>
    <x v="5"/>
    <x v="1"/>
  </r>
  <r>
    <n v="44716"/>
    <x v="172"/>
    <x v="22"/>
    <x v="0"/>
    <x v="4"/>
    <x v="202"/>
    <n v="9.26"/>
    <n v="2"/>
    <n v="3.06"/>
    <x v="5"/>
    <x v="1"/>
  </r>
  <r>
    <n v="44716"/>
    <x v="492"/>
    <x v="20"/>
    <x v="0"/>
    <x v="0"/>
    <x v="605"/>
    <n v="30.44"/>
    <n v="4"/>
    <n v="14.31"/>
    <x v="5"/>
    <x v="1"/>
  </r>
  <r>
    <n v="44716"/>
    <x v="492"/>
    <x v="20"/>
    <x v="1"/>
    <x v="8"/>
    <x v="1200"/>
    <n v="35.28"/>
    <n v="3"/>
    <n v="12"/>
    <x v="5"/>
    <x v="1"/>
  </r>
  <r>
    <n v="44716"/>
    <x v="652"/>
    <x v="3"/>
    <x v="2"/>
    <x v="9"/>
    <x v="301"/>
    <n v="119.98"/>
    <n v="2"/>
    <n v="35.99"/>
    <x v="5"/>
    <x v="1"/>
  </r>
  <r>
    <n v="44716"/>
    <x v="652"/>
    <x v="3"/>
    <x v="2"/>
    <x v="9"/>
    <x v="1375"/>
    <n v="989.97"/>
    <n v="3"/>
    <n v="395.99"/>
    <x v="5"/>
    <x v="1"/>
  </r>
  <r>
    <n v="44717"/>
    <x v="615"/>
    <x v="20"/>
    <x v="1"/>
    <x v="5"/>
    <x v="612"/>
    <n v="1522.64"/>
    <n v="9"/>
    <n v="169.18"/>
    <x v="5"/>
    <x v="1"/>
  </r>
  <r>
    <n v="44717"/>
    <x v="653"/>
    <x v="24"/>
    <x v="0"/>
    <x v="0"/>
    <x v="1196"/>
    <n v="10.56"/>
    <n v="2"/>
    <n v="4.75"/>
    <x v="5"/>
    <x v="1"/>
  </r>
  <r>
    <n v="44719"/>
    <x v="654"/>
    <x v="3"/>
    <x v="0"/>
    <x v="3"/>
    <x v="24"/>
    <n v="7.52"/>
    <n v="5"/>
    <n v="2.63"/>
    <x v="5"/>
    <x v="1"/>
  </r>
  <r>
    <n v="44719"/>
    <x v="198"/>
    <x v="2"/>
    <x v="0"/>
    <x v="3"/>
    <x v="1292"/>
    <n v="18.309999999999999"/>
    <n v="4"/>
    <n v="-12.21"/>
    <x v="5"/>
    <x v="1"/>
  </r>
  <r>
    <n v="44719"/>
    <x v="198"/>
    <x v="2"/>
    <x v="0"/>
    <x v="0"/>
    <x v="571"/>
    <n v="25.92"/>
    <n v="5"/>
    <n v="9.07"/>
    <x v="5"/>
    <x v="1"/>
  </r>
  <r>
    <n v="44719"/>
    <x v="198"/>
    <x v="2"/>
    <x v="0"/>
    <x v="4"/>
    <x v="191"/>
    <n v="8.02"/>
    <n v="3"/>
    <n v="1"/>
    <x v="5"/>
    <x v="1"/>
  </r>
  <r>
    <n v="44720"/>
    <x v="585"/>
    <x v="1"/>
    <x v="2"/>
    <x v="9"/>
    <x v="968"/>
    <n v="2.38"/>
    <n v="3"/>
    <n v="0.74"/>
    <x v="5"/>
    <x v="1"/>
  </r>
  <r>
    <n v="44720"/>
    <x v="585"/>
    <x v="1"/>
    <x v="0"/>
    <x v="12"/>
    <x v="1295"/>
    <n v="143.13"/>
    <n v="2"/>
    <n v="-393.6"/>
    <x v="5"/>
    <x v="1"/>
  </r>
  <r>
    <n v="44720"/>
    <x v="597"/>
    <x v="16"/>
    <x v="0"/>
    <x v="0"/>
    <x v="214"/>
    <n v="173.49"/>
    <n v="7"/>
    <n v="54.22"/>
    <x v="5"/>
    <x v="1"/>
  </r>
  <r>
    <n v="44720"/>
    <x v="597"/>
    <x v="16"/>
    <x v="0"/>
    <x v="2"/>
    <x v="899"/>
    <n v="516.96"/>
    <n v="4"/>
    <n v="-6.46"/>
    <x v="5"/>
    <x v="1"/>
  </r>
  <r>
    <n v="44720"/>
    <x v="597"/>
    <x v="16"/>
    <x v="1"/>
    <x v="8"/>
    <x v="1376"/>
    <n v="173.21"/>
    <n v="7"/>
    <n v="45.47"/>
    <x v="5"/>
    <x v="1"/>
  </r>
  <r>
    <n v="44720"/>
    <x v="597"/>
    <x v="16"/>
    <x v="0"/>
    <x v="4"/>
    <x v="1259"/>
    <n v="4.45"/>
    <n v="2"/>
    <n v="0.33"/>
    <x v="5"/>
    <x v="1"/>
  </r>
  <r>
    <n v="44720"/>
    <x v="597"/>
    <x v="16"/>
    <x v="0"/>
    <x v="1"/>
    <x v="228"/>
    <n v="9"/>
    <n v="3"/>
    <n v="3.15"/>
    <x v="5"/>
    <x v="1"/>
  </r>
  <r>
    <n v="44720"/>
    <x v="597"/>
    <x v="16"/>
    <x v="0"/>
    <x v="0"/>
    <x v="166"/>
    <n v="42.24"/>
    <n v="10"/>
    <n v="13.2"/>
    <x v="5"/>
    <x v="1"/>
  </r>
  <r>
    <n v="44720"/>
    <x v="597"/>
    <x v="16"/>
    <x v="0"/>
    <x v="3"/>
    <x v="812"/>
    <n v="18.260000000000002"/>
    <n v="2"/>
    <n v="-13.39"/>
    <x v="5"/>
    <x v="1"/>
  </r>
  <r>
    <n v="44721"/>
    <x v="408"/>
    <x v="6"/>
    <x v="0"/>
    <x v="3"/>
    <x v="556"/>
    <n v="113.1"/>
    <n v="3"/>
    <n v="56.55"/>
    <x v="5"/>
    <x v="1"/>
  </r>
  <r>
    <n v="44721"/>
    <x v="180"/>
    <x v="14"/>
    <x v="0"/>
    <x v="0"/>
    <x v="537"/>
    <n v="12.96"/>
    <n v="2"/>
    <n v="6.22"/>
    <x v="5"/>
    <x v="1"/>
  </r>
  <r>
    <n v="44721"/>
    <x v="120"/>
    <x v="34"/>
    <x v="1"/>
    <x v="8"/>
    <x v="259"/>
    <n v="355.36"/>
    <n v="4"/>
    <n v="92.39"/>
    <x v="5"/>
    <x v="1"/>
  </r>
  <r>
    <n v="44721"/>
    <x v="120"/>
    <x v="34"/>
    <x v="2"/>
    <x v="6"/>
    <x v="1377"/>
    <n v="140.38"/>
    <n v="3"/>
    <n v="8.77"/>
    <x v="5"/>
    <x v="1"/>
  </r>
  <r>
    <n v="44721"/>
    <x v="655"/>
    <x v="16"/>
    <x v="0"/>
    <x v="3"/>
    <x v="442"/>
    <n v="64.2"/>
    <n v="5"/>
    <n v="-42.8"/>
    <x v="5"/>
    <x v="1"/>
  </r>
  <r>
    <n v="44721"/>
    <x v="655"/>
    <x v="16"/>
    <x v="0"/>
    <x v="3"/>
    <x v="738"/>
    <n v="38.520000000000003"/>
    <n v="3"/>
    <n v="-26.96"/>
    <x v="5"/>
    <x v="1"/>
  </r>
  <r>
    <n v="44721"/>
    <x v="655"/>
    <x v="16"/>
    <x v="2"/>
    <x v="9"/>
    <x v="1316"/>
    <n v="72.599999999999994"/>
    <n v="5"/>
    <n v="-8.17"/>
    <x v="5"/>
    <x v="1"/>
  </r>
  <r>
    <n v="44723"/>
    <x v="12"/>
    <x v="8"/>
    <x v="2"/>
    <x v="9"/>
    <x v="907"/>
    <n v="53.7"/>
    <n v="6"/>
    <n v="10.199999999999999"/>
    <x v="5"/>
    <x v="1"/>
  </r>
  <r>
    <n v="44723"/>
    <x v="12"/>
    <x v="8"/>
    <x v="0"/>
    <x v="3"/>
    <x v="730"/>
    <n v="36.26"/>
    <n v="7"/>
    <n v="16.68"/>
    <x v="5"/>
    <x v="1"/>
  </r>
  <r>
    <n v="44723"/>
    <x v="12"/>
    <x v="8"/>
    <x v="0"/>
    <x v="4"/>
    <x v="1024"/>
    <n v="56.3"/>
    <n v="2"/>
    <n v="15.76"/>
    <x v="5"/>
    <x v="1"/>
  </r>
  <r>
    <n v="44723"/>
    <x v="12"/>
    <x v="8"/>
    <x v="0"/>
    <x v="0"/>
    <x v="1378"/>
    <n v="32.4"/>
    <n v="5"/>
    <n v="15.55"/>
    <x v="5"/>
    <x v="1"/>
  </r>
  <r>
    <n v="44723"/>
    <x v="12"/>
    <x v="8"/>
    <x v="1"/>
    <x v="8"/>
    <x v="636"/>
    <n v="29.16"/>
    <n v="2"/>
    <n v="10.79"/>
    <x v="5"/>
    <x v="1"/>
  </r>
  <r>
    <n v="44723"/>
    <x v="458"/>
    <x v="16"/>
    <x v="1"/>
    <x v="5"/>
    <x v="629"/>
    <n v="1123.92"/>
    <n v="5"/>
    <n v="-182.64"/>
    <x v="5"/>
    <x v="1"/>
  </r>
  <r>
    <n v="44723"/>
    <x v="458"/>
    <x v="16"/>
    <x v="2"/>
    <x v="6"/>
    <x v="1379"/>
    <n v="249.58"/>
    <n v="2"/>
    <n v="31.2"/>
    <x v="5"/>
    <x v="1"/>
  </r>
  <r>
    <n v="44723"/>
    <x v="458"/>
    <x v="16"/>
    <x v="1"/>
    <x v="8"/>
    <x v="814"/>
    <n v="48.67"/>
    <n v="3"/>
    <n v="7.3"/>
    <x v="5"/>
    <x v="1"/>
  </r>
  <r>
    <n v="44723"/>
    <x v="458"/>
    <x v="16"/>
    <x v="0"/>
    <x v="4"/>
    <x v="794"/>
    <n v="60.77"/>
    <n v="2"/>
    <n v="7.6"/>
    <x v="5"/>
    <x v="1"/>
  </r>
  <r>
    <n v="44723"/>
    <x v="458"/>
    <x v="16"/>
    <x v="0"/>
    <x v="3"/>
    <x v="81"/>
    <n v="78.599999999999994"/>
    <n v="5"/>
    <n v="-62.88"/>
    <x v="5"/>
    <x v="1"/>
  </r>
  <r>
    <n v="44723"/>
    <x v="458"/>
    <x v="16"/>
    <x v="0"/>
    <x v="3"/>
    <x v="898"/>
    <n v="3.77"/>
    <n v="2"/>
    <n v="-3.14"/>
    <x v="5"/>
    <x v="1"/>
  </r>
  <r>
    <n v="44723"/>
    <x v="458"/>
    <x v="16"/>
    <x v="0"/>
    <x v="2"/>
    <x v="1380"/>
    <n v="1036.6199999999999"/>
    <n v="2"/>
    <n v="51.83"/>
    <x v="5"/>
    <x v="1"/>
  </r>
  <r>
    <n v="44723"/>
    <x v="458"/>
    <x v="16"/>
    <x v="0"/>
    <x v="2"/>
    <x v="923"/>
    <n v="563.80999999999995"/>
    <n v="4"/>
    <n v="21.14"/>
    <x v="5"/>
    <x v="1"/>
  </r>
  <r>
    <n v="44724"/>
    <x v="656"/>
    <x v="2"/>
    <x v="0"/>
    <x v="0"/>
    <x v="1257"/>
    <n v="20.74"/>
    <n v="4"/>
    <n v="7.26"/>
    <x v="5"/>
    <x v="1"/>
  </r>
  <r>
    <n v="44724"/>
    <x v="656"/>
    <x v="2"/>
    <x v="1"/>
    <x v="8"/>
    <x v="643"/>
    <n v="43.3"/>
    <n v="2"/>
    <n v="4.33"/>
    <x v="5"/>
    <x v="1"/>
  </r>
  <r>
    <n v="44724"/>
    <x v="224"/>
    <x v="7"/>
    <x v="0"/>
    <x v="2"/>
    <x v="565"/>
    <n v="29.9"/>
    <n v="5"/>
    <n v="5.08"/>
    <x v="5"/>
    <x v="1"/>
  </r>
  <r>
    <n v="44724"/>
    <x v="657"/>
    <x v="16"/>
    <x v="2"/>
    <x v="6"/>
    <x v="1213"/>
    <n v="55.98"/>
    <n v="2"/>
    <n v="4.2"/>
    <x v="5"/>
    <x v="1"/>
  </r>
  <r>
    <n v="44724"/>
    <x v="381"/>
    <x v="18"/>
    <x v="0"/>
    <x v="2"/>
    <x v="512"/>
    <n v="24.56"/>
    <n v="2"/>
    <n v="6.88"/>
    <x v="5"/>
    <x v="1"/>
  </r>
  <r>
    <n v="44725"/>
    <x v="612"/>
    <x v="3"/>
    <x v="0"/>
    <x v="3"/>
    <x v="1292"/>
    <n v="36.619999999999997"/>
    <n v="3"/>
    <n v="13.73"/>
    <x v="5"/>
    <x v="1"/>
  </r>
  <r>
    <n v="44725"/>
    <x v="526"/>
    <x v="33"/>
    <x v="0"/>
    <x v="4"/>
    <x v="1163"/>
    <n v="24.78"/>
    <n v="6"/>
    <n v="6.94"/>
    <x v="5"/>
    <x v="1"/>
  </r>
  <r>
    <n v="44725"/>
    <x v="526"/>
    <x v="33"/>
    <x v="0"/>
    <x v="3"/>
    <x v="405"/>
    <n v="19.14"/>
    <n v="3"/>
    <n v="8.8000000000000007"/>
    <x v="5"/>
    <x v="1"/>
  </r>
  <r>
    <n v="44725"/>
    <x v="526"/>
    <x v="33"/>
    <x v="2"/>
    <x v="16"/>
    <x v="359"/>
    <n v="899.97"/>
    <n v="3"/>
    <n v="314.99"/>
    <x v="5"/>
    <x v="1"/>
  </r>
  <r>
    <n v="44725"/>
    <x v="526"/>
    <x v="33"/>
    <x v="0"/>
    <x v="0"/>
    <x v="113"/>
    <n v="32.4"/>
    <n v="5"/>
    <n v="15.55"/>
    <x v="5"/>
    <x v="1"/>
  </r>
  <r>
    <n v="44725"/>
    <x v="577"/>
    <x v="41"/>
    <x v="0"/>
    <x v="3"/>
    <x v="333"/>
    <n v="8.26"/>
    <n v="2"/>
    <n v="3.88"/>
    <x v="5"/>
    <x v="1"/>
  </r>
  <r>
    <n v="44725"/>
    <x v="577"/>
    <x v="41"/>
    <x v="0"/>
    <x v="3"/>
    <x v="1171"/>
    <n v="29.84"/>
    <n v="2"/>
    <n v="13.43"/>
    <x v="5"/>
    <x v="1"/>
  </r>
  <r>
    <n v="44725"/>
    <x v="577"/>
    <x v="41"/>
    <x v="2"/>
    <x v="9"/>
    <x v="1381"/>
    <n v="67.98"/>
    <n v="2"/>
    <n v="14.96"/>
    <x v="5"/>
    <x v="1"/>
  </r>
  <r>
    <n v="44725"/>
    <x v="302"/>
    <x v="4"/>
    <x v="0"/>
    <x v="0"/>
    <x v="1382"/>
    <n v="6.48"/>
    <n v="1"/>
    <n v="3.11"/>
    <x v="5"/>
    <x v="1"/>
  </r>
  <r>
    <n v="44725"/>
    <x v="658"/>
    <x v="10"/>
    <x v="0"/>
    <x v="4"/>
    <x v="806"/>
    <n v="3.42"/>
    <n v="1"/>
    <n v="0.3"/>
    <x v="5"/>
    <x v="1"/>
  </r>
  <r>
    <n v="44726"/>
    <x v="525"/>
    <x v="2"/>
    <x v="1"/>
    <x v="8"/>
    <x v="1014"/>
    <n v="51.07"/>
    <n v="6"/>
    <n v="5.1100000000000003"/>
    <x v="5"/>
    <x v="1"/>
  </r>
  <r>
    <n v="44727"/>
    <x v="184"/>
    <x v="12"/>
    <x v="0"/>
    <x v="0"/>
    <x v="563"/>
    <n v="9.57"/>
    <n v="2"/>
    <n v="2.99"/>
    <x v="5"/>
    <x v="1"/>
  </r>
  <r>
    <n v="44727"/>
    <x v="184"/>
    <x v="12"/>
    <x v="0"/>
    <x v="2"/>
    <x v="627"/>
    <n v="82.37"/>
    <n v="2"/>
    <n v="-19.559999999999999"/>
    <x v="5"/>
    <x v="1"/>
  </r>
  <r>
    <n v="44727"/>
    <x v="184"/>
    <x v="12"/>
    <x v="1"/>
    <x v="8"/>
    <x v="1190"/>
    <n v="364.7"/>
    <n v="6"/>
    <n v="-36.47"/>
    <x v="5"/>
    <x v="1"/>
  </r>
  <r>
    <n v="44727"/>
    <x v="184"/>
    <x v="12"/>
    <x v="1"/>
    <x v="8"/>
    <x v="109"/>
    <n v="40.26"/>
    <n v="4"/>
    <n v="11.07"/>
    <x v="5"/>
    <x v="1"/>
  </r>
  <r>
    <n v="44727"/>
    <x v="482"/>
    <x v="16"/>
    <x v="2"/>
    <x v="9"/>
    <x v="774"/>
    <n v="11.67"/>
    <n v="1"/>
    <n v="-0.73"/>
    <x v="5"/>
    <x v="1"/>
  </r>
  <r>
    <n v="44727"/>
    <x v="271"/>
    <x v="3"/>
    <x v="2"/>
    <x v="6"/>
    <x v="67"/>
    <n v="225.58"/>
    <n v="3"/>
    <n v="22.56"/>
    <x v="5"/>
    <x v="1"/>
  </r>
  <r>
    <n v="44728"/>
    <x v="300"/>
    <x v="2"/>
    <x v="0"/>
    <x v="10"/>
    <x v="807"/>
    <n v="6.21"/>
    <n v="2"/>
    <n v="2.17"/>
    <x v="5"/>
    <x v="1"/>
  </r>
  <r>
    <n v="44728"/>
    <x v="3"/>
    <x v="0"/>
    <x v="0"/>
    <x v="10"/>
    <x v="21"/>
    <n v="28.75"/>
    <n v="3"/>
    <n v="9.34"/>
    <x v="5"/>
    <x v="1"/>
  </r>
  <r>
    <n v="44728"/>
    <x v="3"/>
    <x v="0"/>
    <x v="0"/>
    <x v="0"/>
    <x v="1383"/>
    <n v="27.22"/>
    <n v="3"/>
    <n v="9.8699999999999992"/>
    <x v="5"/>
    <x v="1"/>
  </r>
  <r>
    <n v="44728"/>
    <x v="3"/>
    <x v="0"/>
    <x v="1"/>
    <x v="5"/>
    <x v="1136"/>
    <n v="197.37"/>
    <n v="2"/>
    <n v="-25.38"/>
    <x v="5"/>
    <x v="1"/>
  </r>
  <r>
    <n v="44728"/>
    <x v="164"/>
    <x v="20"/>
    <x v="0"/>
    <x v="3"/>
    <x v="1030"/>
    <n v="3050.38"/>
    <n v="3"/>
    <n v="1143.8900000000001"/>
    <x v="5"/>
    <x v="1"/>
  </r>
  <r>
    <n v="44728"/>
    <x v="164"/>
    <x v="20"/>
    <x v="2"/>
    <x v="6"/>
    <x v="292"/>
    <n v="133.97999999999999"/>
    <n v="2"/>
    <n v="33.5"/>
    <x v="5"/>
    <x v="1"/>
  </r>
  <r>
    <n v="44730"/>
    <x v="659"/>
    <x v="12"/>
    <x v="0"/>
    <x v="0"/>
    <x v="1384"/>
    <n v="11.95"/>
    <n v="3"/>
    <n v="4.33"/>
    <x v="5"/>
    <x v="1"/>
  </r>
  <r>
    <n v="44730"/>
    <x v="659"/>
    <x v="12"/>
    <x v="0"/>
    <x v="3"/>
    <x v="1056"/>
    <n v="4.54"/>
    <n v="7"/>
    <n v="-3.33"/>
    <x v="5"/>
    <x v="1"/>
  </r>
  <r>
    <n v="44730"/>
    <x v="659"/>
    <x v="12"/>
    <x v="0"/>
    <x v="3"/>
    <x v="1292"/>
    <n v="9.16"/>
    <n v="2"/>
    <n v="-6.1"/>
    <x v="5"/>
    <x v="1"/>
  </r>
  <r>
    <n v="44730"/>
    <x v="659"/>
    <x v="12"/>
    <x v="1"/>
    <x v="8"/>
    <x v="1310"/>
    <n v="75.36"/>
    <n v="5"/>
    <n v="20.72"/>
    <x v="5"/>
    <x v="1"/>
  </r>
  <r>
    <n v="44730"/>
    <x v="100"/>
    <x v="3"/>
    <x v="0"/>
    <x v="4"/>
    <x v="151"/>
    <n v="51.98"/>
    <n v="2"/>
    <n v="15.07"/>
    <x v="5"/>
    <x v="1"/>
  </r>
  <r>
    <n v="44730"/>
    <x v="535"/>
    <x v="16"/>
    <x v="0"/>
    <x v="4"/>
    <x v="6"/>
    <n v="13.63"/>
    <n v="4"/>
    <n v="3.58"/>
    <x v="5"/>
    <x v="1"/>
  </r>
  <r>
    <n v="44730"/>
    <x v="625"/>
    <x v="15"/>
    <x v="0"/>
    <x v="3"/>
    <x v="876"/>
    <n v="6.13"/>
    <n v="3"/>
    <n v="-4.49"/>
    <x v="5"/>
    <x v="1"/>
  </r>
  <r>
    <n v="44730"/>
    <x v="625"/>
    <x v="15"/>
    <x v="1"/>
    <x v="5"/>
    <x v="249"/>
    <n v="643.14"/>
    <n v="4"/>
    <n v="56.27"/>
    <x v="5"/>
    <x v="1"/>
  </r>
  <r>
    <n v="44730"/>
    <x v="625"/>
    <x v="15"/>
    <x v="0"/>
    <x v="0"/>
    <x v="684"/>
    <n v="20.74"/>
    <n v="4"/>
    <n v="7.26"/>
    <x v="5"/>
    <x v="1"/>
  </r>
  <r>
    <n v="44730"/>
    <x v="348"/>
    <x v="6"/>
    <x v="1"/>
    <x v="8"/>
    <x v="814"/>
    <n v="60.84"/>
    <n v="3"/>
    <n v="19.47"/>
    <x v="5"/>
    <x v="1"/>
  </r>
  <r>
    <n v="44730"/>
    <x v="348"/>
    <x v="6"/>
    <x v="0"/>
    <x v="2"/>
    <x v="1002"/>
    <n v="450.04"/>
    <n v="2"/>
    <n v="58.51"/>
    <x v="5"/>
    <x v="1"/>
  </r>
  <r>
    <n v="44730"/>
    <x v="348"/>
    <x v="6"/>
    <x v="0"/>
    <x v="3"/>
    <x v="1385"/>
    <n v="34.6"/>
    <n v="2"/>
    <n v="16.61"/>
    <x v="5"/>
    <x v="1"/>
  </r>
  <r>
    <n v="44730"/>
    <x v="348"/>
    <x v="6"/>
    <x v="2"/>
    <x v="6"/>
    <x v="1379"/>
    <n v="467.97"/>
    <n v="3"/>
    <n v="140.38999999999999"/>
    <x v="5"/>
    <x v="1"/>
  </r>
  <r>
    <n v="44730"/>
    <x v="348"/>
    <x v="6"/>
    <x v="0"/>
    <x v="3"/>
    <x v="1386"/>
    <n v="33.020000000000003"/>
    <n v="2"/>
    <n v="15.85"/>
    <x v="5"/>
    <x v="1"/>
  </r>
  <r>
    <n v="44731"/>
    <x v="564"/>
    <x v="3"/>
    <x v="1"/>
    <x v="8"/>
    <x v="1387"/>
    <n v="12.56"/>
    <n v="2"/>
    <n v="4.0199999999999996"/>
    <x v="5"/>
    <x v="1"/>
  </r>
  <r>
    <n v="44731"/>
    <x v="564"/>
    <x v="3"/>
    <x v="0"/>
    <x v="0"/>
    <x v="1388"/>
    <n v="6.48"/>
    <n v="1"/>
    <n v="3.11"/>
    <x v="5"/>
    <x v="1"/>
  </r>
  <r>
    <n v="44731"/>
    <x v="564"/>
    <x v="3"/>
    <x v="0"/>
    <x v="10"/>
    <x v="323"/>
    <n v="186.69"/>
    <n v="3"/>
    <n v="87.74"/>
    <x v="5"/>
    <x v="1"/>
  </r>
  <r>
    <n v="44731"/>
    <x v="5"/>
    <x v="0"/>
    <x v="0"/>
    <x v="3"/>
    <x v="1057"/>
    <n v="5.79"/>
    <n v="2"/>
    <n v="-9.56"/>
    <x v="5"/>
    <x v="1"/>
  </r>
  <r>
    <n v="44731"/>
    <x v="307"/>
    <x v="0"/>
    <x v="0"/>
    <x v="2"/>
    <x v="70"/>
    <n v="228.92"/>
    <n v="5"/>
    <n v="14.31"/>
    <x v="5"/>
    <x v="1"/>
  </r>
  <r>
    <n v="44731"/>
    <x v="367"/>
    <x v="2"/>
    <x v="0"/>
    <x v="1"/>
    <x v="1389"/>
    <n v="5.9"/>
    <n v="2"/>
    <n v="1.99"/>
    <x v="5"/>
    <x v="1"/>
  </r>
  <r>
    <n v="44732"/>
    <x v="660"/>
    <x v="3"/>
    <x v="1"/>
    <x v="8"/>
    <x v="985"/>
    <n v="257.64"/>
    <n v="6"/>
    <n v="100.48"/>
    <x v="5"/>
    <x v="1"/>
  </r>
  <r>
    <n v="44732"/>
    <x v="660"/>
    <x v="3"/>
    <x v="2"/>
    <x v="6"/>
    <x v="432"/>
    <n v="125.98"/>
    <n v="3"/>
    <n v="47.24"/>
    <x v="5"/>
    <x v="1"/>
  </r>
  <r>
    <n v="44732"/>
    <x v="176"/>
    <x v="26"/>
    <x v="2"/>
    <x v="6"/>
    <x v="584"/>
    <n v="125.94"/>
    <n v="7"/>
    <n v="15.74"/>
    <x v="5"/>
    <x v="1"/>
  </r>
  <r>
    <n v="44732"/>
    <x v="288"/>
    <x v="2"/>
    <x v="2"/>
    <x v="9"/>
    <x v="1390"/>
    <n v="319.98"/>
    <n v="2"/>
    <n v="92"/>
    <x v="5"/>
    <x v="1"/>
  </r>
  <r>
    <n v="44733"/>
    <x v="287"/>
    <x v="16"/>
    <x v="2"/>
    <x v="6"/>
    <x v="240"/>
    <n v="107.98"/>
    <n v="3"/>
    <n v="37.79"/>
    <x v="5"/>
    <x v="1"/>
  </r>
  <r>
    <n v="44734"/>
    <x v="318"/>
    <x v="27"/>
    <x v="0"/>
    <x v="7"/>
    <x v="1152"/>
    <n v="4.96"/>
    <n v="4"/>
    <n v="2.33"/>
    <x v="5"/>
    <x v="1"/>
  </r>
  <r>
    <n v="44734"/>
    <x v="53"/>
    <x v="1"/>
    <x v="1"/>
    <x v="13"/>
    <x v="1145"/>
    <n v="796.43"/>
    <n v="7"/>
    <n v="-525.64"/>
    <x v="5"/>
    <x v="1"/>
  </r>
  <r>
    <n v="44734"/>
    <x v="661"/>
    <x v="20"/>
    <x v="0"/>
    <x v="3"/>
    <x v="1391"/>
    <n v="1217.57"/>
    <n v="2"/>
    <n v="456.59"/>
    <x v="5"/>
    <x v="1"/>
  </r>
  <r>
    <n v="44735"/>
    <x v="247"/>
    <x v="22"/>
    <x v="2"/>
    <x v="6"/>
    <x v="1392"/>
    <n v="201.57"/>
    <n v="4"/>
    <n v="22.68"/>
    <x v="5"/>
    <x v="1"/>
  </r>
  <r>
    <n v="44735"/>
    <x v="349"/>
    <x v="3"/>
    <x v="2"/>
    <x v="6"/>
    <x v="669"/>
    <n v="217.58"/>
    <n v="2"/>
    <n v="19.04"/>
    <x v="5"/>
    <x v="1"/>
  </r>
  <r>
    <n v="44735"/>
    <x v="349"/>
    <x v="3"/>
    <x v="0"/>
    <x v="7"/>
    <x v="1144"/>
    <n v="5.43"/>
    <n v="3"/>
    <n v="1.79"/>
    <x v="5"/>
    <x v="1"/>
  </r>
  <r>
    <n v="44735"/>
    <x v="349"/>
    <x v="3"/>
    <x v="2"/>
    <x v="6"/>
    <x v="784"/>
    <n v="143.97999999999999"/>
    <n v="3"/>
    <n v="9"/>
    <x v="5"/>
    <x v="1"/>
  </r>
  <r>
    <n v="44735"/>
    <x v="211"/>
    <x v="4"/>
    <x v="1"/>
    <x v="8"/>
    <x v="1393"/>
    <n v="27.42"/>
    <n v="3"/>
    <n v="9.32"/>
    <x v="5"/>
    <x v="1"/>
  </r>
  <r>
    <n v="44735"/>
    <x v="211"/>
    <x v="4"/>
    <x v="0"/>
    <x v="3"/>
    <x v="398"/>
    <n v="165.98"/>
    <n v="1"/>
    <n v="74.69"/>
    <x v="5"/>
    <x v="1"/>
  </r>
  <r>
    <n v="44735"/>
    <x v="211"/>
    <x v="4"/>
    <x v="2"/>
    <x v="9"/>
    <x v="1394"/>
    <n v="75"/>
    <n v="3"/>
    <n v="18"/>
    <x v="5"/>
    <x v="1"/>
  </r>
  <r>
    <n v="44737"/>
    <x v="662"/>
    <x v="2"/>
    <x v="0"/>
    <x v="0"/>
    <x v="284"/>
    <n v="31.1"/>
    <n v="6"/>
    <n v="10.89"/>
    <x v="5"/>
    <x v="1"/>
  </r>
  <r>
    <n v="44737"/>
    <x v="662"/>
    <x v="2"/>
    <x v="0"/>
    <x v="2"/>
    <x v="1204"/>
    <n v="78.260000000000005"/>
    <n v="2"/>
    <n v="-17.61"/>
    <x v="5"/>
    <x v="1"/>
  </r>
  <r>
    <n v="44737"/>
    <x v="453"/>
    <x v="3"/>
    <x v="1"/>
    <x v="8"/>
    <x v="675"/>
    <n v="204.85"/>
    <n v="5"/>
    <n v="57.36"/>
    <x v="5"/>
    <x v="1"/>
  </r>
  <r>
    <n v="44737"/>
    <x v="513"/>
    <x v="3"/>
    <x v="0"/>
    <x v="4"/>
    <x v="108"/>
    <n v="20.96"/>
    <n v="2"/>
    <n v="5.24"/>
    <x v="5"/>
    <x v="1"/>
  </r>
  <r>
    <n v="44737"/>
    <x v="513"/>
    <x v="3"/>
    <x v="0"/>
    <x v="3"/>
    <x v="1315"/>
    <n v="88.75"/>
    <n v="3"/>
    <n v="27.74"/>
    <x v="5"/>
    <x v="1"/>
  </r>
  <r>
    <n v="44737"/>
    <x v="513"/>
    <x v="3"/>
    <x v="0"/>
    <x v="2"/>
    <x v="972"/>
    <n v="304.23"/>
    <n v="3"/>
    <n v="9.1300000000000008"/>
    <x v="5"/>
    <x v="1"/>
  </r>
  <r>
    <n v="44737"/>
    <x v="20"/>
    <x v="0"/>
    <x v="0"/>
    <x v="0"/>
    <x v="653"/>
    <n v="47.95"/>
    <n v="3"/>
    <n v="16.18"/>
    <x v="5"/>
    <x v="1"/>
  </r>
  <r>
    <n v="44737"/>
    <x v="20"/>
    <x v="0"/>
    <x v="0"/>
    <x v="3"/>
    <x v="1005"/>
    <n v="0.98"/>
    <n v="2"/>
    <n v="-1.48"/>
    <x v="5"/>
    <x v="1"/>
  </r>
  <r>
    <n v="44737"/>
    <x v="20"/>
    <x v="0"/>
    <x v="1"/>
    <x v="8"/>
    <x v="61"/>
    <n v="75.38"/>
    <n v="9"/>
    <n v="-20.73"/>
    <x v="5"/>
    <x v="1"/>
  </r>
  <r>
    <n v="44737"/>
    <x v="20"/>
    <x v="0"/>
    <x v="0"/>
    <x v="1"/>
    <x v="349"/>
    <n v="4.6100000000000003"/>
    <n v="2"/>
    <n v="1.67"/>
    <x v="5"/>
    <x v="1"/>
  </r>
  <r>
    <n v="44738"/>
    <x v="174"/>
    <x v="14"/>
    <x v="2"/>
    <x v="9"/>
    <x v="1179"/>
    <n v="41.9"/>
    <n v="2"/>
    <n v="8.8000000000000007"/>
    <x v="5"/>
    <x v="1"/>
  </r>
  <r>
    <n v="44738"/>
    <x v="52"/>
    <x v="6"/>
    <x v="0"/>
    <x v="3"/>
    <x v="171"/>
    <n v="143.96"/>
    <n v="4"/>
    <n v="69.099999999999994"/>
    <x v="5"/>
    <x v="1"/>
  </r>
  <r>
    <n v="44738"/>
    <x v="52"/>
    <x v="6"/>
    <x v="0"/>
    <x v="2"/>
    <x v="847"/>
    <n v="15.42"/>
    <n v="1"/>
    <n v="4.16"/>
    <x v="5"/>
    <x v="1"/>
  </r>
  <r>
    <n v="44738"/>
    <x v="52"/>
    <x v="6"/>
    <x v="0"/>
    <x v="3"/>
    <x v="1129"/>
    <n v="43.04"/>
    <n v="8"/>
    <n v="21.09"/>
    <x v="5"/>
    <x v="1"/>
  </r>
  <r>
    <n v="44738"/>
    <x v="52"/>
    <x v="6"/>
    <x v="1"/>
    <x v="5"/>
    <x v="1395"/>
    <n v="332.94"/>
    <n v="3"/>
    <n v="79.91"/>
    <x v="5"/>
    <x v="1"/>
  </r>
  <r>
    <n v="44738"/>
    <x v="329"/>
    <x v="0"/>
    <x v="2"/>
    <x v="6"/>
    <x v="523"/>
    <n v="971.88"/>
    <n v="3"/>
    <n v="109.34"/>
    <x v="5"/>
    <x v="1"/>
  </r>
  <r>
    <n v="44738"/>
    <x v="524"/>
    <x v="10"/>
    <x v="0"/>
    <x v="0"/>
    <x v="1396"/>
    <n v="43.06"/>
    <n v="9"/>
    <n v="15.61"/>
    <x v="5"/>
    <x v="1"/>
  </r>
  <r>
    <n v="44740"/>
    <x v="563"/>
    <x v="12"/>
    <x v="0"/>
    <x v="1"/>
    <x v="198"/>
    <n v="5.9"/>
    <n v="2"/>
    <n v="1.99"/>
    <x v="5"/>
    <x v="1"/>
  </r>
  <r>
    <n v="44740"/>
    <x v="563"/>
    <x v="12"/>
    <x v="1"/>
    <x v="8"/>
    <x v="400"/>
    <n v="621.76"/>
    <n v="4"/>
    <n v="46.63"/>
    <x v="5"/>
    <x v="1"/>
  </r>
  <r>
    <n v="44740"/>
    <x v="360"/>
    <x v="10"/>
    <x v="0"/>
    <x v="0"/>
    <x v="423"/>
    <n v="15.55"/>
    <n v="3"/>
    <n v="5.44"/>
    <x v="5"/>
    <x v="1"/>
  </r>
  <r>
    <n v="44740"/>
    <x v="360"/>
    <x v="10"/>
    <x v="1"/>
    <x v="11"/>
    <x v="1397"/>
    <n v="482.94"/>
    <n v="6"/>
    <n v="-376.69"/>
    <x v="5"/>
    <x v="1"/>
  </r>
  <r>
    <n v="44740"/>
    <x v="114"/>
    <x v="4"/>
    <x v="0"/>
    <x v="3"/>
    <x v="542"/>
    <n v="119.56"/>
    <n v="2"/>
    <n v="55"/>
    <x v="5"/>
    <x v="1"/>
  </r>
  <r>
    <n v="44740"/>
    <x v="114"/>
    <x v="4"/>
    <x v="0"/>
    <x v="4"/>
    <x v="1398"/>
    <n v="140.75"/>
    <n v="5"/>
    <n v="42.23"/>
    <x v="5"/>
    <x v="1"/>
  </r>
  <r>
    <n v="44741"/>
    <x v="236"/>
    <x v="2"/>
    <x v="1"/>
    <x v="8"/>
    <x v="1055"/>
    <n v="20.100000000000001"/>
    <n v="1"/>
    <n v="1.76"/>
    <x v="5"/>
    <x v="1"/>
  </r>
  <r>
    <n v="44741"/>
    <x v="147"/>
    <x v="20"/>
    <x v="0"/>
    <x v="0"/>
    <x v="1399"/>
    <n v="24.96"/>
    <n v="4"/>
    <n v="11.23"/>
    <x v="5"/>
    <x v="1"/>
  </r>
  <r>
    <n v="44741"/>
    <x v="320"/>
    <x v="20"/>
    <x v="1"/>
    <x v="5"/>
    <x v="215"/>
    <n v="117.88"/>
    <n v="1"/>
    <n v="1.31"/>
    <x v="5"/>
    <x v="1"/>
  </r>
  <r>
    <n v="44741"/>
    <x v="82"/>
    <x v="40"/>
    <x v="2"/>
    <x v="6"/>
    <x v="197"/>
    <n v="269.98"/>
    <n v="2"/>
    <n v="72.89"/>
    <x v="5"/>
    <x v="1"/>
  </r>
  <r>
    <n v="44744"/>
    <x v="77"/>
    <x v="0"/>
    <x v="0"/>
    <x v="12"/>
    <x v="103"/>
    <n v="32.78"/>
    <n v="4"/>
    <n v="-85.24"/>
    <x v="6"/>
    <x v="1"/>
  </r>
  <r>
    <n v="44744"/>
    <x v="663"/>
    <x v="1"/>
    <x v="1"/>
    <x v="5"/>
    <x v="1283"/>
    <n v="408.42"/>
    <n v="2"/>
    <n v="-5.83"/>
    <x v="6"/>
    <x v="1"/>
  </r>
  <r>
    <n v="44744"/>
    <x v="663"/>
    <x v="1"/>
    <x v="1"/>
    <x v="5"/>
    <x v="943"/>
    <n v="382.12"/>
    <n v="6"/>
    <n v="-92.8"/>
    <x v="6"/>
    <x v="1"/>
  </r>
  <r>
    <n v="44744"/>
    <x v="663"/>
    <x v="1"/>
    <x v="0"/>
    <x v="2"/>
    <x v="1187"/>
    <n v="68.599999999999994"/>
    <n v="5"/>
    <n v="6"/>
    <x v="6"/>
    <x v="1"/>
  </r>
  <r>
    <n v="44744"/>
    <x v="663"/>
    <x v="1"/>
    <x v="0"/>
    <x v="2"/>
    <x v="986"/>
    <n v="435.5"/>
    <n v="3"/>
    <n v="48.99"/>
    <x v="6"/>
    <x v="1"/>
  </r>
  <r>
    <n v="44744"/>
    <x v="663"/>
    <x v="1"/>
    <x v="0"/>
    <x v="0"/>
    <x v="663"/>
    <n v="11.17"/>
    <n v="2"/>
    <n v="3.77"/>
    <x v="6"/>
    <x v="1"/>
  </r>
  <r>
    <n v="44744"/>
    <x v="366"/>
    <x v="16"/>
    <x v="0"/>
    <x v="0"/>
    <x v="371"/>
    <n v="11.95"/>
    <n v="3"/>
    <n v="4.03"/>
    <x v="6"/>
    <x v="1"/>
  </r>
  <r>
    <n v="44744"/>
    <x v="366"/>
    <x v="16"/>
    <x v="0"/>
    <x v="0"/>
    <x v="186"/>
    <n v="15.55"/>
    <n v="3"/>
    <n v="5.64"/>
    <x v="6"/>
    <x v="1"/>
  </r>
  <r>
    <n v="44744"/>
    <x v="50"/>
    <x v="20"/>
    <x v="0"/>
    <x v="0"/>
    <x v="266"/>
    <n v="19.440000000000001"/>
    <n v="3"/>
    <n v="9.33"/>
    <x v="6"/>
    <x v="1"/>
  </r>
  <r>
    <n v="44744"/>
    <x v="410"/>
    <x v="25"/>
    <x v="2"/>
    <x v="6"/>
    <x v="446"/>
    <n v="74.239999999999995"/>
    <n v="1"/>
    <n v="8.35"/>
    <x v="6"/>
    <x v="1"/>
  </r>
  <r>
    <n v="44744"/>
    <x v="410"/>
    <x v="25"/>
    <x v="1"/>
    <x v="8"/>
    <x v="408"/>
    <n v="159.84"/>
    <n v="10"/>
    <n v="45.95"/>
    <x v="6"/>
    <x v="1"/>
  </r>
  <r>
    <n v="44744"/>
    <x v="410"/>
    <x v="25"/>
    <x v="0"/>
    <x v="3"/>
    <x v="96"/>
    <n v="2.89"/>
    <n v="2"/>
    <n v="-2.31"/>
    <x v="6"/>
    <x v="1"/>
  </r>
  <r>
    <n v="44744"/>
    <x v="410"/>
    <x v="25"/>
    <x v="0"/>
    <x v="0"/>
    <x v="1357"/>
    <n v="9.39"/>
    <n v="2"/>
    <n v="3.29"/>
    <x v="6"/>
    <x v="1"/>
  </r>
  <r>
    <n v="44745"/>
    <x v="664"/>
    <x v="5"/>
    <x v="1"/>
    <x v="5"/>
    <x v="1400"/>
    <n v="70.98"/>
    <n v="1"/>
    <n v="4.97"/>
    <x v="6"/>
    <x v="1"/>
  </r>
  <r>
    <n v="44745"/>
    <x v="664"/>
    <x v="5"/>
    <x v="0"/>
    <x v="1"/>
    <x v="493"/>
    <n v="294.93"/>
    <n v="3"/>
    <n v="144.52000000000001"/>
    <x v="6"/>
    <x v="1"/>
  </r>
  <r>
    <n v="44745"/>
    <x v="486"/>
    <x v="2"/>
    <x v="1"/>
    <x v="8"/>
    <x v="1401"/>
    <n v="168.46"/>
    <n v="2"/>
    <n v="-29.48"/>
    <x v="6"/>
    <x v="1"/>
  </r>
  <r>
    <n v="44745"/>
    <x v="486"/>
    <x v="2"/>
    <x v="0"/>
    <x v="0"/>
    <x v="1402"/>
    <n v="6.72"/>
    <n v="2"/>
    <n v="2.44"/>
    <x v="6"/>
    <x v="1"/>
  </r>
  <r>
    <n v="44745"/>
    <x v="486"/>
    <x v="2"/>
    <x v="1"/>
    <x v="8"/>
    <x v="1403"/>
    <n v="282.89"/>
    <n v="9"/>
    <n v="56.58"/>
    <x v="6"/>
    <x v="1"/>
  </r>
  <r>
    <n v="44746"/>
    <x v="576"/>
    <x v="21"/>
    <x v="2"/>
    <x v="6"/>
    <x v="1404"/>
    <n v="1099.96"/>
    <n v="4"/>
    <n v="285.99"/>
    <x v="6"/>
    <x v="1"/>
  </r>
  <r>
    <n v="44746"/>
    <x v="525"/>
    <x v="20"/>
    <x v="0"/>
    <x v="4"/>
    <x v="1405"/>
    <n v="15.48"/>
    <n v="3"/>
    <n v="4.49"/>
    <x v="6"/>
    <x v="1"/>
  </r>
  <r>
    <n v="44746"/>
    <x v="425"/>
    <x v="3"/>
    <x v="0"/>
    <x v="3"/>
    <x v="496"/>
    <n v="22.85"/>
    <n v="2"/>
    <n v="7.43"/>
    <x v="6"/>
    <x v="1"/>
  </r>
  <r>
    <n v="44747"/>
    <x v="302"/>
    <x v="25"/>
    <x v="1"/>
    <x v="8"/>
    <x v="1148"/>
    <n v="4.93"/>
    <n v="2"/>
    <n v="0.74"/>
    <x v="6"/>
    <x v="1"/>
  </r>
  <r>
    <n v="44747"/>
    <x v="302"/>
    <x v="25"/>
    <x v="0"/>
    <x v="3"/>
    <x v="96"/>
    <n v="7.23"/>
    <n v="5"/>
    <n v="-5.78"/>
    <x v="6"/>
    <x v="1"/>
  </r>
  <r>
    <n v="44747"/>
    <x v="665"/>
    <x v="14"/>
    <x v="0"/>
    <x v="3"/>
    <x v="1406"/>
    <n v="19"/>
    <n v="5"/>
    <n v="8.93"/>
    <x v="6"/>
    <x v="1"/>
  </r>
  <r>
    <n v="44747"/>
    <x v="363"/>
    <x v="2"/>
    <x v="2"/>
    <x v="9"/>
    <x v="1065"/>
    <n v="34.799999999999997"/>
    <n v="3"/>
    <n v="2.1800000000000002"/>
    <x v="6"/>
    <x v="1"/>
  </r>
  <r>
    <n v="44747"/>
    <x v="363"/>
    <x v="2"/>
    <x v="0"/>
    <x v="2"/>
    <x v="90"/>
    <n v="38.979999999999997"/>
    <n v="3"/>
    <n v="-2.44"/>
    <x v="6"/>
    <x v="1"/>
  </r>
  <r>
    <n v="44747"/>
    <x v="138"/>
    <x v="25"/>
    <x v="1"/>
    <x v="8"/>
    <x v="1148"/>
    <n v="4.93"/>
    <n v="2"/>
    <n v="0.74"/>
    <x v="6"/>
    <x v="1"/>
  </r>
  <r>
    <n v="44747"/>
    <x v="138"/>
    <x v="25"/>
    <x v="0"/>
    <x v="1"/>
    <x v="1"/>
    <n v="11.78"/>
    <n v="3"/>
    <n v="4.2699999999999996"/>
    <x v="6"/>
    <x v="1"/>
  </r>
  <r>
    <n v="44748"/>
    <x v="666"/>
    <x v="20"/>
    <x v="1"/>
    <x v="8"/>
    <x v="335"/>
    <n v="13.96"/>
    <n v="2"/>
    <n v="6.7"/>
    <x v="6"/>
    <x v="1"/>
  </r>
  <r>
    <n v="44748"/>
    <x v="666"/>
    <x v="20"/>
    <x v="1"/>
    <x v="8"/>
    <x v="19"/>
    <n v="155.82"/>
    <n v="3"/>
    <n v="63.89"/>
    <x v="6"/>
    <x v="1"/>
  </r>
  <r>
    <n v="44748"/>
    <x v="666"/>
    <x v="20"/>
    <x v="2"/>
    <x v="6"/>
    <x v="1048"/>
    <n v="124.95"/>
    <n v="5"/>
    <n v="2.5"/>
    <x v="6"/>
    <x v="1"/>
  </r>
  <r>
    <n v="44748"/>
    <x v="666"/>
    <x v="20"/>
    <x v="0"/>
    <x v="2"/>
    <x v="1407"/>
    <n v="601.65"/>
    <n v="5"/>
    <n v="156.43"/>
    <x v="6"/>
    <x v="1"/>
  </r>
  <r>
    <n v="44748"/>
    <x v="367"/>
    <x v="32"/>
    <x v="1"/>
    <x v="11"/>
    <x v="1408"/>
    <n v="301.95999999999998"/>
    <n v="2"/>
    <n v="60.39"/>
    <x v="6"/>
    <x v="1"/>
  </r>
  <r>
    <n v="44748"/>
    <x v="605"/>
    <x v="3"/>
    <x v="1"/>
    <x v="5"/>
    <x v="1318"/>
    <n v="170.35"/>
    <n v="3"/>
    <n v="-17.04"/>
    <x v="6"/>
    <x v="1"/>
  </r>
  <r>
    <n v="44748"/>
    <x v="302"/>
    <x v="23"/>
    <x v="0"/>
    <x v="4"/>
    <x v="182"/>
    <n v="11.12"/>
    <n v="4"/>
    <n v="2.89"/>
    <x v="6"/>
    <x v="1"/>
  </r>
  <r>
    <n v="44750"/>
    <x v="406"/>
    <x v="0"/>
    <x v="0"/>
    <x v="0"/>
    <x v="254"/>
    <n v="21.12"/>
    <n v="5"/>
    <n v="6.6"/>
    <x v="6"/>
    <x v="1"/>
  </r>
  <r>
    <n v="44751"/>
    <x v="595"/>
    <x v="32"/>
    <x v="0"/>
    <x v="0"/>
    <x v="1071"/>
    <n v="6.58"/>
    <n v="2"/>
    <n v="3.03"/>
    <x v="6"/>
    <x v="1"/>
  </r>
  <r>
    <n v="44751"/>
    <x v="595"/>
    <x v="32"/>
    <x v="0"/>
    <x v="3"/>
    <x v="209"/>
    <n v="122.94"/>
    <n v="3"/>
    <n v="59.01"/>
    <x v="6"/>
    <x v="1"/>
  </r>
  <r>
    <n v="44751"/>
    <x v="185"/>
    <x v="15"/>
    <x v="0"/>
    <x v="4"/>
    <x v="319"/>
    <n v="5.16"/>
    <n v="3"/>
    <n v="0.84"/>
    <x v="6"/>
    <x v="1"/>
  </r>
  <r>
    <n v="44751"/>
    <x v="542"/>
    <x v="36"/>
    <x v="0"/>
    <x v="7"/>
    <x v="961"/>
    <n v="15.8"/>
    <n v="4"/>
    <n v="5.0599999999999996"/>
    <x v="6"/>
    <x v="1"/>
  </r>
  <r>
    <n v="44751"/>
    <x v="542"/>
    <x v="36"/>
    <x v="2"/>
    <x v="15"/>
    <x v="1409"/>
    <n v="464.97"/>
    <n v="3"/>
    <n v="209.24"/>
    <x v="6"/>
    <x v="1"/>
  </r>
  <r>
    <n v="44751"/>
    <x v="542"/>
    <x v="36"/>
    <x v="1"/>
    <x v="8"/>
    <x v="50"/>
    <n v="181.96"/>
    <n v="2"/>
    <n v="20.02"/>
    <x v="6"/>
    <x v="1"/>
  </r>
  <r>
    <n v="44751"/>
    <x v="542"/>
    <x v="36"/>
    <x v="0"/>
    <x v="1"/>
    <x v="1410"/>
    <n v="12.39"/>
    <n v="3"/>
    <n v="5.7"/>
    <x v="6"/>
    <x v="1"/>
  </r>
  <r>
    <n v="44751"/>
    <x v="542"/>
    <x v="36"/>
    <x v="0"/>
    <x v="3"/>
    <x v="695"/>
    <n v="84.09"/>
    <n v="3"/>
    <n v="42.05"/>
    <x v="6"/>
    <x v="1"/>
  </r>
  <r>
    <n v="44751"/>
    <x v="542"/>
    <x v="36"/>
    <x v="0"/>
    <x v="4"/>
    <x v="311"/>
    <n v="79.36"/>
    <n v="4"/>
    <n v="32.54"/>
    <x v="6"/>
    <x v="1"/>
  </r>
  <r>
    <n v="44751"/>
    <x v="542"/>
    <x v="36"/>
    <x v="0"/>
    <x v="3"/>
    <x v="978"/>
    <n v="153.36000000000001"/>
    <n v="9"/>
    <n v="70.55"/>
    <x v="6"/>
    <x v="1"/>
  </r>
  <r>
    <n v="44751"/>
    <x v="542"/>
    <x v="36"/>
    <x v="0"/>
    <x v="3"/>
    <x v="1045"/>
    <n v="43.68"/>
    <n v="6"/>
    <n v="21.4"/>
    <x v="6"/>
    <x v="1"/>
  </r>
  <r>
    <n v="44751"/>
    <x v="542"/>
    <x v="36"/>
    <x v="0"/>
    <x v="2"/>
    <x v="845"/>
    <n v="98.21"/>
    <n v="7"/>
    <n v="28.48"/>
    <x v="6"/>
    <x v="1"/>
  </r>
  <r>
    <n v="44751"/>
    <x v="550"/>
    <x v="2"/>
    <x v="2"/>
    <x v="6"/>
    <x v="854"/>
    <n v="269.98"/>
    <n v="3"/>
    <n v="40.5"/>
    <x v="6"/>
    <x v="1"/>
  </r>
  <r>
    <n v="44751"/>
    <x v="148"/>
    <x v="0"/>
    <x v="0"/>
    <x v="12"/>
    <x v="1411"/>
    <n v="48.63"/>
    <n v="2"/>
    <n v="-121.58"/>
    <x v="6"/>
    <x v="1"/>
  </r>
  <r>
    <n v="44752"/>
    <x v="281"/>
    <x v="12"/>
    <x v="0"/>
    <x v="3"/>
    <x v="949"/>
    <n v="3.37"/>
    <n v="3"/>
    <n v="-2.2400000000000002"/>
    <x v="6"/>
    <x v="1"/>
  </r>
  <r>
    <n v="44752"/>
    <x v="30"/>
    <x v="3"/>
    <x v="0"/>
    <x v="3"/>
    <x v="276"/>
    <n v="39.92"/>
    <n v="2"/>
    <n v="12.97"/>
    <x v="6"/>
    <x v="1"/>
  </r>
  <r>
    <n v="44753"/>
    <x v="584"/>
    <x v="2"/>
    <x v="1"/>
    <x v="8"/>
    <x v="1412"/>
    <n v="289.8"/>
    <n v="7"/>
    <n v="36.229999999999997"/>
    <x v="6"/>
    <x v="1"/>
  </r>
  <r>
    <n v="44753"/>
    <x v="584"/>
    <x v="2"/>
    <x v="0"/>
    <x v="3"/>
    <x v="816"/>
    <n v="2.5"/>
    <n v="3"/>
    <n v="-2"/>
    <x v="6"/>
    <x v="1"/>
  </r>
  <r>
    <n v="44753"/>
    <x v="584"/>
    <x v="2"/>
    <x v="0"/>
    <x v="3"/>
    <x v="1069"/>
    <n v="6.48"/>
    <n v="4"/>
    <n v="-4.75"/>
    <x v="6"/>
    <x v="1"/>
  </r>
  <r>
    <n v="44753"/>
    <x v="584"/>
    <x v="2"/>
    <x v="1"/>
    <x v="5"/>
    <x v="707"/>
    <n v="341.49"/>
    <n v="8"/>
    <n v="-73.180000000000007"/>
    <x v="6"/>
    <x v="1"/>
  </r>
  <r>
    <n v="44753"/>
    <x v="584"/>
    <x v="2"/>
    <x v="0"/>
    <x v="4"/>
    <x v="182"/>
    <n v="11.12"/>
    <n v="5"/>
    <n v="0.83"/>
    <x v="6"/>
    <x v="1"/>
  </r>
  <r>
    <n v="44753"/>
    <x v="584"/>
    <x v="2"/>
    <x v="1"/>
    <x v="8"/>
    <x v="984"/>
    <n v="25.34"/>
    <n v="6"/>
    <n v="3.48"/>
    <x v="6"/>
    <x v="1"/>
  </r>
  <r>
    <n v="44753"/>
    <x v="59"/>
    <x v="22"/>
    <x v="0"/>
    <x v="0"/>
    <x v="1413"/>
    <n v="29.97"/>
    <n v="3"/>
    <n v="13.49"/>
    <x v="6"/>
    <x v="1"/>
  </r>
  <r>
    <n v="44753"/>
    <x v="59"/>
    <x v="22"/>
    <x v="0"/>
    <x v="3"/>
    <x v="209"/>
    <n v="98.35"/>
    <n v="3"/>
    <n v="34.42"/>
    <x v="6"/>
    <x v="1"/>
  </r>
  <r>
    <n v="44753"/>
    <x v="477"/>
    <x v="7"/>
    <x v="1"/>
    <x v="13"/>
    <x v="495"/>
    <n v="199.84"/>
    <n v="4"/>
    <n v="-37.11"/>
    <x v="6"/>
    <x v="1"/>
  </r>
  <r>
    <n v="44753"/>
    <x v="477"/>
    <x v="7"/>
    <x v="2"/>
    <x v="6"/>
    <x v="387"/>
    <n v="716"/>
    <n v="2"/>
    <n v="193.32"/>
    <x v="6"/>
    <x v="1"/>
  </r>
  <r>
    <n v="44753"/>
    <x v="477"/>
    <x v="7"/>
    <x v="0"/>
    <x v="3"/>
    <x v="1414"/>
    <n v="221.06"/>
    <n v="7"/>
    <n v="103.9"/>
    <x v="6"/>
    <x v="1"/>
  </r>
  <r>
    <n v="44754"/>
    <x v="556"/>
    <x v="1"/>
    <x v="1"/>
    <x v="5"/>
    <x v="142"/>
    <n v="383.61"/>
    <n v="9"/>
    <n v="-5.48"/>
    <x v="6"/>
    <x v="1"/>
  </r>
  <r>
    <n v="44754"/>
    <x v="556"/>
    <x v="1"/>
    <x v="2"/>
    <x v="6"/>
    <x v="446"/>
    <n v="148.47999999999999"/>
    <n v="2"/>
    <n v="16.7"/>
    <x v="6"/>
    <x v="1"/>
  </r>
  <r>
    <n v="44754"/>
    <x v="556"/>
    <x v="1"/>
    <x v="2"/>
    <x v="6"/>
    <x v="827"/>
    <n v="537.54"/>
    <n v="7"/>
    <n v="53.75"/>
    <x v="6"/>
    <x v="1"/>
  </r>
  <r>
    <n v="44754"/>
    <x v="556"/>
    <x v="1"/>
    <x v="0"/>
    <x v="3"/>
    <x v="575"/>
    <n v="1.93"/>
    <n v="2"/>
    <n v="-2.99"/>
    <x v="6"/>
    <x v="1"/>
  </r>
  <r>
    <n v="44754"/>
    <x v="556"/>
    <x v="1"/>
    <x v="0"/>
    <x v="4"/>
    <x v="616"/>
    <n v="6.91"/>
    <n v="3"/>
    <n v="0.69"/>
    <x v="6"/>
    <x v="1"/>
  </r>
  <r>
    <n v="44754"/>
    <x v="556"/>
    <x v="1"/>
    <x v="1"/>
    <x v="8"/>
    <x v="1108"/>
    <n v="7.76"/>
    <n v="1"/>
    <n v="-2.13"/>
    <x v="6"/>
    <x v="1"/>
  </r>
  <r>
    <n v="44754"/>
    <x v="556"/>
    <x v="1"/>
    <x v="2"/>
    <x v="6"/>
    <x v="522"/>
    <n v="659.17"/>
    <n v="4"/>
    <n v="49.44"/>
    <x v="6"/>
    <x v="1"/>
  </r>
  <r>
    <n v="44754"/>
    <x v="667"/>
    <x v="0"/>
    <x v="2"/>
    <x v="6"/>
    <x v="827"/>
    <n v="307.17"/>
    <n v="4"/>
    <n v="30.72"/>
    <x v="6"/>
    <x v="1"/>
  </r>
  <r>
    <n v="44755"/>
    <x v="11"/>
    <x v="20"/>
    <x v="0"/>
    <x v="3"/>
    <x v="116"/>
    <n v="11.81"/>
    <n v="2"/>
    <n v="4.28"/>
    <x v="6"/>
    <x v="1"/>
  </r>
  <r>
    <n v="44755"/>
    <x v="11"/>
    <x v="20"/>
    <x v="1"/>
    <x v="5"/>
    <x v="1075"/>
    <n v="1931.04"/>
    <n v="9"/>
    <n v="321.83999999999997"/>
    <x v="6"/>
    <x v="1"/>
  </r>
  <r>
    <n v="44755"/>
    <x v="11"/>
    <x v="20"/>
    <x v="0"/>
    <x v="0"/>
    <x v="371"/>
    <n v="9.9600000000000009"/>
    <n v="2"/>
    <n v="4.68"/>
    <x v="6"/>
    <x v="1"/>
  </r>
  <r>
    <n v="44755"/>
    <x v="421"/>
    <x v="0"/>
    <x v="0"/>
    <x v="3"/>
    <x v="459"/>
    <n v="41.57"/>
    <n v="6"/>
    <n v="-66.510000000000005"/>
    <x v="6"/>
    <x v="1"/>
  </r>
  <r>
    <n v="44755"/>
    <x v="37"/>
    <x v="4"/>
    <x v="0"/>
    <x v="0"/>
    <x v="727"/>
    <n v="38.880000000000003"/>
    <n v="6"/>
    <n v="18.66"/>
    <x v="6"/>
    <x v="1"/>
  </r>
  <r>
    <n v="44756"/>
    <x v="614"/>
    <x v="12"/>
    <x v="0"/>
    <x v="2"/>
    <x v="2"/>
    <n v="272.74"/>
    <n v="3"/>
    <n v="-64.77"/>
    <x v="6"/>
    <x v="1"/>
  </r>
  <r>
    <n v="44756"/>
    <x v="614"/>
    <x v="12"/>
    <x v="0"/>
    <x v="0"/>
    <x v="720"/>
    <n v="18.5"/>
    <n v="4"/>
    <n v="6.7"/>
    <x v="6"/>
    <x v="1"/>
  </r>
  <r>
    <n v="44756"/>
    <x v="614"/>
    <x v="12"/>
    <x v="1"/>
    <x v="5"/>
    <x v="782"/>
    <n v="441.92"/>
    <n v="2"/>
    <n v="49.72"/>
    <x v="6"/>
    <x v="1"/>
  </r>
  <r>
    <n v="44756"/>
    <x v="614"/>
    <x v="12"/>
    <x v="1"/>
    <x v="11"/>
    <x v="506"/>
    <n v="127.76"/>
    <n v="6"/>
    <n v="-191.65"/>
    <x v="6"/>
    <x v="1"/>
  </r>
  <r>
    <n v="44758"/>
    <x v="654"/>
    <x v="3"/>
    <x v="1"/>
    <x v="5"/>
    <x v="629"/>
    <n v="1348.7"/>
    <n v="6"/>
    <n v="-219.16"/>
    <x v="6"/>
    <x v="1"/>
  </r>
  <r>
    <n v="44758"/>
    <x v="654"/>
    <x v="3"/>
    <x v="1"/>
    <x v="5"/>
    <x v="1283"/>
    <n v="700.15"/>
    <n v="3"/>
    <n v="78.77"/>
    <x v="6"/>
    <x v="1"/>
  </r>
  <r>
    <n v="44758"/>
    <x v="124"/>
    <x v="20"/>
    <x v="0"/>
    <x v="0"/>
    <x v="1415"/>
    <n v="80.88"/>
    <n v="3"/>
    <n v="39.630000000000003"/>
    <x v="6"/>
    <x v="1"/>
  </r>
  <r>
    <n v="44758"/>
    <x v="124"/>
    <x v="20"/>
    <x v="2"/>
    <x v="9"/>
    <x v="1416"/>
    <n v="599.9"/>
    <n v="10"/>
    <n v="191.97"/>
    <x v="6"/>
    <x v="1"/>
  </r>
  <r>
    <n v="44758"/>
    <x v="588"/>
    <x v="36"/>
    <x v="1"/>
    <x v="5"/>
    <x v="1417"/>
    <n v="150.97999999999999"/>
    <n v="1"/>
    <n v="43.78"/>
    <x v="6"/>
    <x v="1"/>
  </r>
  <r>
    <n v="44758"/>
    <x v="588"/>
    <x v="36"/>
    <x v="0"/>
    <x v="10"/>
    <x v="1418"/>
    <n v="137.25"/>
    <n v="9"/>
    <n v="63.14"/>
    <x v="6"/>
    <x v="1"/>
  </r>
  <r>
    <n v="44758"/>
    <x v="588"/>
    <x v="36"/>
    <x v="0"/>
    <x v="7"/>
    <x v="299"/>
    <n v="11.52"/>
    <n v="4"/>
    <n v="5.41"/>
    <x v="6"/>
    <x v="1"/>
  </r>
  <r>
    <n v="44759"/>
    <x v="401"/>
    <x v="3"/>
    <x v="1"/>
    <x v="11"/>
    <x v="1093"/>
    <n v="195.47"/>
    <n v="2"/>
    <n v="-13.8"/>
    <x v="6"/>
    <x v="1"/>
  </r>
  <r>
    <n v="44759"/>
    <x v="634"/>
    <x v="16"/>
    <x v="1"/>
    <x v="11"/>
    <x v="1419"/>
    <n v="231.92"/>
    <n v="5"/>
    <n v="5.8"/>
    <x v="6"/>
    <x v="1"/>
  </r>
  <r>
    <n v="44759"/>
    <x v="668"/>
    <x v="0"/>
    <x v="0"/>
    <x v="1"/>
    <x v="315"/>
    <n v="6.26"/>
    <n v="3"/>
    <n v="2.04"/>
    <x v="6"/>
    <x v="1"/>
  </r>
  <r>
    <n v="44759"/>
    <x v="668"/>
    <x v="0"/>
    <x v="0"/>
    <x v="7"/>
    <x v="1156"/>
    <n v="14.43"/>
    <n v="4"/>
    <n v="3.43"/>
    <x v="6"/>
    <x v="1"/>
  </r>
  <r>
    <n v="44760"/>
    <x v="334"/>
    <x v="3"/>
    <x v="2"/>
    <x v="9"/>
    <x v="1361"/>
    <n v="519.96"/>
    <n v="4"/>
    <n v="176.79"/>
    <x v="6"/>
    <x v="1"/>
  </r>
  <r>
    <n v="44760"/>
    <x v="385"/>
    <x v="20"/>
    <x v="0"/>
    <x v="4"/>
    <x v="616"/>
    <n v="5.76"/>
    <n v="2"/>
    <n v="1.61"/>
    <x v="6"/>
    <x v="1"/>
  </r>
  <r>
    <n v="44760"/>
    <x v="137"/>
    <x v="20"/>
    <x v="0"/>
    <x v="3"/>
    <x v="1420"/>
    <n v="3.33"/>
    <n v="2"/>
    <n v="1.21"/>
    <x v="6"/>
    <x v="1"/>
  </r>
  <r>
    <n v="44760"/>
    <x v="137"/>
    <x v="20"/>
    <x v="2"/>
    <x v="6"/>
    <x v="669"/>
    <n v="135.99"/>
    <n v="1"/>
    <n v="36.72"/>
    <x v="6"/>
    <x v="1"/>
  </r>
  <r>
    <n v="44760"/>
    <x v="137"/>
    <x v="20"/>
    <x v="1"/>
    <x v="8"/>
    <x v="977"/>
    <n v="7.38"/>
    <n v="1"/>
    <n v="2.14"/>
    <x v="6"/>
    <x v="1"/>
  </r>
  <r>
    <n v="44761"/>
    <x v="669"/>
    <x v="12"/>
    <x v="0"/>
    <x v="3"/>
    <x v="1421"/>
    <n v="2.0299999999999998"/>
    <n v="1"/>
    <n v="-1.35"/>
    <x v="6"/>
    <x v="1"/>
  </r>
  <r>
    <n v="44762"/>
    <x v="670"/>
    <x v="18"/>
    <x v="0"/>
    <x v="2"/>
    <x v="982"/>
    <n v="34.76"/>
    <n v="1"/>
    <n v="9.73"/>
    <x v="6"/>
    <x v="1"/>
  </r>
  <r>
    <n v="44762"/>
    <x v="670"/>
    <x v="18"/>
    <x v="2"/>
    <x v="9"/>
    <x v="1281"/>
    <n v="831.2"/>
    <n v="5"/>
    <n v="124.68"/>
    <x v="6"/>
    <x v="1"/>
  </r>
  <r>
    <n v="44762"/>
    <x v="670"/>
    <x v="18"/>
    <x v="0"/>
    <x v="0"/>
    <x v="1196"/>
    <n v="26.4"/>
    <n v="5"/>
    <n v="11.88"/>
    <x v="6"/>
    <x v="1"/>
  </r>
  <r>
    <n v="44762"/>
    <x v="670"/>
    <x v="18"/>
    <x v="0"/>
    <x v="10"/>
    <x v="1418"/>
    <n v="106.75"/>
    <n v="7"/>
    <n v="49.11"/>
    <x v="6"/>
    <x v="1"/>
  </r>
  <r>
    <n v="44762"/>
    <x v="670"/>
    <x v="18"/>
    <x v="0"/>
    <x v="0"/>
    <x v="1422"/>
    <n v="97.82"/>
    <n v="2"/>
    <n v="45.98"/>
    <x v="6"/>
    <x v="1"/>
  </r>
  <r>
    <n v="44762"/>
    <x v="670"/>
    <x v="18"/>
    <x v="0"/>
    <x v="2"/>
    <x v="370"/>
    <n v="141.4"/>
    <n v="5"/>
    <n v="38.18"/>
    <x v="6"/>
    <x v="1"/>
  </r>
  <r>
    <n v="44762"/>
    <x v="277"/>
    <x v="1"/>
    <x v="0"/>
    <x v="3"/>
    <x v="549"/>
    <n v="2.88"/>
    <n v="5"/>
    <n v="-4.46"/>
    <x v="6"/>
    <x v="1"/>
  </r>
  <r>
    <n v="44762"/>
    <x v="277"/>
    <x v="1"/>
    <x v="1"/>
    <x v="11"/>
    <x v="1423"/>
    <n v="384.94"/>
    <n v="4"/>
    <n v="-126.48"/>
    <x v="6"/>
    <x v="1"/>
  </r>
  <r>
    <n v="44762"/>
    <x v="277"/>
    <x v="1"/>
    <x v="2"/>
    <x v="6"/>
    <x v="307"/>
    <n v="153.58000000000001"/>
    <n v="2"/>
    <n v="13.44"/>
    <x v="6"/>
    <x v="1"/>
  </r>
  <r>
    <n v="44762"/>
    <x v="277"/>
    <x v="1"/>
    <x v="1"/>
    <x v="11"/>
    <x v="1028"/>
    <n v="913.43"/>
    <n v="5"/>
    <n v="-52.2"/>
    <x v="6"/>
    <x v="1"/>
  </r>
  <r>
    <n v="44765"/>
    <x v="128"/>
    <x v="20"/>
    <x v="0"/>
    <x v="12"/>
    <x v="484"/>
    <n v="68.94"/>
    <n v="3"/>
    <n v="20.68"/>
    <x v="6"/>
    <x v="1"/>
  </r>
  <r>
    <n v="44765"/>
    <x v="128"/>
    <x v="20"/>
    <x v="1"/>
    <x v="8"/>
    <x v="985"/>
    <n v="128.82"/>
    <n v="3"/>
    <n v="50.24"/>
    <x v="6"/>
    <x v="1"/>
  </r>
  <r>
    <n v="44765"/>
    <x v="7"/>
    <x v="20"/>
    <x v="0"/>
    <x v="3"/>
    <x v="878"/>
    <n v="10.51"/>
    <n v="3"/>
    <n v="3.68"/>
    <x v="6"/>
    <x v="1"/>
  </r>
  <r>
    <n v="44766"/>
    <x v="301"/>
    <x v="5"/>
    <x v="1"/>
    <x v="8"/>
    <x v="480"/>
    <n v="20.94"/>
    <n v="3"/>
    <n v="6.07"/>
    <x v="6"/>
    <x v="1"/>
  </r>
  <r>
    <n v="44766"/>
    <x v="301"/>
    <x v="5"/>
    <x v="0"/>
    <x v="3"/>
    <x v="520"/>
    <n v="135.09"/>
    <n v="9"/>
    <n v="62.14"/>
    <x v="6"/>
    <x v="1"/>
  </r>
  <r>
    <n v="44766"/>
    <x v="301"/>
    <x v="5"/>
    <x v="2"/>
    <x v="9"/>
    <x v="1291"/>
    <n v="279.86"/>
    <n v="14"/>
    <n v="64.37"/>
    <x v="6"/>
    <x v="1"/>
  </r>
  <r>
    <n v="44766"/>
    <x v="301"/>
    <x v="5"/>
    <x v="0"/>
    <x v="3"/>
    <x v="520"/>
    <n v="90.06"/>
    <n v="6"/>
    <n v="41.43"/>
    <x v="6"/>
    <x v="1"/>
  </r>
  <r>
    <n v="44767"/>
    <x v="237"/>
    <x v="2"/>
    <x v="0"/>
    <x v="3"/>
    <x v="637"/>
    <n v="25.18"/>
    <n v="4"/>
    <n v="-18.46"/>
    <x v="6"/>
    <x v="1"/>
  </r>
  <r>
    <n v="44767"/>
    <x v="289"/>
    <x v="22"/>
    <x v="0"/>
    <x v="7"/>
    <x v="122"/>
    <n v="9.42"/>
    <n v="2"/>
    <n v="0.47"/>
    <x v="6"/>
    <x v="1"/>
  </r>
  <r>
    <n v="44767"/>
    <x v="289"/>
    <x v="22"/>
    <x v="0"/>
    <x v="0"/>
    <x v="1424"/>
    <n v="12.96"/>
    <n v="2"/>
    <n v="6.22"/>
    <x v="6"/>
    <x v="1"/>
  </r>
  <r>
    <n v="44767"/>
    <x v="289"/>
    <x v="22"/>
    <x v="1"/>
    <x v="11"/>
    <x v="1425"/>
    <n v="704.9"/>
    <n v="5"/>
    <n v="56.39"/>
    <x v="6"/>
    <x v="1"/>
  </r>
  <r>
    <n v="44767"/>
    <x v="289"/>
    <x v="22"/>
    <x v="1"/>
    <x v="5"/>
    <x v="1107"/>
    <n v="561.57000000000005"/>
    <n v="2"/>
    <n v="28.08"/>
    <x v="6"/>
    <x v="1"/>
  </r>
  <r>
    <n v="44767"/>
    <x v="598"/>
    <x v="33"/>
    <x v="0"/>
    <x v="10"/>
    <x v="944"/>
    <n v="98.46"/>
    <n v="9"/>
    <n v="49.23"/>
    <x v="6"/>
    <x v="1"/>
  </r>
  <r>
    <n v="44767"/>
    <x v="598"/>
    <x v="33"/>
    <x v="1"/>
    <x v="13"/>
    <x v="476"/>
    <n v="358.58"/>
    <n v="2"/>
    <n v="39.44"/>
    <x v="6"/>
    <x v="1"/>
  </r>
  <r>
    <n v="44767"/>
    <x v="446"/>
    <x v="3"/>
    <x v="2"/>
    <x v="6"/>
    <x v="1426"/>
    <n v="623.96"/>
    <n v="5"/>
    <n v="39"/>
    <x v="6"/>
    <x v="1"/>
  </r>
  <r>
    <n v="44768"/>
    <x v="273"/>
    <x v="12"/>
    <x v="1"/>
    <x v="13"/>
    <x v="1036"/>
    <n v="393.17"/>
    <n v="3"/>
    <n v="-204.45"/>
    <x v="6"/>
    <x v="1"/>
  </r>
  <r>
    <n v="44768"/>
    <x v="454"/>
    <x v="3"/>
    <x v="0"/>
    <x v="10"/>
    <x v="239"/>
    <n v="167.86"/>
    <n v="2"/>
    <n v="78.89"/>
    <x v="6"/>
    <x v="1"/>
  </r>
  <r>
    <n v="44768"/>
    <x v="244"/>
    <x v="3"/>
    <x v="0"/>
    <x v="3"/>
    <x v="51"/>
    <n v="9.14"/>
    <n v="3"/>
    <n v="3.09"/>
    <x v="6"/>
    <x v="1"/>
  </r>
  <r>
    <n v="44768"/>
    <x v="244"/>
    <x v="3"/>
    <x v="0"/>
    <x v="3"/>
    <x v="575"/>
    <n v="23.14"/>
    <n v="6"/>
    <n v="8.39"/>
    <x v="6"/>
    <x v="1"/>
  </r>
  <r>
    <n v="44768"/>
    <x v="244"/>
    <x v="3"/>
    <x v="0"/>
    <x v="4"/>
    <x v="609"/>
    <n v="99.2"/>
    <n v="5"/>
    <n v="25.79"/>
    <x v="6"/>
    <x v="1"/>
  </r>
  <r>
    <n v="44768"/>
    <x v="38"/>
    <x v="12"/>
    <x v="1"/>
    <x v="5"/>
    <x v="1395"/>
    <n v="266.35000000000002"/>
    <n v="3"/>
    <n v="13.32"/>
    <x v="6"/>
    <x v="1"/>
  </r>
  <r>
    <n v="44768"/>
    <x v="83"/>
    <x v="2"/>
    <x v="0"/>
    <x v="0"/>
    <x v="63"/>
    <n v="10.37"/>
    <n v="2"/>
    <n v="3.63"/>
    <x v="6"/>
    <x v="1"/>
  </r>
  <r>
    <n v="44769"/>
    <x v="190"/>
    <x v="5"/>
    <x v="2"/>
    <x v="6"/>
    <x v="1201"/>
    <n v="29.97"/>
    <n v="3"/>
    <n v="0.3"/>
    <x v="6"/>
    <x v="1"/>
  </r>
  <r>
    <n v="44772"/>
    <x v="454"/>
    <x v="3"/>
    <x v="2"/>
    <x v="9"/>
    <x v="33"/>
    <n v="209.93"/>
    <n v="7"/>
    <n v="92.37"/>
    <x v="6"/>
    <x v="1"/>
  </r>
  <r>
    <n v="44772"/>
    <x v="454"/>
    <x v="3"/>
    <x v="1"/>
    <x v="8"/>
    <x v="725"/>
    <n v="5.28"/>
    <n v="3"/>
    <n v="2.3199999999999998"/>
    <x v="6"/>
    <x v="1"/>
  </r>
  <r>
    <n v="44772"/>
    <x v="454"/>
    <x v="3"/>
    <x v="0"/>
    <x v="3"/>
    <x v="475"/>
    <n v="10.92"/>
    <n v="3"/>
    <n v="4.0999999999999996"/>
    <x v="6"/>
    <x v="1"/>
  </r>
  <r>
    <n v="44772"/>
    <x v="369"/>
    <x v="0"/>
    <x v="0"/>
    <x v="2"/>
    <x v="836"/>
    <n v="61.79"/>
    <n v="4"/>
    <n v="6.18"/>
    <x v="6"/>
    <x v="1"/>
  </r>
  <r>
    <n v="44772"/>
    <x v="292"/>
    <x v="28"/>
    <x v="1"/>
    <x v="5"/>
    <x v="241"/>
    <n v="155.88"/>
    <n v="6"/>
    <n v="38.97"/>
    <x v="6"/>
    <x v="1"/>
  </r>
  <r>
    <n v="44773"/>
    <x v="356"/>
    <x v="20"/>
    <x v="2"/>
    <x v="9"/>
    <x v="1146"/>
    <n v="2309.65"/>
    <n v="7"/>
    <n v="762.18"/>
    <x v="6"/>
    <x v="1"/>
  </r>
  <r>
    <n v="44773"/>
    <x v="356"/>
    <x v="20"/>
    <x v="1"/>
    <x v="13"/>
    <x v="931"/>
    <n v="1090.78"/>
    <n v="7"/>
    <n v="-290.88"/>
    <x v="6"/>
    <x v="1"/>
  </r>
  <r>
    <n v="44773"/>
    <x v="356"/>
    <x v="20"/>
    <x v="0"/>
    <x v="0"/>
    <x v="1427"/>
    <n v="19.440000000000001"/>
    <n v="3"/>
    <n v="9.33"/>
    <x v="6"/>
    <x v="1"/>
  </r>
  <r>
    <n v="44773"/>
    <x v="444"/>
    <x v="29"/>
    <x v="2"/>
    <x v="9"/>
    <x v="1253"/>
    <n v="239.7"/>
    <n v="6"/>
    <n v="105.47"/>
    <x v="6"/>
    <x v="1"/>
  </r>
  <r>
    <n v="44773"/>
    <x v="571"/>
    <x v="24"/>
    <x v="0"/>
    <x v="14"/>
    <x v="1342"/>
    <n v="52.59"/>
    <n v="3"/>
    <n v="15.78"/>
    <x v="6"/>
    <x v="1"/>
  </r>
  <r>
    <n v="44774"/>
    <x v="142"/>
    <x v="3"/>
    <x v="0"/>
    <x v="4"/>
    <x v="321"/>
    <n v="6.72"/>
    <n v="4"/>
    <n v="3.36"/>
    <x v="7"/>
    <x v="1"/>
  </r>
  <r>
    <n v="44774"/>
    <x v="142"/>
    <x v="3"/>
    <x v="1"/>
    <x v="13"/>
    <x v="92"/>
    <n v="1004.98"/>
    <n v="6"/>
    <n v="-175.87"/>
    <x v="7"/>
    <x v="1"/>
  </r>
  <r>
    <n v="44775"/>
    <x v="261"/>
    <x v="22"/>
    <x v="0"/>
    <x v="3"/>
    <x v="1428"/>
    <n v="6.37"/>
    <n v="2"/>
    <n v="2.15"/>
    <x v="7"/>
    <x v="1"/>
  </r>
  <r>
    <n v="44775"/>
    <x v="261"/>
    <x v="22"/>
    <x v="2"/>
    <x v="15"/>
    <x v="508"/>
    <n v="558.4"/>
    <n v="2"/>
    <n v="41.88"/>
    <x v="7"/>
    <x v="1"/>
  </r>
  <r>
    <n v="44775"/>
    <x v="671"/>
    <x v="43"/>
    <x v="2"/>
    <x v="6"/>
    <x v="1262"/>
    <n v="128.85"/>
    <n v="3"/>
    <n v="3.87"/>
    <x v="7"/>
    <x v="1"/>
  </r>
  <r>
    <n v="44775"/>
    <x v="671"/>
    <x v="43"/>
    <x v="0"/>
    <x v="0"/>
    <x v="1402"/>
    <n v="8.4"/>
    <n v="2"/>
    <n v="4.12"/>
    <x v="7"/>
    <x v="1"/>
  </r>
  <r>
    <n v="44775"/>
    <x v="671"/>
    <x v="43"/>
    <x v="2"/>
    <x v="9"/>
    <x v="671"/>
    <n v="199.98"/>
    <n v="2"/>
    <n v="83.99"/>
    <x v="7"/>
    <x v="1"/>
  </r>
  <r>
    <n v="44775"/>
    <x v="671"/>
    <x v="43"/>
    <x v="1"/>
    <x v="5"/>
    <x v="1078"/>
    <n v="110.98"/>
    <n v="1"/>
    <n v="15.54"/>
    <x v="7"/>
    <x v="1"/>
  </r>
  <r>
    <n v="44775"/>
    <x v="536"/>
    <x v="11"/>
    <x v="1"/>
    <x v="13"/>
    <x v="71"/>
    <n v="277.5"/>
    <n v="4"/>
    <n v="-188.7"/>
    <x v="7"/>
    <x v="1"/>
  </r>
  <r>
    <n v="44778"/>
    <x v="123"/>
    <x v="0"/>
    <x v="0"/>
    <x v="2"/>
    <x v="565"/>
    <n v="33.49"/>
    <n v="7"/>
    <n v="-1.26"/>
    <x v="7"/>
    <x v="1"/>
  </r>
  <r>
    <n v="44778"/>
    <x v="123"/>
    <x v="0"/>
    <x v="0"/>
    <x v="14"/>
    <x v="906"/>
    <n v="23.04"/>
    <n v="3"/>
    <n v="-4.9000000000000004"/>
    <x v="7"/>
    <x v="1"/>
  </r>
  <r>
    <n v="44778"/>
    <x v="123"/>
    <x v="0"/>
    <x v="0"/>
    <x v="3"/>
    <x v="876"/>
    <n v="1.36"/>
    <n v="1"/>
    <n v="-2.1800000000000002"/>
    <x v="7"/>
    <x v="1"/>
  </r>
  <r>
    <n v="44778"/>
    <x v="123"/>
    <x v="0"/>
    <x v="1"/>
    <x v="8"/>
    <x v="977"/>
    <n v="14.76"/>
    <n v="5"/>
    <n v="-11.44"/>
    <x v="7"/>
    <x v="1"/>
  </r>
  <r>
    <n v="44779"/>
    <x v="279"/>
    <x v="0"/>
    <x v="0"/>
    <x v="0"/>
    <x v="1383"/>
    <n v="27.22"/>
    <n v="3"/>
    <n v="9.8699999999999992"/>
    <x v="7"/>
    <x v="1"/>
  </r>
  <r>
    <n v="44779"/>
    <x v="468"/>
    <x v="0"/>
    <x v="0"/>
    <x v="1"/>
    <x v="210"/>
    <n v="35.520000000000003"/>
    <n v="3"/>
    <n v="13.32"/>
    <x v="7"/>
    <x v="1"/>
  </r>
  <r>
    <n v="44779"/>
    <x v="468"/>
    <x v="0"/>
    <x v="0"/>
    <x v="3"/>
    <x v="248"/>
    <n v="6.23"/>
    <n v="5"/>
    <n v="-9.66"/>
    <x v="7"/>
    <x v="1"/>
  </r>
  <r>
    <n v="44779"/>
    <x v="468"/>
    <x v="0"/>
    <x v="0"/>
    <x v="0"/>
    <x v="1195"/>
    <n v="56.7"/>
    <n v="2"/>
    <n v="19.14"/>
    <x v="7"/>
    <x v="1"/>
  </r>
  <r>
    <n v="44779"/>
    <x v="468"/>
    <x v="0"/>
    <x v="1"/>
    <x v="11"/>
    <x v="1429"/>
    <n v="369.2"/>
    <n v="3"/>
    <n v="-114.02"/>
    <x v="7"/>
    <x v="1"/>
  </r>
  <r>
    <n v="44780"/>
    <x v="270"/>
    <x v="34"/>
    <x v="0"/>
    <x v="3"/>
    <x v="333"/>
    <n v="3.3"/>
    <n v="1"/>
    <n v="1.1200000000000001"/>
    <x v="7"/>
    <x v="1"/>
  </r>
  <r>
    <n v="44780"/>
    <x v="672"/>
    <x v="3"/>
    <x v="0"/>
    <x v="3"/>
    <x v="1430"/>
    <n v="19.149999999999999"/>
    <n v="3"/>
    <n v="6.46"/>
    <x v="7"/>
    <x v="1"/>
  </r>
  <r>
    <n v="44780"/>
    <x v="439"/>
    <x v="24"/>
    <x v="0"/>
    <x v="3"/>
    <x v="745"/>
    <n v="28.4"/>
    <n v="4"/>
    <n v="13.06"/>
    <x v="7"/>
    <x v="1"/>
  </r>
  <r>
    <n v="44780"/>
    <x v="439"/>
    <x v="24"/>
    <x v="1"/>
    <x v="8"/>
    <x v="1431"/>
    <n v="212.94"/>
    <n v="3"/>
    <n v="34.07"/>
    <x v="7"/>
    <x v="1"/>
  </r>
  <r>
    <n v="44780"/>
    <x v="232"/>
    <x v="2"/>
    <x v="0"/>
    <x v="4"/>
    <x v="273"/>
    <n v="106.8"/>
    <n v="10"/>
    <n v="10.68"/>
    <x v="7"/>
    <x v="1"/>
  </r>
  <r>
    <n v="44780"/>
    <x v="270"/>
    <x v="36"/>
    <x v="0"/>
    <x v="12"/>
    <x v="882"/>
    <n v="77.58"/>
    <n v="9"/>
    <n v="20.170000000000002"/>
    <x v="7"/>
    <x v="1"/>
  </r>
  <r>
    <n v="44780"/>
    <x v="673"/>
    <x v="6"/>
    <x v="2"/>
    <x v="6"/>
    <x v="1432"/>
    <n v="494.97"/>
    <n v="3"/>
    <n v="148.49"/>
    <x v="7"/>
    <x v="1"/>
  </r>
  <r>
    <n v="44780"/>
    <x v="673"/>
    <x v="6"/>
    <x v="0"/>
    <x v="1"/>
    <x v="1433"/>
    <n v="25.06"/>
    <n v="2"/>
    <n v="11.78"/>
    <x v="7"/>
    <x v="1"/>
  </r>
  <r>
    <n v="44781"/>
    <x v="426"/>
    <x v="3"/>
    <x v="0"/>
    <x v="3"/>
    <x v="333"/>
    <n v="6.61"/>
    <n v="2"/>
    <n v="2.23"/>
    <x v="7"/>
    <x v="1"/>
  </r>
  <r>
    <n v="44781"/>
    <x v="426"/>
    <x v="3"/>
    <x v="0"/>
    <x v="3"/>
    <x v="475"/>
    <n v="7.28"/>
    <n v="2"/>
    <n v="2.73"/>
    <x v="7"/>
    <x v="1"/>
  </r>
  <r>
    <n v="44781"/>
    <x v="426"/>
    <x v="3"/>
    <x v="1"/>
    <x v="5"/>
    <x v="1434"/>
    <n v="144.78"/>
    <n v="1"/>
    <n v="10.86"/>
    <x v="7"/>
    <x v="1"/>
  </r>
  <r>
    <n v="44781"/>
    <x v="674"/>
    <x v="32"/>
    <x v="0"/>
    <x v="4"/>
    <x v="1435"/>
    <n v="39.659999999999997"/>
    <n v="2"/>
    <n v="11.9"/>
    <x v="7"/>
    <x v="1"/>
  </r>
  <r>
    <n v="44781"/>
    <x v="674"/>
    <x v="32"/>
    <x v="0"/>
    <x v="12"/>
    <x v="1076"/>
    <n v="113.92"/>
    <n v="2"/>
    <n v="33.04"/>
    <x v="7"/>
    <x v="1"/>
  </r>
  <r>
    <n v="44781"/>
    <x v="674"/>
    <x v="32"/>
    <x v="0"/>
    <x v="3"/>
    <x v="713"/>
    <n v="447.86"/>
    <n v="7"/>
    <n v="210.49"/>
    <x v="7"/>
    <x v="1"/>
  </r>
  <r>
    <n v="44781"/>
    <x v="122"/>
    <x v="20"/>
    <x v="2"/>
    <x v="9"/>
    <x v="102"/>
    <n v="79.989999999999995"/>
    <n v="1"/>
    <n v="28.8"/>
    <x v="7"/>
    <x v="1"/>
  </r>
  <r>
    <n v="44782"/>
    <x v="171"/>
    <x v="14"/>
    <x v="0"/>
    <x v="4"/>
    <x v="545"/>
    <n v="2.2000000000000002"/>
    <n v="1"/>
    <n v="0.97"/>
    <x v="7"/>
    <x v="1"/>
  </r>
  <r>
    <n v="44782"/>
    <x v="171"/>
    <x v="14"/>
    <x v="1"/>
    <x v="13"/>
    <x v="296"/>
    <n v="622.45000000000005"/>
    <n v="5"/>
    <n v="136.94"/>
    <x v="7"/>
    <x v="1"/>
  </r>
  <r>
    <n v="44782"/>
    <x v="171"/>
    <x v="14"/>
    <x v="0"/>
    <x v="2"/>
    <x v="1125"/>
    <n v="21.98"/>
    <n v="1"/>
    <n v="0.22"/>
    <x v="7"/>
    <x v="1"/>
  </r>
  <r>
    <n v="44782"/>
    <x v="201"/>
    <x v="20"/>
    <x v="2"/>
    <x v="6"/>
    <x v="855"/>
    <n v="307.98"/>
    <n v="2"/>
    <n v="89.31"/>
    <x v="7"/>
    <x v="1"/>
  </r>
  <r>
    <n v="44782"/>
    <x v="201"/>
    <x v="20"/>
    <x v="1"/>
    <x v="13"/>
    <x v="436"/>
    <n v="382.81"/>
    <n v="9"/>
    <n v="-153.12"/>
    <x v="7"/>
    <x v="1"/>
  </r>
  <r>
    <n v="44782"/>
    <x v="201"/>
    <x v="20"/>
    <x v="0"/>
    <x v="2"/>
    <x v="916"/>
    <n v="41.96"/>
    <n v="2"/>
    <n v="2.94"/>
    <x v="7"/>
    <x v="1"/>
  </r>
  <r>
    <n v="44782"/>
    <x v="201"/>
    <x v="20"/>
    <x v="0"/>
    <x v="3"/>
    <x v="1391"/>
    <n v="1217.57"/>
    <n v="2"/>
    <n v="456.59"/>
    <x v="7"/>
    <x v="1"/>
  </r>
  <r>
    <n v="44782"/>
    <x v="201"/>
    <x v="20"/>
    <x v="1"/>
    <x v="8"/>
    <x v="1436"/>
    <n v="47.04"/>
    <n v="3"/>
    <n v="18.350000000000001"/>
    <x v="7"/>
    <x v="1"/>
  </r>
  <r>
    <n v="44782"/>
    <x v="201"/>
    <x v="20"/>
    <x v="1"/>
    <x v="8"/>
    <x v="895"/>
    <n v="6.16"/>
    <n v="2"/>
    <n v="2.96"/>
    <x v="7"/>
    <x v="1"/>
  </r>
  <r>
    <n v="44782"/>
    <x v="201"/>
    <x v="20"/>
    <x v="2"/>
    <x v="6"/>
    <x v="156"/>
    <n v="979.95"/>
    <n v="5"/>
    <n v="274.39"/>
    <x v="7"/>
    <x v="1"/>
  </r>
  <r>
    <n v="44782"/>
    <x v="201"/>
    <x v="20"/>
    <x v="0"/>
    <x v="0"/>
    <x v="1437"/>
    <n v="143.69999999999999"/>
    <n v="3"/>
    <n v="68.98"/>
    <x v="7"/>
    <x v="1"/>
  </r>
  <r>
    <n v="44782"/>
    <x v="201"/>
    <x v="20"/>
    <x v="0"/>
    <x v="7"/>
    <x v="648"/>
    <n v="10.65"/>
    <n v="3"/>
    <n v="5.01"/>
    <x v="7"/>
    <x v="1"/>
  </r>
  <r>
    <n v="44782"/>
    <x v="201"/>
    <x v="20"/>
    <x v="2"/>
    <x v="9"/>
    <x v="1153"/>
    <n v="247.8"/>
    <n v="4"/>
    <n v="34.69"/>
    <x v="7"/>
    <x v="1"/>
  </r>
  <r>
    <n v="44782"/>
    <x v="141"/>
    <x v="16"/>
    <x v="0"/>
    <x v="1"/>
    <x v="349"/>
    <n v="4.6100000000000003"/>
    <n v="2"/>
    <n v="1.67"/>
    <x v="7"/>
    <x v="1"/>
  </r>
  <r>
    <n v="44782"/>
    <x v="57"/>
    <x v="21"/>
    <x v="1"/>
    <x v="11"/>
    <x v="1423"/>
    <n v="687.4"/>
    <n v="5"/>
    <n v="48.12"/>
    <x v="7"/>
    <x v="1"/>
  </r>
  <r>
    <n v="44782"/>
    <x v="407"/>
    <x v="20"/>
    <x v="1"/>
    <x v="8"/>
    <x v="1001"/>
    <n v="10.02"/>
    <n v="3"/>
    <n v="4.41"/>
    <x v="7"/>
    <x v="1"/>
  </r>
  <r>
    <n v="44782"/>
    <x v="407"/>
    <x v="20"/>
    <x v="0"/>
    <x v="0"/>
    <x v="1086"/>
    <n v="144.12"/>
    <n v="3"/>
    <n v="69.180000000000007"/>
    <x v="7"/>
    <x v="1"/>
  </r>
  <r>
    <n v="44783"/>
    <x v="488"/>
    <x v="28"/>
    <x v="0"/>
    <x v="1"/>
    <x v="85"/>
    <n v="3.75"/>
    <n v="1"/>
    <n v="1.8"/>
    <x v="7"/>
    <x v="1"/>
  </r>
  <r>
    <n v="44783"/>
    <x v="488"/>
    <x v="28"/>
    <x v="0"/>
    <x v="1"/>
    <x v="1101"/>
    <n v="41.4"/>
    <n v="4"/>
    <n v="19.87"/>
    <x v="7"/>
    <x v="1"/>
  </r>
  <r>
    <n v="44783"/>
    <x v="488"/>
    <x v="28"/>
    <x v="0"/>
    <x v="4"/>
    <x v="234"/>
    <n v="29.79"/>
    <n v="3"/>
    <n v="12.51"/>
    <x v="7"/>
    <x v="1"/>
  </r>
  <r>
    <n v="44783"/>
    <x v="494"/>
    <x v="11"/>
    <x v="2"/>
    <x v="6"/>
    <x v="308"/>
    <n v="438.37"/>
    <n v="4"/>
    <n v="38.36"/>
    <x v="7"/>
    <x v="1"/>
  </r>
  <r>
    <n v="44783"/>
    <x v="494"/>
    <x v="11"/>
    <x v="2"/>
    <x v="6"/>
    <x v="1048"/>
    <n v="139.94"/>
    <n v="7"/>
    <n v="-31.49"/>
    <x v="7"/>
    <x v="1"/>
  </r>
  <r>
    <n v="44783"/>
    <x v="494"/>
    <x v="11"/>
    <x v="0"/>
    <x v="12"/>
    <x v="810"/>
    <n v="133.47"/>
    <n v="4"/>
    <n v="15.02"/>
    <x v="7"/>
    <x v="1"/>
  </r>
  <r>
    <n v="44783"/>
    <x v="649"/>
    <x v="14"/>
    <x v="0"/>
    <x v="3"/>
    <x v="1438"/>
    <n v="64.75"/>
    <n v="5"/>
    <n v="29.14"/>
    <x v="7"/>
    <x v="1"/>
  </r>
  <r>
    <n v="44784"/>
    <x v="220"/>
    <x v="25"/>
    <x v="1"/>
    <x v="8"/>
    <x v="192"/>
    <n v="46.15"/>
    <n v="3"/>
    <n v="12.11"/>
    <x v="7"/>
    <x v="1"/>
  </r>
  <r>
    <n v="44784"/>
    <x v="675"/>
    <x v="20"/>
    <x v="0"/>
    <x v="4"/>
    <x v="143"/>
    <n v="11.96"/>
    <n v="2"/>
    <n v="3.11"/>
    <x v="7"/>
    <x v="1"/>
  </r>
  <r>
    <n v="44784"/>
    <x v="675"/>
    <x v="20"/>
    <x v="2"/>
    <x v="6"/>
    <x v="35"/>
    <n v="138"/>
    <n v="2"/>
    <n v="34.5"/>
    <x v="7"/>
    <x v="1"/>
  </r>
  <r>
    <n v="44786"/>
    <x v="402"/>
    <x v="3"/>
    <x v="0"/>
    <x v="4"/>
    <x v="1027"/>
    <n v="50.8"/>
    <n v="5"/>
    <n v="13.21"/>
    <x v="7"/>
    <x v="1"/>
  </r>
  <r>
    <n v="44786"/>
    <x v="584"/>
    <x v="4"/>
    <x v="0"/>
    <x v="3"/>
    <x v="24"/>
    <n v="5.64"/>
    <n v="3"/>
    <n v="2.71"/>
    <x v="7"/>
    <x v="1"/>
  </r>
  <r>
    <n v="44786"/>
    <x v="565"/>
    <x v="18"/>
    <x v="0"/>
    <x v="3"/>
    <x v="245"/>
    <n v="11.36"/>
    <n v="4"/>
    <n v="5.57"/>
    <x v="7"/>
    <x v="1"/>
  </r>
  <r>
    <n v="44786"/>
    <x v="28"/>
    <x v="2"/>
    <x v="0"/>
    <x v="2"/>
    <x v="923"/>
    <n v="422.86"/>
    <n v="3"/>
    <n v="15.86"/>
    <x v="7"/>
    <x v="1"/>
  </r>
  <r>
    <n v="44786"/>
    <x v="394"/>
    <x v="3"/>
    <x v="1"/>
    <x v="8"/>
    <x v="58"/>
    <n v="31.56"/>
    <n v="3"/>
    <n v="10.41"/>
    <x v="7"/>
    <x v="1"/>
  </r>
  <r>
    <n v="44786"/>
    <x v="271"/>
    <x v="25"/>
    <x v="0"/>
    <x v="4"/>
    <x v="1439"/>
    <n v="64.680000000000007"/>
    <n v="7"/>
    <n v="8.09"/>
    <x v="7"/>
    <x v="1"/>
  </r>
  <r>
    <n v="44788"/>
    <x v="676"/>
    <x v="3"/>
    <x v="0"/>
    <x v="2"/>
    <x v="899"/>
    <n v="323.10000000000002"/>
    <n v="2"/>
    <n v="61.39"/>
    <x v="7"/>
    <x v="1"/>
  </r>
  <r>
    <n v="44788"/>
    <x v="238"/>
    <x v="3"/>
    <x v="1"/>
    <x v="8"/>
    <x v="630"/>
    <n v="104.23"/>
    <n v="7"/>
    <n v="28.14"/>
    <x v="7"/>
    <x v="1"/>
  </r>
  <r>
    <n v="44788"/>
    <x v="238"/>
    <x v="3"/>
    <x v="0"/>
    <x v="2"/>
    <x v="1440"/>
    <n v="70.260000000000005"/>
    <n v="3"/>
    <n v="18.97"/>
    <x v="7"/>
    <x v="1"/>
  </r>
  <r>
    <n v="44789"/>
    <x v="522"/>
    <x v="12"/>
    <x v="0"/>
    <x v="4"/>
    <x v="1441"/>
    <n v="2.2999999999999998"/>
    <n v="1"/>
    <n v="0.26"/>
    <x v="7"/>
    <x v="1"/>
  </r>
  <r>
    <n v="44789"/>
    <x v="522"/>
    <x v="12"/>
    <x v="2"/>
    <x v="6"/>
    <x v="1442"/>
    <n v="1879.96"/>
    <n v="5"/>
    <n v="211.5"/>
    <x v="7"/>
    <x v="1"/>
  </r>
  <r>
    <n v="44789"/>
    <x v="522"/>
    <x v="12"/>
    <x v="0"/>
    <x v="0"/>
    <x v="141"/>
    <n v="313.02"/>
    <n v="8"/>
    <n v="105.65"/>
    <x v="7"/>
    <x v="1"/>
  </r>
  <r>
    <n v="44789"/>
    <x v="522"/>
    <x v="12"/>
    <x v="0"/>
    <x v="1"/>
    <x v="348"/>
    <n v="5.04"/>
    <n v="2"/>
    <n v="1.76"/>
    <x v="7"/>
    <x v="1"/>
  </r>
  <r>
    <n v="44789"/>
    <x v="569"/>
    <x v="2"/>
    <x v="2"/>
    <x v="6"/>
    <x v="1443"/>
    <n v="519.79"/>
    <n v="4"/>
    <n v="-112.62"/>
    <x v="7"/>
    <x v="1"/>
  </r>
  <r>
    <n v="44789"/>
    <x v="569"/>
    <x v="2"/>
    <x v="2"/>
    <x v="9"/>
    <x v="410"/>
    <n v="31.18"/>
    <n v="3"/>
    <n v="-5.46"/>
    <x v="7"/>
    <x v="1"/>
  </r>
  <r>
    <n v="44789"/>
    <x v="569"/>
    <x v="2"/>
    <x v="0"/>
    <x v="0"/>
    <x v="1444"/>
    <n v="10.37"/>
    <n v="2"/>
    <n v="3.63"/>
    <x v="7"/>
    <x v="1"/>
  </r>
  <r>
    <n v="44789"/>
    <x v="569"/>
    <x v="2"/>
    <x v="0"/>
    <x v="3"/>
    <x v="362"/>
    <n v="2.72"/>
    <n v="2"/>
    <n v="-1.91"/>
    <x v="7"/>
    <x v="1"/>
  </r>
  <r>
    <n v="44789"/>
    <x v="569"/>
    <x v="2"/>
    <x v="1"/>
    <x v="8"/>
    <x v="1445"/>
    <n v="254.35"/>
    <n v="3"/>
    <n v="0"/>
    <x v="7"/>
    <x v="1"/>
  </r>
  <r>
    <n v="44789"/>
    <x v="569"/>
    <x v="2"/>
    <x v="0"/>
    <x v="3"/>
    <x v="950"/>
    <n v="3.76"/>
    <n v="3"/>
    <n v="-2.76"/>
    <x v="7"/>
    <x v="1"/>
  </r>
  <r>
    <n v="44789"/>
    <x v="569"/>
    <x v="2"/>
    <x v="0"/>
    <x v="0"/>
    <x v="1017"/>
    <n v="10.27"/>
    <n v="3"/>
    <n v="3.21"/>
    <x v="7"/>
    <x v="1"/>
  </r>
  <r>
    <n v="44789"/>
    <x v="677"/>
    <x v="2"/>
    <x v="0"/>
    <x v="2"/>
    <x v="926"/>
    <n v="44.69"/>
    <n v="7"/>
    <n v="3.35"/>
    <x v="7"/>
    <x v="1"/>
  </r>
  <r>
    <n v="44789"/>
    <x v="677"/>
    <x v="2"/>
    <x v="1"/>
    <x v="11"/>
    <x v="1446"/>
    <n v="301.47000000000003"/>
    <n v="3"/>
    <n v="-205"/>
    <x v="7"/>
    <x v="1"/>
  </r>
  <r>
    <n v="44790"/>
    <x v="678"/>
    <x v="32"/>
    <x v="0"/>
    <x v="3"/>
    <x v="1447"/>
    <n v="52.2"/>
    <n v="9"/>
    <n v="23.49"/>
    <x v="7"/>
    <x v="1"/>
  </r>
  <r>
    <n v="44790"/>
    <x v="236"/>
    <x v="12"/>
    <x v="2"/>
    <x v="9"/>
    <x v="401"/>
    <n v="30.08"/>
    <n v="2"/>
    <n v="-5.26"/>
    <x v="7"/>
    <x v="1"/>
  </r>
  <r>
    <n v="44790"/>
    <x v="236"/>
    <x v="12"/>
    <x v="0"/>
    <x v="0"/>
    <x v="684"/>
    <n v="36.29"/>
    <n v="7"/>
    <n v="12.7"/>
    <x v="7"/>
    <x v="1"/>
  </r>
  <r>
    <n v="44790"/>
    <x v="236"/>
    <x v="12"/>
    <x v="0"/>
    <x v="4"/>
    <x v="1448"/>
    <n v="10.27"/>
    <n v="3"/>
    <n v="1.1599999999999999"/>
    <x v="7"/>
    <x v="1"/>
  </r>
  <r>
    <n v="44790"/>
    <x v="236"/>
    <x v="12"/>
    <x v="2"/>
    <x v="9"/>
    <x v="1151"/>
    <n v="252.8"/>
    <n v="4"/>
    <n v="-31.6"/>
    <x v="7"/>
    <x v="1"/>
  </r>
  <r>
    <n v="44794"/>
    <x v="327"/>
    <x v="3"/>
    <x v="1"/>
    <x v="5"/>
    <x v="668"/>
    <n v="544.01"/>
    <n v="3"/>
    <n v="40.799999999999997"/>
    <x v="7"/>
    <x v="1"/>
  </r>
  <r>
    <n v="44794"/>
    <x v="327"/>
    <x v="3"/>
    <x v="0"/>
    <x v="0"/>
    <x v="1449"/>
    <n v="59.94"/>
    <n v="3"/>
    <n v="28.17"/>
    <x v="7"/>
    <x v="1"/>
  </r>
  <r>
    <n v="44794"/>
    <x v="327"/>
    <x v="3"/>
    <x v="0"/>
    <x v="0"/>
    <x v="1035"/>
    <n v="23.92"/>
    <n v="4"/>
    <n v="11.72"/>
    <x v="7"/>
    <x v="1"/>
  </r>
  <r>
    <n v="44794"/>
    <x v="327"/>
    <x v="3"/>
    <x v="0"/>
    <x v="0"/>
    <x v="1186"/>
    <n v="4.28"/>
    <n v="1"/>
    <n v="1.93"/>
    <x v="7"/>
    <x v="1"/>
  </r>
  <r>
    <n v="44794"/>
    <x v="171"/>
    <x v="3"/>
    <x v="1"/>
    <x v="11"/>
    <x v="1450"/>
    <n v="586.4"/>
    <n v="6"/>
    <n v="34.49"/>
    <x v="7"/>
    <x v="1"/>
  </r>
  <r>
    <n v="44794"/>
    <x v="171"/>
    <x v="3"/>
    <x v="0"/>
    <x v="2"/>
    <x v="161"/>
    <n v="80.98"/>
    <n v="1"/>
    <n v="3.24"/>
    <x v="7"/>
    <x v="1"/>
  </r>
  <r>
    <n v="44794"/>
    <x v="549"/>
    <x v="10"/>
    <x v="0"/>
    <x v="3"/>
    <x v="583"/>
    <n v="12.83"/>
    <n v="2"/>
    <n v="-8.98"/>
    <x v="7"/>
    <x v="1"/>
  </r>
  <r>
    <n v="44794"/>
    <x v="549"/>
    <x v="10"/>
    <x v="1"/>
    <x v="5"/>
    <x v="160"/>
    <n v="598.46"/>
    <n v="3"/>
    <n v="-42.75"/>
    <x v="7"/>
    <x v="1"/>
  </r>
  <r>
    <n v="44794"/>
    <x v="549"/>
    <x v="10"/>
    <x v="1"/>
    <x v="8"/>
    <x v="960"/>
    <n v="25.98"/>
    <n v="1"/>
    <n v="-3.9"/>
    <x v="7"/>
    <x v="1"/>
  </r>
  <r>
    <n v="44794"/>
    <x v="418"/>
    <x v="5"/>
    <x v="0"/>
    <x v="4"/>
    <x v="1451"/>
    <n v="17.52"/>
    <n v="3"/>
    <n v="8.23"/>
    <x v="7"/>
    <x v="1"/>
  </r>
  <r>
    <n v="44794"/>
    <x v="418"/>
    <x v="5"/>
    <x v="0"/>
    <x v="4"/>
    <x v="614"/>
    <n v="35.76"/>
    <n v="12"/>
    <n v="10.01"/>
    <x v="7"/>
    <x v="1"/>
  </r>
  <r>
    <n v="44794"/>
    <x v="88"/>
    <x v="2"/>
    <x v="0"/>
    <x v="14"/>
    <x v="488"/>
    <n v="3.49"/>
    <n v="2"/>
    <n v="-0.7"/>
    <x v="7"/>
    <x v="1"/>
  </r>
  <r>
    <n v="44794"/>
    <x v="88"/>
    <x v="2"/>
    <x v="2"/>
    <x v="9"/>
    <x v="1206"/>
    <n v="21.73"/>
    <n v="4"/>
    <n v="3.8"/>
    <x v="7"/>
    <x v="1"/>
  </r>
  <r>
    <n v="44794"/>
    <x v="88"/>
    <x v="2"/>
    <x v="0"/>
    <x v="2"/>
    <x v="332"/>
    <n v="663.07"/>
    <n v="6"/>
    <n v="-165.77"/>
    <x v="7"/>
    <x v="1"/>
  </r>
  <r>
    <n v="44794"/>
    <x v="88"/>
    <x v="2"/>
    <x v="0"/>
    <x v="3"/>
    <x v="398"/>
    <n v="99.59"/>
    <n v="2"/>
    <n v="-82.99"/>
    <x v="7"/>
    <x v="1"/>
  </r>
  <r>
    <n v="44794"/>
    <x v="88"/>
    <x v="2"/>
    <x v="0"/>
    <x v="0"/>
    <x v="1029"/>
    <n v="49.57"/>
    <n v="2"/>
    <n v="15.49"/>
    <x v="7"/>
    <x v="1"/>
  </r>
  <r>
    <n v="44795"/>
    <x v="679"/>
    <x v="20"/>
    <x v="0"/>
    <x v="3"/>
    <x v="594"/>
    <n v="50.11"/>
    <n v="6"/>
    <n v="16.29"/>
    <x v="7"/>
    <x v="1"/>
  </r>
  <r>
    <n v="44795"/>
    <x v="680"/>
    <x v="20"/>
    <x v="0"/>
    <x v="4"/>
    <x v="146"/>
    <n v="16.52"/>
    <n v="4"/>
    <n v="7.6"/>
    <x v="7"/>
    <x v="1"/>
  </r>
  <r>
    <n v="44796"/>
    <x v="210"/>
    <x v="1"/>
    <x v="0"/>
    <x v="14"/>
    <x v="1452"/>
    <n v="31.68"/>
    <n v="4"/>
    <n v="2.77"/>
    <x v="7"/>
    <x v="1"/>
  </r>
  <r>
    <n v="44796"/>
    <x v="210"/>
    <x v="1"/>
    <x v="0"/>
    <x v="0"/>
    <x v="1453"/>
    <n v="10.37"/>
    <n v="2"/>
    <n v="3.63"/>
    <x v="7"/>
    <x v="1"/>
  </r>
  <r>
    <n v="44796"/>
    <x v="210"/>
    <x v="1"/>
    <x v="0"/>
    <x v="7"/>
    <x v="78"/>
    <n v="12.03"/>
    <n v="8"/>
    <n v="2.2599999999999998"/>
    <x v="7"/>
    <x v="1"/>
  </r>
  <r>
    <n v="44796"/>
    <x v="210"/>
    <x v="1"/>
    <x v="0"/>
    <x v="12"/>
    <x v="366"/>
    <n v="5.77"/>
    <n v="2"/>
    <n v="-13.55"/>
    <x v="7"/>
    <x v="1"/>
  </r>
  <r>
    <n v="44796"/>
    <x v="681"/>
    <x v="4"/>
    <x v="0"/>
    <x v="12"/>
    <x v="1178"/>
    <n v="542.94000000000005"/>
    <n v="3"/>
    <n v="152.02000000000001"/>
    <x v="7"/>
    <x v="1"/>
  </r>
  <r>
    <n v="44796"/>
    <x v="681"/>
    <x v="4"/>
    <x v="0"/>
    <x v="1"/>
    <x v="1454"/>
    <n v="8.64"/>
    <n v="3"/>
    <n v="4.2300000000000004"/>
    <x v="7"/>
    <x v="1"/>
  </r>
  <r>
    <n v="44796"/>
    <x v="681"/>
    <x v="4"/>
    <x v="0"/>
    <x v="0"/>
    <x v="426"/>
    <n v="193.8"/>
    <n v="5"/>
    <n v="94.96"/>
    <x v="7"/>
    <x v="1"/>
  </r>
  <r>
    <n v="44796"/>
    <x v="681"/>
    <x v="4"/>
    <x v="0"/>
    <x v="0"/>
    <x v="1351"/>
    <n v="21.4"/>
    <n v="5"/>
    <n v="9.6300000000000008"/>
    <x v="7"/>
    <x v="1"/>
  </r>
  <r>
    <n v="44796"/>
    <x v="681"/>
    <x v="4"/>
    <x v="0"/>
    <x v="0"/>
    <x v="1455"/>
    <n v="97.88"/>
    <n v="2"/>
    <n v="48.94"/>
    <x v="7"/>
    <x v="1"/>
  </r>
  <r>
    <n v="44796"/>
    <x v="681"/>
    <x v="4"/>
    <x v="2"/>
    <x v="9"/>
    <x v="973"/>
    <n v="251.91"/>
    <n v="9"/>
    <n v="47.86"/>
    <x v="7"/>
    <x v="1"/>
  </r>
  <r>
    <n v="44796"/>
    <x v="681"/>
    <x v="4"/>
    <x v="0"/>
    <x v="12"/>
    <x v="882"/>
    <n v="25.86"/>
    <n v="3"/>
    <n v="6.72"/>
    <x v="7"/>
    <x v="1"/>
  </r>
  <r>
    <n v="44797"/>
    <x v="92"/>
    <x v="0"/>
    <x v="0"/>
    <x v="2"/>
    <x v="168"/>
    <n v="999.43"/>
    <n v="7"/>
    <n v="124.93"/>
    <x v="7"/>
    <x v="1"/>
  </r>
  <r>
    <n v="44797"/>
    <x v="92"/>
    <x v="0"/>
    <x v="0"/>
    <x v="2"/>
    <x v="242"/>
    <n v="724.08"/>
    <n v="14"/>
    <n v="-135.77000000000001"/>
    <x v="7"/>
    <x v="1"/>
  </r>
  <r>
    <n v="44797"/>
    <x v="92"/>
    <x v="0"/>
    <x v="1"/>
    <x v="13"/>
    <x v="989"/>
    <n v="918.79"/>
    <n v="5"/>
    <n v="-118.13"/>
    <x v="7"/>
    <x v="1"/>
  </r>
  <r>
    <n v="44797"/>
    <x v="92"/>
    <x v="0"/>
    <x v="0"/>
    <x v="3"/>
    <x v="362"/>
    <n v="2.72"/>
    <n v="3"/>
    <n v="-4.22"/>
    <x v="7"/>
    <x v="1"/>
  </r>
  <r>
    <n v="44797"/>
    <x v="654"/>
    <x v="20"/>
    <x v="1"/>
    <x v="13"/>
    <x v="444"/>
    <n v="284.36"/>
    <n v="2"/>
    <n v="-75.83"/>
    <x v="7"/>
    <x v="1"/>
  </r>
  <r>
    <n v="44797"/>
    <x v="654"/>
    <x v="20"/>
    <x v="2"/>
    <x v="9"/>
    <x v="17"/>
    <n v="26"/>
    <n v="2"/>
    <n v="11.7"/>
    <x v="7"/>
    <x v="1"/>
  </r>
  <r>
    <n v="44797"/>
    <x v="682"/>
    <x v="5"/>
    <x v="2"/>
    <x v="15"/>
    <x v="1214"/>
    <n v="3080"/>
    <n v="7"/>
    <n v="1416.8"/>
    <x v="7"/>
    <x v="1"/>
  </r>
  <r>
    <n v="44797"/>
    <x v="682"/>
    <x v="5"/>
    <x v="2"/>
    <x v="9"/>
    <x v="1291"/>
    <n v="79.959999999999994"/>
    <n v="4"/>
    <n v="18.39"/>
    <x v="7"/>
    <x v="1"/>
  </r>
  <r>
    <n v="44797"/>
    <x v="682"/>
    <x v="5"/>
    <x v="2"/>
    <x v="6"/>
    <x v="1254"/>
    <n v="587.97"/>
    <n v="3"/>
    <n v="170.51"/>
    <x v="7"/>
    <x v="1"/>
  </r>
  <r>
    <n v="44797"/>
    <x v="59"/>
    <x v="20"/>
    <x v="1"/>
    <x v="8"/>
    <x v="20"/>
    <n v="14.91"/>
    <n v="3"/>
    <n v="4.62"/>
    <x v="7"/>
    <x v="1"/>
  </r>
  <r>
    <n v="44797"/>
    <x v="445"/>
    <x v="11"/>
    <x v="0"/>
    <x v="4"/>
    <x v="614"/>
    <n v="7.15"/>
    <n v="3"/>
    <n v="0.72"/>
    <x v="7"/>
    <x v="1"/>
  </r>
  <r>
    <n v="44797"/>
    <x v="102"/>
    <x v="10"/>
    <x v="2"/>
    <x v="6"/>
    <x v="1456"/>
    <n v="26.98"/>
    <n v="3"/>
    <n v="4.05"/>
    <x v="7"/>
    <x v="1"/>
  </r>
  <r>
    <n v="44797"/>
    <x v="102"/>
    <x v="10"/>
    <x v="0"/>
    <x v="1"/>
    <x v="1454"/>
    <n v="6.91"/>
    <n v="3"/>
    <n v="2.5099999999999998"/>
    <x v="7"/>
    <x v="1"/>
  </r>
  <r>
    <n v="44797"/>
    <x v="102"/>
    <x v="10"/>
    <x v="0"/>
    <x v="2"/>
    <x v="986"/>
    <n v="435.5"/>
    <n v="3"/>
    <n v="48.99"/>
    <x v="7"/>
    <x v="1"/>
  </r>
  <r>
    <n v="44798"/>
    <x v="483"/>
    <x v="3"/>
    <x v="1"/>
    <x v="5"/>
    <x v="908"/>
    <n v="40.78"/>
    <n v="1"/>
    <n v="4.59"/>
    <x v="7"/>
    <x v="1"/>
  </r>
  <r>
    <n v="44798"/>
    <x v="483"/>
    <x v="3"/>
    <x v="0"/>
    <x v="12"/>
    <x v="244"/>
    <n v="105.96"/>
    <n v="4"/>
    <n v="29.67"/>
    <x v="7"/>
    <x v="1"/>
  </r>
  <r>
    <n v="44798"/>
    <x v="260"/>
    <x v="0"/>
    <x v="1"/>
    <x v="8"/>
    <x v="1055"/>
    <n v="20.100000000000001"/>
    <n v="2"/>
    <n v="-16.59"/>
    <x v="7"/>
    <x v="1"/>
  </r>
  <r>
    <n v="44798"/>
    <x v="260"/>
    <x v="0"/>
    <x v="0"/>
    <x v="3"/>
    <x v="1135"/>
    <n v="3.8"/>
    <n v="1"/>
    <n v="-6.08"/>
    <x v="7"/>
    <x v="1"/>
  </r>
  <r>
    <n v="44798"/>
    <x v="260"/>
    <x v="0"/>
    <x v="1"/>
    <x v="8"/>
    <x v="1457"/>
    <n v="7.88"/>
    <n v="5"/>
    <n v="-3.94"/>
    <x v="7"/>
    <x v="1"/>
  </r>
  <r>
    <n v="44800"/>
    <x v="371"/>
    <x v="3"/>
    <x v="0"/>
    <x v="2"/>
    <x v="899"/>
    <n v="484.65"/>
    <n v="3"/>
    <n v="92.08"/>
    <x v="7"/>
    <x v="1"/>
  </r>
  <r>
    <n v="44800"/>
    <x v="413"/>
    <x v="3"/>
    <x v="0"/>
    <x v="14"/>
    <x v="1458"/>
    <n v="32.94"/>
    <n v="3"/>
    <n v="9.2200000000000006"/>
    <x v="7"/>
    <x v="1"/>
  </r>
  <r>
    <n v="44800"/>
    <x v="413"/>
    <x v="3"/>
    <x v="0"/>
    <x v="0"/>
    <x v="1309"/>
    <n v="114.2"/>
    <n v="5"/>
    <n v="52.53"/>
    <x v="7"/>
    <x v="1"/>
  </r>
  <r>
    <n v="44800"/>
    <x v="413"/>
    <x v="3"/>
    <x v="0"/>
    <x v="1"/>
    <x v="1459"/>
    <n v="3.08"/>
    <n v="1"/>
    <n v="1.48"/>
    <x v="7"/>
    <x v="1"/>
  </r>
  <r>
    <n v="44800"/>
    <x v="570"/>
    <x v="3"/>
    <x v="0"/>
    <x v="3"/>
    <x v="405"/>
    <n v="5.0999999999999996"/>
    <n v="1"/>
    <n v="1.66"/>
    <x v="7"/>
    <x v="1"/>
  </r>
  <r>
    <n v="44801"/>
    <x v="477"/>
    <x v="1"/>
    <x v="2"/>
    <x v="16"/>
    <x v="559"/>
    <n v="2799.96"/>
    <n v="5"/>
    <n v="874.99"/>
    <x v="7"/>
    <x v="1"/>
  </r>
  <r>
    <n v="44801"/>
    <x v="92"/>
    <x v="3"/>
    <x v="0"/>
    <x v="2"/>
    <x v="168"/>
    <n v="892.35"/>
    <n v="5"/>
    <n v="267.70999999999998"/>
    <x v="7"/>
    <x v="1"/>
  </r>
  <r>
    <n v="44801"/>
    <x v="92"/>
    <x v="3"/>
    <x v="1"/>
    <x v="11"/>
    <x v="1212"/>
    <n v="307.67"/>
    <n v="2"/>
    <n v="28.96"/>
    <x v="7"/>
    <x v="1"/>
  </r>
  <r>
    <n v="44801"/>
    <x v="92"/>
    <x v="3"/>
    <x v="0"/>
    <x v="2"/>
    <x v="161"/>
    <n v="728.82"/>
    <n v="9"/>
    <n v="29.15"/>
    <x v="7"/>
    <x v="1"/>
  </r>
  <r>
    <n v="44801"/>
    <x v="92"/>
    <x v="3"/>
    <x v="0"/>
    <x v="3"/>
    <x v="140"/>
    <n v="41.36"/>
    <n v="5"/>
    <n v="13.96"/>
    <x v="7"/>
    <x v="1"/>
  </r>
  <r>
    <n v="44801"/>
    <x v="92"/>
    <x v="3"/>
    <x v="2"/>
    <x v="6"/>
    <x v="764"/>
    <n v="43.18"/>
    <n v="3"/>
    <n v="15.11"/>
    <x v="7"/>
    <x v="1"/>
  </r>
  <r>
    <n v="44801"/>
    <x v="92"/>
    <x v="3"/>
    <x v="1"/>
    <x v="8"/>
    <x v="152"/>
    <n v="4.16"/>
    <n v="2"/>
    <n v="1.75"/>
    <x v="7"/>
    <x v="1"/>
  </r>
  <r>
    <n v="44801"/>
    <x v="624"/>
    <x v="0"/>
    <x v="2"/>
    <x v="6"/>
    <x v="1404"/>
    <n v="1099.96"/>
    <n v="5"/>
    <n v="82.5"/>
    <x v="7"/>
    <x v="1"/>
  </r>
  <r>
    <n v="44801"/>
    <x v="624"/>
    <x v="0"/>
    <x v="1"/>
    <x v="13"/>
    <x v="848"/>
    <n v="103.48"/>
    <n v="1"/>
    <n v="-16.260000000000002"/>
    <x v="7"/>
    <x v="1"/>
  </r>
  <r>
    <n v="44801"/>
    <x v="436"/>
    <x v="37"/>
    <x v="0"/>
    <x v="2"/>
    <x v="434"/>
    <n v="470.36"/>
    <n v="11"/>
    <n v="122.29"/>
    <x v="7"/>
    <x v="1"/>
  </r>
  <r>
    <n v="44802"/>
    <x v="570"/>
    <x v="14"/>
    <x v="2"/>
    <x v="6"/>
    <x v="987"/>
    <n v="131.97999999999999"/>
    <n v="2"/>
    <n v="35.630000000000003"/>
    <x v="7"/>
    <x v="1"/>
  </r>
  <r>
    <n v="44802"/>
    <x v="570"/>
    <x v="14"/>
    <x v="2"/>
    <x v="9"/>
    <x v="665"/>
    <n v="114.52"/>
    <n v="7"/>
    <n v="11.45"/>
    <x v="7"/>
    <x v="1"/>
  </r>
  <r>
    <n v="44804"/>
    <x v="177"/>
    <x v="3"/>
    <x v="0"/>
    <x v="0"/>
    <x v="291"/>
    <n v="58.32"/>
    <n v="9"/>
    <n v="27.99"/>
    <x v="7"/>
    <x v="1"/>
  </r>
  <r>
    <n v="44804"/>
    <x v="134"/>
    <x v="3"/>
    <x v="1"/>
    <x v="11"/>
    <x v="1028"/>
    <n v="1552.83"/>
    <n v="7"/>
    <n v="200.95"/>
    <x v="7"/>
    <x v="1"/>
  </r>
  <r>
    <n v="44804"/>
    <x v="134"/>
    <x v="3"/>
    <x v="0"/>
    <x v="3"/>
    <x v="213"/>
    <n v="137.24"/>
    <n v="5"/>
    <n v="46.32"/>
    <x v="7"/>
    <x v="1"/>
  </r>
  <r>
    <n v="44804"/>
    <x v="134"/>
    <x v="3"/>
    <x v="2"/>
    <x v="9"/>
    <x v="1003"/>
    <n v="36.51"/>
    <n v="1"/>
    <n v="15.7"/>
    <x v="7"/>
    <x v="1"/>
  </r>
  <r>
    <n v="44804"/>
    <x v="134"/>
    <x v="3"/>
    <x v="2"/>
    <x v="15"/>
    <x v="1460"/>
    <n v="239.98"/>
    <n v="3"/>
    <n v="80.989999999999995"/>
    <x v="7"/>
    <x v="1"/>
  </r>
  <r>
    <n v="44804"/>
    <x v="26"/>
    <x v="0"/>
    <x v="0"/>
    <x v="0"/>
    <x v="521"/>
    <n v="20.96"/>
    <n v="4"/>
    <n v="6.81"/>
    <x v="7"/>
    <x v="1"/>
  </r>
  <r>
    <n v="44804"/>
    <x v="511"/>
    <x v="3"/>
    <x v="2"/>
    <x v="6"/>
    <x v="1008"/>
    <n v="555.96"/>
    <n v="5"/>
    <n v="41.7"/>
    <x v="7"/>
    <x v="1"/>
  </r>
  <r>
    <n v="44805"/>
    <x v="440"/>
    <x v="3"/>
    <x v="0"/>
    <x v="3"/>
    <x v="56"/>
    <n v="4.75"/>
    <n v="1"/>
    <n v="1.6"/>
    <x v="8"/>
    <x v="1"/>
  </r>
  <r>
    <n v="44805"/>
    <x v="440"/>
    <x v="3"/>
    <x v="2"/>
    <x v="16"/>
    <x v="377"/>
    <n v="959.98"/>
    <n v="2"/>
    <n v="335.99"/>
    <x v="8"/>
    <x v="1"/>
  </r>
  <r>
    <n v="44805"/>
    <x v="440"/>
    <x v="3"/>
    <x v="0"/>
    <x v="3"/>
    <x v="263"/>
    <n v="14.37"/>
    <n v="4"/>
    <n v="4.49"/>
    <x v="8"/>
    <x v="1"/>
  </r>
  <r>
    <n v="44805"/>
    <x v="108"/>
    <x v="32"/>
    <x v="0"/>
    <x v="3"/>
    <x v="1461"/>
    <n v="114.6"/>
    <n v="5"/>
    <n v="51.57"/>
    <x v="8"/>
    <x v="1"/>
  </r>
  <r>
    <n v="44805"/>
    <x v="108"/>
    <x v="32"/>
    <x v="1"/>
    <x v="5"/>
    <x v="664"/>
    <n v="60.74"/>
    <n v="1"/>
    <n v="15.19"/>
    <x v="8"/>
    <x v="1"/>
  </r>
  <r>
    <n v="44805"/>
    <x v="108"/>
    <x v="32"/>
    <x v="1"/>
    <x v="8"/>
    <x v="403"/>
    <n v="124.36"/>
    <n v="2"/>
    <n v="27.36"/>
    <x v="8"/>
    <x v="1"/>
  </r>
  <r>
    <n v="44805"/>
    <x v="108"/>
    <x v="32"/>
    <x v="0"/>
    <x v="2"/>
    <x v="986"/>
    <n v="1088.76"/>
    <n v="6"/>
    <n v="315.74"/>
    <x v="8"/>
    <x v="1"/>
  </r>
  <r>
    <n v="44807"/>
    <x v="520"/>
    <x v="25"/>
    <x v="0"/>
    <x v="10"/>
    <x v="1353"/>
    <n v="200.98"/>
    <n v="7"/>
    <n v="62.81"/>
    <x v="8"/>
    <x v="1"/>
  </r>
  <r>
    <n v="44807"/>
    <x v="110"/>
    <x v="2"/>
    <x v="0"/>
    <x v="2"/>
    <x v="835"/>
    <n v="36.340000000000003"/>
    <n v="3"/>
    <n v="-7.27"/>
    <x v="8"/>
    <x v="1"/>
  </r>
  <r>
    <n v="44807"/>
    <x v="110"/>
    <x v="2"/>
    <x v="0"/>
    <x v="14"/>
    <x v="270"/>
    <n v="666.25"/>
    <n v="1"/>
    <n v="-149.91"/>
    <x v="8"/>
    <x v="1"/>
  </r>
  <r>
    <n v="44807"/>
    <x v="110"/>
    <x v="2"/>
    <x v="0"/>
    <x v="10"/>
    <x v="944"/>
    <n v="52.51"/>
    <n v="6"/>
    <n v="19.690000000000001"/>
    <x v="8"/>
    <x v="1"/>
  </r>
  <r>
    <n v="44807"/>
    <x v="639"/>
    <x v="3"/>
    <x v="0"/>
    <x v="2"/>
    <x v="1462"/>
    <n v="31.44"/>
    <n v="3"/>
    <n v="8.49"/>
    <x v="8"/>
    <x v="1"/>
  </r>
  <r>
    <n v="44807"/>
    <x v="639"/>
    <x v="3"/>
    <x v="2"/>
    <x v="9"/>
    <x v="907"/>
    <n v="17.899999999999999"/>
    <n v="2"/>
    <n v="3.4"/>
    <x v="8"/>
    <x v="1"/>
  </r>
  <r>
    <n v="44807"/>
    <x v="639"/>
    <x v="3"/>
    <x v="2"/>
    <x v="9"/>
    <x v="1326"/>
    <n v="129.44999999999999"/>
    <n v="5"/>
    <n v="46.6"/>
    <x v="8"/>
    <x v="1"/>
  </r>
  <r>
    <n v="44807"/>
    <x v="403"/>
    <x v="37"/>
    <x v="0"/>
    <x v="12"/>
    <x v="52"/>
    <n v="137.62"/>
    <n v="2"/>
    <n v="60.55"/>
    <x v="8"/>
    <x v="1"/>
  </r>
  <r>
    <n v="44807"/>
    <x v="403"/>
    <x v="37"/>
    <x v="2"/>
    <x v="6"/>
    <x v="1026"/>
    <n v="100.49"/>
    <n v="1"/>
    <n v="25.12"/>
    <x v="8"/>
    <x v="1"/>
  </r>
  <r>
    <n v="44807"/>
    <x v="403"/>
    <x v="20"/>
    <x v="0"/>
    <x v="2"/>
    <x v="1407"/>
    <n v="120.33"/>
    <n v="1"/>
    <n v="31.29"/>
    <x v="8"/>
    <x v="1"/>
  </r>
  <r>
    <n v="44807"/>
    <x v="326"/>
    <x v="3"/>
    <x v="1"/>
    <x v="5"/>
    <x v="591"/>
    <n v="129.57"/>
    <n v="2"/>
    <n v="-12.96"/>
    <x v="8"/>
    <x v="1"/>
  </r>
  <r>
    <n v="44807"/>
    <x v="326"/>
    <x v="3"/>
    <x v="0"/>
    <x v="3"/>
    <x v="881"/>
    <n v="6.37"/>
    <n v="2"/>
    <n v="2.15"/>
    <x v="8"/>
    <x v="1"/>
  </r>
  <r>
    <n v="44807"/>
    <x v="552"/>
    <x v="12"/>
    <x v="1"/>
    <x v="8"/>
    <x v="1328"/>
    <n v="238.15"/>
    <n v="3"/>
    <n v="89.31"/>
    <x v="8"/>
    <x v="1"/>
  </r>
  <r>
    <n v="44807"/>
    <x v="209"/>
    <x v="14"/>
    <x v="0"/>
    <x v="1"/>
    <x v="228"/>
    <n v="7.5"/>
    <n v="2"/>
    <n v="3.6"/>
    <x v="8"/>
    <x v="1"/>
  </r>
  <r>
    <n v="44808"/>
    <x v="349"/>
    <x v="4"/>
    <x v="0"/>
    <x v="0"/>
    <x v="1463"/>
    <n v="279.89999999999998"/>
    <n v="5"/>
    <n v="137.15"/>
    <x v="8"/>
    <x v="1"/>
  </r>
  <r>
    <n v="44808"/>
    <x v="349"/>
    <x v="4"/>
    <x v="2"/>
    <x v="9"/>
    <x v="1464"/>
    <n v="619.95000000000005"/>
    <n v="5"/>
    <n v="111.59"/>
    <x v="8"/>
    <x v="1"/>
  </r>
  <r>
    <n v="44808"/>
    <x v="349"/>
    <x v="4"/>
    <x v="0"/>
    <x v="0"/>
    <x v="988"/>
    <n v="4.3600000000000003"/>
    <n v="2"/>
    <n v="2.0499999999999998"/>
    <x v="8"/>
    <x v="1"/>
  </r>
  <r>
    <n v="44808"/>
    <x v="349"/>
    <x v="4"/>
    <x v="0"/>
    <x v="10"/>
    <x v="464"/>
    <n v="15.28"/>
    <n v="2"/>
    <n v="7.49"/>
    <x v="8"/>
    <x v="1"/>
  </r>
  <r>
    <n v="44808"/>
    <x v="127"/>
    <x v="11"/>
    <x v="0"/>
    <x v="3"/>
    <x v="999"/>
    <n v="9.76"/>
    <n v="2"/>
    <n v="-6.83"/>
    <x v="8"/>
    <x v="1"/>
  </r>
  <r>
    <n v="44808"/>
    <x v="171"/>
    <x v="0"/>
    <x v="2"/>
    <x v="9"/>
    <x v="378"/>
    <n v="134.38"/>
    <n v="3"/>
    <n v="6.72"/>
    <x v="8"/>
    <x v="1"/>
  </r>
  <r>
    <n v="44808"/>
    <x v="678"/>
    <x v="2"/>
    <x v="0"/>
    <x v="3"/>
    <x v="405"/>
    <n v="7.66"/>
    <n v="4"/>
    <n v="-6.12"/>
    <x v="8"/>
    <x v="1"/>
  </r>
  <r>
    <n v="44809"/>
    <x v="316"/>
    <x v="3"/>
    <x v="1"/>
    <x v="11"/>
    <x v="1102"/>
    <n v="411.33"/>
    <n v="4"/>
    <n v="-4.84"/>
    <x v="8"/>
    <x v="1"/>
  </r>
  <r>
    <n v="44809"/>
    <x v="316"/>
    <x v="3"/>
    <x v="0"/>
    <x v="3"/>
    <x v="1320"/>
    <n v="28.75"/>
    <n v="6"/>
    <n v="9.6999999999999993"/>
    <x v="8"/>
    <x v="1"/>
  </r>
  <r>
    <n v="44809"/>
    <x v="316"/>
    <x v="3"/>
    <x v="1"/>
    <x v="11"/>
    <x v="1093"/>
    <n v="293.2"/>
    <n v="3"/>
    <n v="-20.7"/>
    <x v="8"/>
    <x v="1"/>
  </r>
  <r>
    <n v="44809"/>
    <x v="683"/>
    <x v="0"/>
    <x v="0"/>
    <x v="3"/>
    <x v="999"/>
    <n v="16.27"/>
    <n v="5"/>
    <n v="-25.22"/>
    <x v="8"/>
    <x v="1"/>
  </r>
  <r>
    <n v="44809"/>
    <x v="683"/>
    <x v="0"/>
    <x v="0"/>
    <x v="14"/>
    <x v="906"/>
    <n v="69.12"/>
    <n v="9"/>
    <n v="-14.69"/>
    <x v="8"/>
    <x v="1"/>
  </r>
  <r>
    <n v="44809"/>
    <x v="683"/>
    <x v="0"/>
    <x v="0"/>
    <x v="3"/>
    <x v="15"/>
    <n v="4.47"/>
    <n v="3"/>
    <n v="-7.82"/>
    <x v="8"/>
    <x v="1"/>
  </r>
  <r>
    <n v="44809"/>
    <x v="569"/>
    <x v="28"/>
    <x v="1"/>
    <x v="8"/>
    <x v="895"/>
    <n v="6.16"/>
    <n v="2"/>
    <n v="2.96"/>
    <x v="8"/>
    <x v="1"/>
  </r>
  <r>
    <n v="44809"/>
    <x v="569"/>
    <x v="28"/>
    <x v="0"/>
    <x v="0"/>
    <x v="572"/>
    <n v="36.840000000000003"/>
    <n v="3"/>
    <n v="17.309999999999999"/>
    <x v="8"/>
    <x v="1"/>
  </r>
  <r>
    <n v="44809"/>
    <x v="581"/>
    <x v="6"/>
    <x v="1"/>
    <x v="8"/>
    <x v="1465"/>
    <n v="67.959999999999994"/>
    <n v="4"/>
    <n v="12.23"/>
    <x v="8"/>
    <x v="1"/>
  </r>
  <r>
    <n v="44810"/>
    <x v="165"/>
    <x v="22"/>
    <x v="0"/>
    <x v="3"/>
    <x v="595"/>
    <n v="6.1"/>
    <n v="2"/>
    <n v="2.13"/>
    <x v="8"/>
    <x v="1"/>
  </r>
  <r>
    <n v="44810"/>
    <x v="165"/>
    <x v="22"/>
    <x v="1"/>
    <x v="8"/>
    <x v="1466"/>
    <n v="191.82"/>
    <n v="3"/>
    <n v="74.81"/>
    <x v="8"/>
    <x v="1"/>
  </r>
  <r>
    <n v="44810"/>
    <x v="604"/>
    <x v="3"/>
    <x v="2"/>
    <x v="9"/>
    <x v="1234"/>
    <n v="46.32"/>
    <n v="4"/>
    <n v="18.059999999999999"/>
    <x v="8"/>
    <x v="1"/>
  </r>
  <r>
    <n v="44810"/>
    <x v="684"/>
    <x v="20"/>
    <x v="1"/>
    <x v="5"/>
    <x v="1022"/>
    <n v="271.76"/>
    <n v="2"/>
    <n v="60.39"/>
    <x v="8"/>
    <x v="1"/>
  </r>
  <r>
    <n v="44810"/>
    <x v="38"/>
    <x v="15"/>
    <x v="0"/>
    <x v="7"/>
    <x v="1144"/>
    <n v="7.24"/>
    <n v="5"/>
    <n v="1.18"/>
    <x v="8"/>
    <x v="1"/>
  </r>
  <r>
    <n v="44810"/>
    <x v="538"/>
    <x v="16"/>
    <x v="0"/>
    <x v="3"/>
    <x v="1467"/>
    <n v="3.44"/>
    <n v="1"/>
    <n v="-2.5299999999999998"/>
    <x v="8"/>
    <x v="1"/>
  </r>
  <r>
    <n v="44810"/>
    <x v="14"/>
    <x v="20"/>
    <x v="0"/>
    <x v="12"/>
    <x v="792"/>
    <n v="8.39"/>
    <n v="1"/>
    <n v="2.1"/>
    <x v="8"/>
    <x v="1"/>
  </r>
  <r>
    <n v="44810"/>
    <x v="14"/>
    <x v="20"/>
    <x v="2"/>
    <x v="6"/>
    <x v="1347"/>
    <n v="337.98"/>
    <n v="2"/>
    <n v="101.39"/>
    <x v="8"/>
    <x v="1"/>
  </r>
  <r>
    <n v="44810"/>
    <x v="340"/>
    <x v="6"/>
    <x v="0"/>
    <x v="3"/>
    <x v="730"/>
    <n v="46.62"/>
    <n v="9"/>
    <n v="21.45"/>
    <x v="8"/>
    <x v="1"/>
  </r>
  <r>
    <n v="44810"/>
    <x v="661"/>
    <x v="8"/>
    <x v="1"/>
    <x v="13"/>
    <x v="278"/>
    <n v="85.98"/>
    <n v="1"/>
    <n v="22.35"/>
    <x v="8"/>
    <x v="1"/>
  </r>
  <r>
    <n v="44811"/>
    <x v="454"/>
    <x v="3"/>
    <x v="0"/>
    <x v="2"/>
    <x v="1054"/>
    <n v="671.93"/>
    <n v="7"/>
    <n v="20.16"/>
    <x v="8"/>
    <x v="1"/>
  </r>
  <r>
    <n v="44811"/>
    <x v="309"/>
    <x v="0"/>
    <x v="1"/>
    <x v="5"/>
    <x v="633"/>
    <n v="47.52"/>
    <n v="2"/>
    <n v="-2.04"/>
    <x v="8"/>
    <x v="1"/>
  </r>
  <r>
    <n v="44811"/>
    <x v="387"/>
    <x v="20"/>
    <x v="0"/>
    <x v="2"/>
    <x v="132"/>
    <n v="13.96"/>
    <n v="2"/>
    <n v="0.28000000000000003"/>
    <x v="8"/>
    <x v="1"/>
  </r>
  <r>
    <n v="44811"/>
    <x v="387"/>
    <x v="20"/>
    <x v="1"/>
    <x v="13"/>
    <x v="1468"/>
    <n v="27.41"/>
    <n v="3"/>
    <n v="-14.16"/>
    <x v="8"/>
    <x v="1"/>
  </r>
  <r>
    <n v="44811"/>
    <x v="382"/>
    <x v="2"/>
    <x v="0"/>
    <x v="3"/>
    <x v="1469"/>
    <n v="9.52"/>
    <n v="1"/>
    <n v="-6.98"/>
    <x v="8"/>
    <x v="1"/>
  </r>
  <r>
    <n v="44811"/>
    <x v="382"/>
    <x v="2"/>
    <x v="2"/>
    <x v="6"/>
    <x v="449"/>
    <n v="791.96"/>
    <n v="6"/>
    <n v="-131.99"/>
    <x v="8"/>
    <x v="1"/>
  </r>
  <r>
    <n v="44811"/>
    <x v="382"/>
    <x v="2"/>
    <x v="0"/>
    <x v="3"/>
    <x v="420"/>
    <n v="4.92"/>
    <n v="3"/>
    <n v="-3.94"/>
    <x v="8"/>
    <x v="1"/>
  </r>
  <r>
    <n v="44811"/>
    <x v="369"/>
    <x v="25"/>
    <x v="0"/>
    <x v="4"/>
    <x v="487"/>
    <n v="140.74"/>
    <n v="4"/>
    <n v="12.31"/>
    <x v="8"/>
    <x v="1"/>
  </r>
  <r>
    <n v="44811"/>
    <x v="451"/>
    <x v="20"/>
    <x v="2"/>
    <x v="9"/>
    <x v="1300"/>
    <n v="559.92999999999995"/>
    <n v="7"/>
    <n v="167.98"/>
    <x v="8"/>
    <x v="1"/>
  </r>
  <r>
    <n v="44811"/>
    <x v="340"/>
    <x v="20"/>
    <x v="0"/>
    <x v="2"/>
    <x v="1440"/>
    <n v="70.260000000000005"/>
    <n v="3"/>
    <n v="18.97"/>
    <x v="8"/>
    <x v="1"/>
  </r>
  <r>
    <n v="44811"/>
    <x v="340"/>
    <x v="20"/>
    <x v="2"/>
    <x v="9"/>
    <x v="1470"/>
    <n v="90"/>
    <n v="5"/>
    <n v="16.2"/>
    <x v="8"/>
    <x v="1"/>
  </r>
  <r>
    <n v="44811"/>
    <x v="340"/>
    <x v="20"/>
    <x v="0"/>
    <x v="3"/>
    <x v="51"/>
    <n v="6.1"/>
    <n v="2"/>
    <n v="2.06"/>
    <x v="8"/>
    <x v="1"/>
  </r>
  <r>
    <n v="44811"/>
    <x v="340"/>
    <x v="20"/>
    <x v="1"/>
    <x v="13"/>
    <x v="748"/>
    <n v="481.18"/>
    <n v="2"/>
    <n v="-120.29"/>
    <x v="8"/>
    <x v="1"/>
  </r>
  <r>
    <n v="44811"/>
    <x v="340"/>
    <x v="20"/>
    <x v="0"/>
    <x v="7"/>
    <x v="1144"/>
    <n v="7.24"/>
    <n v="4"/>
    <n v="2.39"/>
    <x v="8"/>
    <x v="1"/>
  </r>
  <r>
    <n v="44812"/>
    <x v="685"/>
    <x v="3"/>
    <x v="0"/>
    <x v="0"/>
    <x v="1373"/>
    <n v="26.4"/>
    <n v="5"/>
    <n v="11.88"/>
    <x v="8"/>
    <x v="1"/>
  </r>
  <r>
    <n v="44812"/>
    <x v="685"/>
    <x v="3"/>
    <x v="0"/>
    <x v="2"/>
    <x v="132"/>
    <n v="41.88"/>
    <n v="6"/>
    <n v="0.84"/>
    <x v="8"/>
    <x v="1"/>
  </r>
  <r>
    <n v="44812"/>
    <x v="197"/>
    <x v="33"/>
    <x v="1"/>
    <x v="8"/>
    <x v="533"/>
    <n v="21.36"/>
    <n v="8"/>
    <n v="8.1199999999999992"/>
    <x v="8"/>
    <x v="1"/>
  </r>
  <r>
    <n v="44814"/>
    <x v="309"/>
    <x v="3"/>
    <x v="0"/>
    <x v="14"/>
    <x v="277"/>
    <n v="51.52"/>
    <n v="4"/>
    <n v="1.55"/>
    <x v="8"/>
    <x v="1"/>
  </r>
  <r>
    <n v="44814"/>
    <x v="69"/>
    <x v="39"/>
    <x v="0"/>
    <x v="0"/>
    <x v="971"/>
    <n v="14.94"/>
    <n v="3"/>
    <n v="7.02"/>
    <x v="8"/>
    <x v="1"/>
  </r>
  <r>
    <n v="44814"/>
    <x v="150"/>
    <x v="32"/>
    <x v="0"/>
    <x v="12"/>
    <x v="256"/>
    <n v="61.96"/>
    <n v="2"/>
    <n v="16.11"/>
    <x v="8"/>
    <x v="1"/>
  </r>
  <r>
    <n v="44814"/>
    <x v="150"/>
    <x v="32"/>
    <x v="1"/>
    <x v="11"/>
    <x v="1212"/>
    <n v="361.96"/>
    <n v="2"/>
    <n v="83.25"/>
    <x v="8"/>
    <x v="1"/>
  </r>
  <r>
    <n v="44814"/>
    <x v="150"/>
    <x v="32"/>
    <x v="0"/>
    <x v="0"/>
    <x v="842"/>
    <n v="278.82"/>
    <n v="9"/>
    <n v="125.47"/>
    <x v="8"/>
    <x v="1"/>
  </r>
  <r>
    <n v="44814"/>
    <x v="550"/>
    <x v="22"/>
    <x v="0"/>
    <x v="2"/>
    <x v="1471"/>
    <n v="353.88"/>
    <n v="6"/>
    <n v="17.690000000000001"/>
    <x v="8"/>
    <x v="1"/>
  </r>
  <r>
    <n v="44814"/>
    <x v="686"/>
    <x v="20"/>
    <x v="0"/>
    <x v="4"/>
    <x v="1472"/>
    <n v="6.08"/>
    <n v="2"/>
    <n v="2.0699999999999998"/>
    <x v="8"/>
    <x v="1"/>
  </r>
  <r>
    <n v="44814"/>
    <x v="410"/>
    <x v="3"/>
    <x v="1"/>
    <x v="8"/>
    <x v="1230"/>
    <n v="106.68"/>
    <n v="6"/>
    <n v="33.07"/>
    <x v="8"/>
    <x v="1"/>
  </r>
  <r>
    <n v="44814"/>
    <x v="592"/>
    <x v="0"/>
    <x v="1"/>
    <x v="5"/>
    <x v="435"/>
    <n v="179.89"/>
    <n v="1"/>
    <n v="-2.57"/>
    <x v="8"/>
    <x v="1"/>
  </r>
  <r>
    <n v="44815"/>
    <x v="236"/>
    <x v="3"/>
    <x v="0"/>
    <x v="4"/>
    <x v="1473"/>
    <n v="181.35"/>
    <n v="9"/>
    <n v="48.96"/>
    <x v="8"/>
    <x v="1"/>
  </r>
  <r>
    <n v="44815"/>
    <x v="236"/>
    <x v="3"/>
    <x v="0"/>
    <x v="1"/>
    <x v="1454"/>
    <n v="8.64"/>
    <n v="3"/>
    <n v="4.2300000000000004"/>
    <x v="8"/>
    <x v="1"/>
  </r>
  <r>
    <n v="44815"/>
    <x v="191"/>
    <x v="3"/>
    <x v="0"/>
    <x v="4"/>
    <x v="794"/>
    <n v="265.86"/>
    <n v="7"/>
    <n v="79.760000000000005"/>
    <x v="8"/>
    <x v="1"/>
  </r>
  <r>
    <n v="44815"/>
    <x v="286"/>
    <x v="20"/>
    <x v="1"/>
    <x v="8"/>
    <x v="888"/>
    <n v="210.68"/>
    <n v="2"/>
    <n v="50.56"/>
    <x v="8"/>
    <x v="1"/>
  </r>
  <r>
    <n v="44815"/>
    <x v="286"/>
    <x v="20"/>
    <x v="0"/>
    <x v="2"/>
    <x v="935"/>
    <n v="78.8"/>
    <n v="1"/>
    <n v="1.58"/>
    <x v="8"/>
    <x v="1"/>
  </r>
  <r>
    <n v="44815"/>
    <x v="286"/>
    <x v="20"/>
    <x v="2"/>
    <x v="9"/>
    <x v="1474"/>
    <n v="19.989999999999998"/>
    <n v="1"/>
    <n v="6.8"/>
    <x v="8"/>
    <x v="1"/>
  </r>
  <r>
    <n v="44815"/>
    <x v="286"/>
    <x v="20"/>
    <x v="0"/>
    <x v="2"/>
    <x v="917"/>
    <n v="772.68"/>
    <n v="4"/>
    <n v="108.18"/>
    <x v="8"/>
    <x v="1"/>
  </r>
  <r>
    <n v="44815"/>
    <x v="169"/>
    <x v="26"/>
    <x v="1"/>
    <x v="8"/>
    <x v="1475"/>
    <n v="24.64"/>
    <n v="4"/>
    <n v="4"/>
    <x v="8"/>
    <x v="1"/>
  </r>
  <r>
    <n v="44815"/>
    <x v="659"/>
    <x v="23"/>
    <x v="0"/>
    <x v="1"/>
    <x v="1476"/>
    <n v="31.05"/>
    <n v="3"/>
    <n v="14.9"/>
    <x v="8"/>
    <x v="1"/>
  </r>
  <r>
    <n v="44815"/>
    <x v="659"/>
    <x v="23"/>
    <x v="1"/>
    <x v="8"/>
    <x v="928"/>
    <n v="8.92"/>
    <n v="4"/>
    <n v="3.92"/>
    <x v="8"/>
    <x v="1"/>
  </r>
  <r>
    <n v="44815"/>
    <x v="659"/>
    <x v="23"/>
    <x v="0"/>
    <x v="3"/>
    <x v="81"/>
    <n v="209.6"/>
    <n v="4"/>
    <n v="96.42"/>
    <x v="8"/>
    <x v="1"/>
  </r>
  <r>
    <n v="44815"/>
    <x v="659"/>
    <x v="23"/>
    <x v="0"/>
    <x v="12"/>
    <x v="519"/>
    <n v="111.04"/>
    <n v="4"/>
    <n v="29.98"/>
    <x v="8"/>
    <x v="1"/>
  </r>
  <r>
    <n v="44815"/>
    <x v="659"/>
    <x v="23"/>
    <x v="0"/>
    <x v="0"/>
    <x v="1477"/>
    <n v="38.880000000000003"/>
    <n v="6"/>
    <n v="18.66"/>
    <x v="8"/>
    <x v="1"/>
  </r>
  <r>
    <n v="44816"/>
    <x v="194"/>
    <x v="20"/>
    <x v="2"/>
    <x v="16"/>
    <x v="1478"/>
    <n v="479.98"/>
    <n v="2"/>
    <n v="60"/>
    <x v="8"/>
    <x v="1"/>
  </r>
  <r>
    <n v="44816"/>
    <x v="194"/>
    <x v="20"/>
    <x v="0"/>
    <x v="1"/>
    <x v="1090"/>
    <n v="12.6"/>
    <n v="4"/>
    <n v="6.05"/>
    <x v="8"/>
    <x v="1"/>
  </r>
  <r>
    <n v="44816"/>
    <x v="51"/>
    <x v="20"/>
    <x v="0"/>
    <x v="4"/>
    <x v="202"/>
    <n v="9.26"/>
    <n v="2"/>
    <n v="3.06"/>
    <x v="8"/>
    <x v="1"/>
  </r>
  <r>
    <n v="44816"/>
    <x v="51"/>
    <x v="20"/>
    <x v="0"/>
    <x v="2"/>
    <x v="874"/>
    <n v="105.98"/>
    <n v="2"/>
    <n v="4.24"/>
    <x v="8"/>
    <x v="1"/>
  </r>
  <r>
    <n v="44816"/>
    <x v="51"/>
    <x v="20"/>
    <x v="0"/>
    <x v="7"/>
    <x v="1152"/>
    <n v="1.24"/>
    <n v="1"/>
    <n v="0.57999999999999996"/>
    <x v="8"/>
    <x v="1"/>
  </r>
  <r>
    <n v="44816"/>
    <x v="51"/>
    <x v="20"/>
    <x v="0"/>
    <x v="1"/>
    <x v="1101"/>
    <n v="20.7"/>
    <n v="2"/>
    <n v="9.94"/>
    <x v="8"/>
    <x v="1"/>
  </r>
  <r>
    <n v="44816"/>
    <x v="51"/>
    <x v="20"/>
    <x v="0"/>
    <x v="0"/>
    <x v="1479"/>
    <n v="28.9"/>
    <n v="5"/>
    <n v="14.16"/>
    <x v="8"/>
    <x v="1"/>
  </r>
  <r>
    <n v="44816"/>
    <x v="51"/>
    <x v="20"/>
    <x v="0"/>
    <x v="10"/>
    <x v="41"/>
    <n v="27.18"/>
    <n v="1"/>
    <n v="12.77"/>
    <x v="8"/>
    <x v="1"/>
  </r>
  <r>
    <n v="44816"/>
    <x v="583"/>
    <x v="22"/>
    <x v="2"/>
    <x v="9"/>
    <x v="786"/>
    <n v="21.98"/>
    <n v="2"/>
    <n v="8.57"/>
    <x v="8"/>
    <x v="1"/>
  </r>
  <r>
    <n v="44817"/>
    <x v="456"/>
    <x v="18"/>
    <x v="2"/>
    <x v="9"/>
    <x v="621"/>
    <n v="199.96"/>
    <n v="4"/>
    <n v="16"/>
    <x v="8"/>
    <x v="1"/>
  </r>
  <r>
    <n v="44817"/>
    <x v="456"/>
    <x v="18"/>
    <x v="1"/>
    <x v="5"/>
    <x v="395"/>
    <n v="1516.2"/>
    <n v="7"/>
    <n v="394.21"/>
    <x v="8"/>
    <x v="1"/>
  </r>
  <r>
    <n v="44817"/>
    <x v="173"/>
    <x v="2"/>
    <x v="0"/>
    <x v="3"/>
    <x v="274"/>
    <n v="2.41"/>
    <n v="1"/>
    <n v="-2.0099999999999998"/>
    <x v="8"/>
    <x v="1"/>
  </r>
  <r>
    <n v="44817"/>
    <x v="657"/>
    <x v="4"/>
    <x v="1"/>
    <x v="8"/>
    <x v="1139"/>
    <n v="129.93"/>
    <n v="3"/>
    <n v="12.99"/>
    <x v="8"/>
    <x v="1"/>
  </r>
  <r>
    <n v="44817"/>
    <x v="657"/>
    <x v="4"/>
    <x v="0"/>
    <x v="0"/>
    <x v="448"/>
    <n v="69.930000000000007"/>
    <n v="7"/>
    <n v="31.47"/>
    <x v="8"/>
    <x v="1"/>
  </r>
  <r>
    <n v="44817"/>
    <x v="316"/>
    <x v="1"/>
    <x v="0"/>
    <x v="10"/>
    <x v="21"/>
    <n v="7.82"/>
    <n v="1"/>
    <n v="2.93"/>
    <x v="8"/>
    <x v="1"/>
  </r>
  <r>
    <n v="44817"/>
    <x v="316"/>
    <x v="1"/>
    <x v="1"/>
    <x v="5"/>
    <x v="664"/>
    <n v="170.07"/>
    <n v="4"/>
    <n v="-12.15"/>
    <x v="8"/>
    <x v="1"/>
  </r>
  <r>
    <n v="44817"/>
    <x v="481"/>
    <x v="25"/>
    <x v="0"/>
    <x v="3"/>
    <x v="1480"/>
    <n v="13.09"/>
    <n v="4"/>
    <n v="-10.039999999999999"/>
    <x v="8"/>
    <x v="1"/>
  </r>
  <r>
    <n v="44817"/>
    <x v="687"/>
    <x v="3"/>
    <x v="1"/>
    <x v="8"/>
    <x v="1310"/>
    <n v="131.88"/>
    <n v="7"/>
    <n v="55.39"/>
    <x v="8"/>
    <x v="1"/>
  </r>
  <r>
    <n v="44817"/>
    <x v="687"/>
    <x v="3"/>
    <x v="0"/>
    <x v="3"/>
    <x v="345"/>
    <n v="25.03"/>
    <n v="3"/>
    <n v="7.82"/>
    <x v="8"/>
    <x v="1"/>
  </r>
  <r>
    <n v="44817"/>
    <x v="687"/>
    <x v="3"/>
    <x v="1"/>
    <x v="5"/>
    <x v="560"/>
    <n v="717.72"/>
    <n v="3"/>
    <n v="71.77"/>
    <x v="8"/>
    <x v="1"/>
  </r>
  <r>
    <n v="44817"/>
    <x v="687"/>
    <x v="3"/>
    <x v="1"/>
    <x v="8"/>
    <x v="1050"/>
    <n v="207.35"/>
    <n v="5"/>
    <n v="24.88"/>
    <x v="8"/>
    <x v="1"/>
  </r>
  <r>
    <n v="44817"/>
    <x v="687"/>
    <x v="3"/>
    <x v="1"/>
    <x v="8"/>
    <x v="630"/>
    <n v="44.67"/>
    <n v="3"/>
    <n v="12.06"/>
    <x v="8"/>
    <x v="1"/>
  </r>
  <r>
    <n v="44817"/>
    <x v="687"/>
    <x v="3"/>
    <x v="0"/>
    <x v="0"/>
    <x v="1481"/>
    <n v="209.7"/>
    <n v="2"/>
    <n v="100.66"/>
    <x v="8"/>
    <x v="1"/>
  </r>
  <r>
    <n v="44818"/>
    <x v="103"/>
    <x v="27"/>
    <x v="1"/>
    <x v="13"/>
    <x v="953"/>
    <n v="912.75"/>
    <n v="5"/>
    <n v="118.66"/>
    <x v="8"/>
    <x v="1"/>
  </r>
  <r>
    <n v="44818"/>
    <x v="386"/>
    <x v="3"/>
    <x v="1"/>
    <x v="13"/>
    <x v="436"/>
    <n v="170.14"/>
    <n v="3"/>
    <n v="-8.51"/>
    <x v="8"/>
    <x v="1"/>
  </r>
  <r>
    <n v="44818"/>
    <x v="616"/>
    <x v="9"/>
    <x v="0"/>
    <x v="2"/>
    <x v="437"/>
    <n v="269.49"/>
    <n v="3"/>
    <n v="5.39"/>
    <x v="8"/>
    <x v="1"/>
  </r>
  <r>
    <n v="44818"/>
    <x v="96"/>
    <x v="20"/>
    <x v="0"/>
    <x v="2"/>
    <x v="216"/>
    <n v="991.2"/>
    <n v="6"/>
    <n v="257.70999999999998"/>
    <x v="8"/>
    <x v="1"/>
  </r>
  <r>
    <n v="44818"/>
    <x v="96"/>
    <x v="20"/>
    <x v="2"/>
    <x v="16"/>
    <x v="679"/>
    <n v="879.98"/>
    <n v="2"/>
    <n v="329.99"/>
    <x v="8"/>
    <x v="1"/>
  </r>
  <r>
    <n v="44818"/>
    <x v="96"/>
    <x v="20"/>
    <x v="0"/>
    <x v="3"/>
    <x v="106"/>
    <n v="12.96"/>
    <n v="9"/>
    <n v="4.54"/>
    <x v="8"/>
    <x v="1"/>
  </r>
  <r>
    <n v="44818"/>
    <x v="671"/>
    <x v="30"/>
    <x v="0"/>
    <x v="3"/>
    <x v="811"/>
    <n v="25.9"/>
    <n v="5"/>
    <n v="12.69"/>
    <x v="8"/>
    <x v="1"/>
  </r>
  <r>
    <n v="44819"/>
    <x v="537"/>
    <x v="16"/>
    <x v="0"/>
    <x v="0"/>
    <x v="684"/>
    <n v="15.55"/>
    <n v="3"/>
    <n v="5.44"/>
    <x v="8"/>
    <x v="1"/>
  </r>
  <r>
    <n v="44819"/>
    <x v="537"/>
    <x v="16"/>
    <x v="1"/>
    <x v="8"/>
    <x v="55"/>
    <n v="15.71"/>
    <n v="4"/>
    <n v="2.5499999999999998"/>
    <x v="8"/>
    <x v="1"/>
  </r>
  <r>
    <n v="44819"/>
    <x v="537"/>
    <x v="16"/>
    <x v="0"/>
    <x v="2"/>
    <x v="847"/>
    <n v="24.67"/>
    <n v="2"/>
    <n v="2.16"/>
    <x v="8"/>
    <x v="1"/>
  </r>
  <r>
    <n v="44819"/>
    <x v="537"/>
    <x v="16"/>
    <x v="1"/>
    <x v="8"/>
    <x v="1330"/>
    <n v="55.97"/>
    <n v="1"/>
    <n v="-2.1"/>
    <x v="8"/>
    <x v="1"/>
  </r>
  <r>
    <n v="44819"/>
    <x v="189"/>
    <x v="18"/>
    <x v="0"/>
    <x v="2"/>
    <x v="25"/>
    <n v="190.86"/>
    <n v="2"/>
    <n v="11.45"/>
    <x v="8"/>
    <x v="1"/>
  </r>
  <r>
    <n v="44819"/>
    <x v="189"/>
    <x v="18"/>
    <x v="0"/>
    <x v="4"/>
    <x v="1472"/>
    <n v="24.32"/>
    <n v="8"/>
    <n v="8.27"/>
    <x v="8"/>
    <x v="1"/>
  </r>
  <r>
    <n v="44819"/>
    <x v="688"/>
    <x v="20"/>
    <x v="0"/>
    <x v="3"/>
    <x v="1356"/>
    <n v="79.87"/>
    <n v="3"/>
    <n v="29.95"/>
    <x v="8"/>
    <x v="1"/>
  </r>
  <r>
    <n v="44819"/>
    <x v="688"/>
    <x v="20"/>
    <x v="1"/>
    <x v="11"/>
    <x v="1419"/>
    <n v="46.38"/>
    <n v="1"/>
    <n v="1.1599999999999999"/>
    <x v="8"/>
    <x v="1"/>
  </r>
  <r>
    <n v="44819"/>
    <x v="688"/>
    <x v="20"/>
    <x v="0"/>
    <x v="0"/>
    <x v="184"/>
    <n v="12.96"/>
    <n v="2"/>
    <n v="6.22"/>
    <x v="8"/>
    <x v="1"/>
  </r>
  <r>
    <n v="44819"/>
    <x v="262"/>
    <x v="33"/>
    <x v="1"/>
    <x v="13"/>
    <x v="748"/>
    <n v="801.96"/>
    <n v="2"/>
    <n v="200.49"/>
    <x v="8"/>
    <x v="1"/>
  </r>
  <r>
    <n v="44819"/>
    <x v="262"/>
    <x v="33"/>
    <x v="2"/>
    <x v="6"/>
    <x v="1482"/>
    <n v="59.97"/>
    <n v="3"/>
    <n v="0"/>
    <x v="8"/>
    <x v="1"/>
  </r>
  <r>
    <n v="44819"/>
    <x v="262"/>
    <x v="33"/>
    <x v="1"/>
    <x v="5"/>
    <x v="1417"/>
    <n v="1056.8599999999999"/>
    <n v="7"/>
    <n v="306.49"/>
    <x v="8"/>
    <x v="1"/>
  </r>
  <r>
    <n v="44819"/>
    <x v="689"/>
    <x v="2"/>
    <x v="0"/>
    <x v="3"/>
    <x v="566"/>
    <n v="3.58"/>
    <n v="4"/>
    <n v="-2.86"/>
    <x v="8"/>
    <x v="1"/>
  </r>
  <r>
    <n v="44819"/>
    <x v="689"/>
    <x v="2"/>
    <x v="0"/>
    <x v="2"/>
    <x v="554"/>
    <n v="147.18"/>
    <n v="2"/>
    <n v="-29.44"/>
    <x v="8"/>
    <x v="1"/>
  </r>
  <r>
    <n v="44820"/>
    <x v="32"/>
    <x v="6"/>
    <x v="0"/>
    <x v="10"/>
    <x v="21"/>
    <n v="31.12"/>
    <n v="4"/>
    <n v="14.63"/>
    <x v="8"/>
    <x v="1"/>
  </r>
  <r>
    <n v="44821"/>
    <x v="463"/>
    <x v="2"/>
    <x v="1"/>
    <x v="11"/>
    <x v="1483"/>
    <n v="3083.43"/>
    <n v="7"/>
    <n v="-1665.05"/>
    <x v="8"/>
    <x v="1"/>
  </r>
  <r>
    <n v="44821"/>
    <x v="463"/>
    <x v="2"/>
    <x v="0"/>
    <x v="3"/>
    <x v="775"/>
    <n v="9.6199999999999992"/>
    <n v="2"/>
    <n v="-7.05"/>
    <x v="8"/>
    <x v="1"/>
  </r>
  <r>
    <n v="44821"/>
    <x v="463"/>
    <x v="2"/>
    <x v="1"/>
    <x v="8"/>
    <x v="1412"/>
    <n v="124.2"/>
    <n v="3"/>
    <n v="15.53"/>
    <x v="8"/>
    <x v="1"/>
  </r>
  <r>
    <n v="44821"/>
    <x v="463"/>
    <x v="2"/>
    <x v="0"/>
    <x v="10"/>
    <x v="229"/>
    <n v="3.26"/>
    <n v="2"/>
    <n v="1.1000000000000001"/>
    <x v="8"/>
    <x v="1"/>
  </r>
  <r>
    <n v="44821"/>
    <x v="463"/>
    <x v="2"/>
    <x v="0"/>
    <x v="4"/>
    <x v="755"/>
    <n v="86.3"/>
    <n v="6"/>
    <n v="9.7100000000000009"/>
    <x v="8"/>
    <x v="1"/>
  </r>
  <r>
    <n v="44821"/>
    <x v="463"/>
    <x v="2"/>
    <x v="0"/>
    <x v="3"/>
    <x v="343"/>
    <n v="6.86"/>
    <n v="6"/>
    <n v="-5.72"/>
    <x v="8"/>
    <x v="1"/>
  </r>
  <r>
    <n v="44821"/>
    <x v="463"/>
    <x v="2"/>
    <x v="0"/>
    <x v="4"/>
    <x v="975"/>
    <n v="15.76"/>
    <n v="2"/>
    <n v="3.55"/>
    <x v="8"/>
    <x v="1"/>
  </r>
  <r>
    <n v="44821"/>
    <x v="690"/>
    <x v="3"/>
    <x v="0"/>
    <x v="0"/>
    <x v="757"/>
    <n v="32.4"/>
    <n v="5"/>
    <n v="15.55"/>
    <x v="8"/>
    <x v="1"/>
  </r>
  <r>
    <n v="44821"/>
    <x v="472"/>
    <x v="0"/>
    <x v="1"/>
    <x v="8"/>
    <x v="1484"/>
    <n v="21.94"/>
    <n v="2"/>
    <n v="-10.42"/>
    <x v="8"/>
    <x v="1"/>
  </r>
  <r>
    <n v="44821"/>
    <x v="472"/>
    <x v="0"/>
    <x v="0"/>
    <x v="3"/>
    <x v="1267"/>
    <n v="6.59"/>
    <n v="3"/>
    <n v="-10.210000000000001"/>
    <x v="8"/>
    <x v="1"/>
  </r>
  <r>
    <n v="44821"/>
    <x v="471"/>
    <x v="20"/>
    <x v="1"/>
    <x v="13"/>
    <x v="773"/>
    <n v="344.22"/>
    <n v="2"/>
    <n v="-103.27"/>
    <x v="8"/>
    <x v="1"/>
  </r>
  <r>
    <n v="44821"/>
    <x v="674"/>
    <x v="16"/>
    <x v="2"/>
    <x v="9"/>
    <x v="390"/>
    <n v="87.17"/>
    <n v="3"/>
    <n v="10.9"/>
    <x v="8"/>
    <x v="1"/>
  </r>
  <r>
    <n v="44821"/>
    <x v="568"/>
    <x v="22"/>
    <x v="0"/>
    <x v="3"/>
    <x v="345"/>
    <n v="25.03"/>
    <n v="3"/>
    <n v="7.82"/>
    <x v="8"/>
    <x v="1"/>
  </r>
  <r>
    <n v="44821"/>
    <x v="184"/>
    <x v="20"/>
    <x v="0"/>
    <x v="2"/>
    <x v="1142"/>
    <n v="14.9"/>
    <n v="5"/>
    <n v="1.04"/>
    <x v="8"/>
    <x v="1"/>
  </r>
  <r>
    <n v="44821"/>
    <x v="184"/>
    <x v="20"/>
    <x v="0"/>
    <x v="1"/>
    <x v="634"/>
    <n v="87.71"/>
    <n v="7"/>
    <n v="41.22"/>
    <x v="8"/>
    <x v="1"/>
  </r>
  <r>
    <n v="44821"/>
    <x v="184"/>
    <x v="20"/>
    <x v="1"/>
    <x v="5"/>
    <x v="1078"/>
    <n v="199.76"/>
    <n v="2"/>
    <n v="8.8800000000000008"/>
    <x v="8"/>
    <x v="1"/>
  </r>
  <r>
    <n v="44821"/>
    <x v="184"/>
    <x v="20"/>
    <x v="0"/>
    <x v="2"/>
    <x v="617"/>
    <n v="94.6"/>
    <n v="4"/>
    <n v="27.43"/>
    <x v="8"/>
    <x v="1"/>
  </r>
  <r>
    <n v="44821"/>
    <x v="184"/>
    <x v="20"/>
    <x v="1"/>
    <x v="11"/>
    <x v="1483"/>
    <n v="4228.7"/>
    <n v="6"/>
    <n v="158.58000000000001"/>
    <x v="8"/>
    <x v="1"/>
  </r>
  <r>
    <n v="44821"/>
    <x v="184"/>
    <x v="20"/>
    <x v="1"/>
    <x v="11"/>
    <x v="853"/>
    <n v="2003.92"/>
    <n v="5"/>
    <n v="-25.05"/>
    <x v="8"/>
    <x v="1"/>
  </r>
  <r>
    <n v="44821"/>
    <x v="184"/>
    <x v="20"/>
    <x v="2"/>
    <x v="6"/>
    <x v="1095"/>
    <n v="209.97"/>
    <n v="3"/>
    <n v="58.79"/>
    <x v="8"/>
    <x v="1"/>
  </r>
  <r>
    <n v="44821"/>
    <x v="184"/>
    <x v="20"/>
    <x v="2"/>
    <x v="9"/>
    <x v="1146"/>
    <n v="659.9"/>
    <n v="2"/>
    <n v="217.77"/>
    <x v="8"/>
    <x v="1"/>
  </r>
  <r>
    <n v="44821"/>
    <x v="184"/>
    <x v="20"/>
    <x v="0"/>
    <x v="0"/>
    <x v="267"/>
    <n v="110.96"/>
    <n v="2"/>
    <n v="53.26"/>
    <x v="8"/>
    <x v="1"/>
  </r>
  <r>
    <n v="44821"/>
    <x v="184"/>
    <x v="20"/>
    <x v="2"/>
    <x v="6"/>
    <x v="1147"/>
    <n v="67.8"/>
    <n v="4"/>
    <n v="1.36"/>
    <x v="8"/>
    <x v="1"/>
  </r>
  <r>
    <n v="44822"/>
    <x v="120"/>
    <x v="3"/>
    <x v="0"/>
    <x v="0"/>
    <x v="722"/>
    <n v="160.72"/>
    <n v="14"/>
    <n v="78.75"/>
    <x v="8"/>
    <x v="1"/>
  </r>
  <r>
    <n v="44822"/>
    <x v="120"/>
    <x v="3"/>
    <x v="0"/>
    <x v="0"/>
    <x v="1485"/>
    <n v="19.920000000000002"/>
    <n v="4"/>
    <n v="9.76"/>
    <x v="8"/>
    <x v="1"/>
  </r>
  <r>
    <n v="44822"/>
    <x v="120"/>
    <x v="3"/>
    <x v="0"/>
    <x v="14"/>
    <x v="817"/>
    <n v="7.3"/>
    <n v="2"/>
    <n v="2.19"/>
    <x v="8"/>
    <x v="1"/>
  </r>
  <r>
    <n v="44822"/>
    <x v="484"/>
    <x v="36"/>
    <x v="0"/>
    <x v="2"/>
    <x v="1019"/>
    <n v="41.96"/>
    <n v="2"/>
    <n v="7.97"/>
    <x v="8"/>
    <x v="1"/>
  </r>
  <r>
    <n v="44822"/>
    <x v="484"/>
    <x v="36"/>
    <x v="0"/>
    <x v="2"/>
    <x v="509"/>
    <n v="636.86"/>
    <n v="7"/>
    <n v="0"/>
    <x v="8"/>
    <x v="1"/>
  </r>
  <r>
    <n v="44822"/>
    <x v="484"/>
    <x v="36"/>
    <x v="2"/>
    <x v="6"/>
    <x v="205"/>
    <n v="499.99"/>
    <n v="1"/>
    <n v="130"/>
    <x v="8"/>
    <x v="1"/>
  </r>
  <r>
    <n v="44822"/>
    <x v="484"/>
    <x v="36"/>
    <x v="2"/>
    <x v="6"/>
    <x v="570"/>
    <n v="1259.93"/>
    <n v="7"/>
    <n v="327.58"/>
    <x v="8"/>
    <x v="1"/>
  </r>
  <r>
    <n v="44822"/>
    <x v="484"/>
    <x v="36"/>
    <x v="0"/>
    <x v="3"/>
    <x v="999"/>
    <n v="65.08"/>
    <n v="4"/>
    <n v="31.89"/>
    <x v="8"/>
    <x v="1"/>
  </r>
  <r>
    <n v="44822"/>
    <x v="169"/>
    <x v="3"/>
    <x v="0"/>
    <x v="4"/>
    <x v="1451"/>
    <n v="11.68"/>
    <n v="2"/>
    <n v="5.49"/>
    <x v="8"/>
    <x v="1"/>
  </r>
  <r>
    <n v="44822"/>
    <x v="169"/>
    <x v="3"/>
    <x v="0"/>
    <x v="14"/>
    <x v="1486"/>
    <n v="16.899999999999999"/>
    <n v="2"/>
    <n v="5.07"/>
    <x v="8"/>
    <x v="1"/>
  </r>
  <r>
    <n v="44822"/>
    <x v="169"/>
    <x v="3"/>
    <x v="1"/>
    <x v="8"/>
    <x v="557"/>
    <n v="24.4"/>
    <n v="2"/>
    <n v="10.25"/>
    <x v="8"/>
    <x v="1"/>
  </r>
  <r>
    <n v="44822"/>
    <x v="691"/>
    <x v="16"/>
    <x v="2"/>
    <x v="9"/>
    <x v="1189"/>
    <n v="717.12"/>
    <n v="9"/>
    <n v="152.38999999999999"/>
    <x v="8"/>
    <x v="1"/>
  </r>
  <r>
    <n v="44822"/>
    <x v="692"/>
    <x v="22"/>
    <x v="0"/>
    <x v="0"/>
    <x v="1032"/>
    <n v="18.54"/>
    <n v="2"/>
    <n v="8.7100000000000009"/>
    <x v="8"/>
    <x v="1"/>
  </r>
  <r>
    <n v="44822"/>
    <x v="693"/>
    <x v="3"/>
    <x v="0"/>
    <x v="2"/>
    <x v="1020"/>
    <n v="443.92"/>
    <n v="4"/>
    <n v="8.8800000000000008"/>
    <x v="8"/>
    <x v="1"/>
  </r>
  <r>
    <n v="44823"/>
    <x v="492"/>
    <x v="6"/>
    <x v="1"/>
    <x v="11"/>
    <x v="32"/>
    <n v="61.96"/>
    <n v="2"/>
    <n v="4.34"/>
    <x v="8"/>
    <x v="1"/>
  </r>
  <r>
    <n v="44823"/>
    <x v="62"/>
    <x v="4"/>
    <x v="2"/>
    <x v="9"/>
    <x v="1487"/>
    <n v="66.36"/>
    <n v="4"/>
    <n v="23.23"/>
    <x v="8"/>
    <x v="1"/>
  </r>
  <r>
    <n v="44823"/>
    <x v="602"/>
    <x v="3"/>
    <x v="0"/>
    <x v="0"/>
    <x v="722"/>
    <n v="22.96"/>
    <n v="2"/>
    <n v="11.25"/>
    <x v="8"/>
    <x v="1"/>
  </r>
  <r>
    <n v="44823"/>
    <x v="60"/>
    <x v="20"/>
    <x v="2"/>
    <x v="6"/>
    <x v="1288"/>
    <n v="279.86"/>
    <n v="14"/>
    <n v="134.33000000000001"/>
    <x v="8"/>
    <x v="1"/>
  </r>
  <r>
    <n v="44823"/>
    <x v="167"/>
    <x v="31"/>
    <x v="0"/>
    <x v="4"/>
    <x v="1488"/>
    <n v="8.4"/>
    <n v="5"/>
    <n v="2.1800000000000002"/>
    <x v="8"/>
    <x v="1"/>
  </r>
  <r>
    <n v="44823"/>
    <x v="658"/>
    <x v="3"/>
    <x v="1"/>
    <x v="8"/>
    <x v="814"/>
    <n v="60.84"/>
    <n v="3"/>
    <n v="19.47"/>
    <x v="8"/>
    <x v="1"/>
  </r>
  <r>
    <n v="44824"/>
    <x v="199"/>
    <x v="32"/>
    <x v="0"/>
    <x v="3"/>
    <x v="898"/>
    <n v="37.68"/>
    <n v="6"/>
    <n v="16.96"/>
    <x v="8"/>
    <x v="1"/>
  </r>
  <r>
    <n v="44824"/>
    <x v="498"/>
    <x v="20"/>
    <x v="0"/>
    <x v="0"/>
    <x v="572"/>
    <n v="61.4"/>
    <n v="5"/>
    <n v="28.86"/>
    <x v="8"/>
    <x v="1"/>
  </r>
  <r>
    <n v="44824"/>
    <x v="498"/>
    <x v="20"/>
    <x v="0"/>
    <x v="3"/>
    <x v="1489"/>
    <n v="24.45"/>
    <n v="2"/>
    <n v="8.86"/>
    <x v="8"/>
    <x v="1"/>
  </r>
  <r>
    <n v="44824"/>
    <x v="497"/>
    <x v="15"/>
    <x v="0"/>
    <x v="3"/>
    <x v="1391"/>
    <n v="1369.76"/>
    <n v="6"/>
    <n v="-913.18"/>
    <x v="8"/>
    <x v="1"/>
  </r>
  <r>
    <n v="44824"/>
    <x v="497"/>
    <x v="15"/>
    <x v="0"/>
    <x v="2"/>
    <x v="554"/>
    <n v="294.37"/>
    <n v="4"/>
    <n v="-58.87"/>
    <x v="8"/>
    <x v="1"/>
  </r>
  <r>
    <n v="44824"/>
    <x v="481"/>
    <x v="17"/>
    <x v="0"/>
    <x v="3"/>
    <x v="811"/>
    <n v="45.58"/>
    <n v="11"/>
    <n v="16.52"/>
    <x v="8"/>
    <x v="1"/>
  </r>
  <r>
    <n v="44824"/>
    <x v="633"/>
    <x v="1"/>
    <x v="0"/>
    <x v="3"/>
    <x v="701"/>
    <n v="2.81"/>
    <n v="3"/>
    <n v="-4.49"/>
    <x v="8"/>
    <x v="1"/>
  </r>
  <r>
    <n v="44825"/>
    <x v="642"/>
    <x v="0"/>
    <x v="2"/>
    <x v="6"/>
    <x v="1347"/>
    <n v="946.34"/>
    <n v="7"/>
    <n v="118.29"/>
    <x v="8"/>
    <x v="1"/>
  </r>
  <r>
    <n v="44825"/>
    <x v="642"/>
    <x v="0"/>
    <x v="2"/>
    <x v="9"/>
    <x v="128"/>
    <n v="151.19999999999999"/>
    <n v="3"/>
    <n v="32.130000000000003"/>
    <x v="8"/>
    <x v="1"/>
  </r>
  <r>
    <n v="44825"/>
    <x v="642"/>
    <x v="0"/>
    <x v="1"/>
    <x v="8"/>
    <x v="895"/>
    <n v="4.93"/>
    <n v="4"/>
    <n v="-1.48"/>
    <x v="8"/>
    <x v="1"/>
  </r>
  <r>
    <n v="44825"/>
    <x v="330"/>
    <x v="22"/>
    <x v="0"/>
    <x v="2"/>
    <x v="53"/>
    <n v="199.74"/>
    <n v="6"/>
    <n v="47.94"/>
    <x v="8"/>
    <x v="1"/>
  </r>
  <r>
    <n v="44825"/>
    <x v="33"/>
    <x v="3"/>
    <x v="1"/>
    <x v="5"/>
    <x v="612"/>
    <n v="601.54"/>
    <n v="4"/>
    <n v="0"/>
    <x v="8"/>
    <x v="1"/>
  </r>
  <r>
    <n v="44825"/>
    <x v="33"/>
    <x v="3"/>
    <x v="0"/>
    <x v="7"/>
    <x v="961"/>
    <n v="7.9"/>
    <n v="2"/>
    <n v="2.5299999999999998"/>
    <x v="8"/>
    <x v="1"/>
  </r>
  <r>
    <n v="44825"/>
    <x v="441"/>
    <x v="14"/>
    <x v="1"/>
    <x v="11"/>
    <x v="683"/>
    <n v="194.32"/>
    <n v="4"/>
    <n v="31.09"/>
    <x v="8"/>
    <x v="1"/>
  </r>
  <r>
    <n v="44825"/>
    <x v="441"/>
    <x v="14"/>
    <x v="0"/>
    <x v="4"/>
    <x v="151"/>
    <n v="25.99"/>
    <n v="1"/>
    <n v="7.54"/>
    <x v="8"/>
    <x v="1"/>
  </r>
  <r>
    <n v="44825"/>
    <x v="347"/>
    <x v="32"/>
    <x v="1"/>
    <x v="8"/>
    <x v="809"/>
    <n v="85.3"/>
    <n v="2"/>
    <n v="14.5"/>
    <x v="8"/>
    <x v="1"/>
  </r>
  <r>
    <n v="44825"/>
    <x v="128"/>
    <x v="32"/>
    <x v="2"/>
    <x v="6"/>
    <x v="173"/>
    <n v="589.9"/>
    <n v="2"/>
    <n v="147.47999999999999"/>
    <x v="8"/>
    <x v="1"/>
  </r>
  <r>
    <n v="44825"/>
    <x v="128"/>
    <x v="32"/>
    <x v="1"/>
    <x v="5"/>
    <x v="1434"/>
    <n v="542.94000000000005"/>
    <n v="3"/>
    <n v="141.16"/>
    <x v="8"/>
    <x v="1"/>
  </r>
  <r>
    <n v="44825"/>
    <x v="656"/>
    <x v="9"/>
    <x v="1"/>
    <x v="5"/>
    <x v="1333"/>
    <n v="1690.04"/>
    <n v="4"/>
    <n v="422.51"/>
    <x v="8"/>
    <x v="1"/>
  </r>
  <r>
    <n v="44825"/>
    <x v="656"/>
    <x v="9"/>
    <x v="0"/>
    <x v="2"/>
    <x v="512"/>
    <n v="85.96"/>
    <n v="7"/>
    <n v="24.07"/>
    <x v="8"/>
    <x v="1"/>
  </r>
  <r>
    <n v="44825"/>
    <x v="656"/>
    <x v="9"/>
    <x v="0"/>
    <x v="10"/>
    <x v="838"/>
    <n v="121.96"/>
    <n v="2"/>
    <n v="57.32"/>
    <x v="8"/>
    <x v="1"/>
  </r>
  <r>
    <n v="44825"/>
    <x v="656"/>
    <x v="9"/>
    <x v="0"/>
    <x v="0"/>
    <x v="1490"/>
    <n v="23.92"/>
    <n v="4"/>
    <n v="11.72"/>
    <x v="8"/>
    <x v="1"/>
  </r>
  <r>
    <n v="44825"/>
    <x v="656"/>
    <x v="9"/>
    <x v="0"/>
    <x v="2"/>
    <x v="555"/>
    <n v="63.96"/>
    <n v="2"/>
    <n v="6.4"/>
    <x v="8"/>
    <x v="1"/>
  </r>
  <r>
    <n v="44825"/>
    <x v="656"/>
    <x v="9"/>
    <x v="2"/>
    <x v="6"/>
    <x v="504"/>
    <n v="629.95000000000005"/>
    <n v="5"/>
    <n v="176.39"/>
    <x v="8"/>
    <x v="1"/>
  </r>
  <r>
    <n v="44825"/>
    <x v="656"/>
    <x v="9"/>
    <x v="2"/>
    <x v="6"/>
    <x v="450"/>
    <n v="113.73"/>
    <n v="3"/>
    <n v="32.979999999999997"/>
    <x v="8"/>
    <x v="1"/>
  </r>
  <r>
    <n v="44825"/>
    <x v="656"/>
    <x v="9"/>
    <x v="0"/>
    <x v="3"/>
    <x v="772"/>
    <n v="14.6"/>
    <n v="2"/>
    <n v="6.86"/>
    <x v="8"/>
    <x v="1"/>
  </r>
  <r>
    <n v="44825"/>
    <x v="656"/>
    <x v="9"/>
    <x v="0"/>
    <x v="2"/>
    <x v="1020"/>
    <n v="887.84"/>
    <n v="8"/>
    <n v="17.760000000000002"/>
    <x v="8"/>
    <x v="1"/>
  </r>
  <r>
    <n v="44826"/>
    <x v="392"/>
    <x v="3"/>
    <x v="1"/>
    <x v="8"/>
    <x v="889"/>
    <n v="204.6"/>
    <n v="2"/>
    <n v="53.2"/>
    <x v="8"/>
    <x v="1"/>
  </r>
  <r>
    <n v="44826"/>
    <x v="53"/>
    <x v="6"/>
    <x v="0"/>
    <x v="0"/>
    <x v="1110"/>
    <n v="32.4"/>
    <n v="5"/>
    <n v="15.55"/>
    <x v="8"/>
    <x v="1"/>
  </r>
  <r>
    <n v="44826"/>
    <x v="53"/>
    <x v="6"/>
    <x v="1"/>
    <x v="8"/>
    <x v="1180"/>
    <n v="47.98"/>
    <n v="2"/>
    <n v="11.04"/>
    <x v="8"/>
    <x v="1"/>
  </r>
  <r>
    <n v="44826"/>
    <x v="694"/>
    <x v="15"/>
    <x v="0"/>
    <x v="1"/>
    <x v="1491"/>
    <n v="12"/>
    <n v="4"/>
    <n v="4.2"/>
    <x v="8"/>
    <x v="1"/>
  </r>
  <r>
    <n v="44826"/>
    <x v="694"/>
    <x v="15"/>
    <x v="0"/>
    <x v="2"/>
    <x v="1002"/>
    <n v="720.06"/>
    <n v="4"/>
    <n v="-63.01"/>
    <x v="8"/>
    <x v="1"/>
  </r>
  <r>
    <n v="44826"/>
    <x v="694"/>
    <x v="15"/>
    <x v="0"/>
    <x v="2"/>
    <x v="660"/>
    <n v="25.42"/>
    <n v="1"/>
    <n v="-4.7699999999999996"/>
    <x v="8"/>
    <x v="1"/>
  </r>
  <r>
    <n v="44826"/>
    <x v="694"/>
    <x v="15"/>
    <x v="0"/>
    <x v="4"/>
    <x v="1041"/>
    <n v="2.82"/>
    <n v="2"/>
    <n v="0.32"/>
    <x v="8"/>
    <x v="1"/>
  </r>
  <r>
    <n v="44826"/>
    <x v="694"/>
    <x v="15"/>
    <x v="0"/>
    <x v="3"/>
    <x v="251"/>
    <n v="3.2"/>
    <n v="2"/>
    <n v="-2.56"/>
    <x v="8"/>
    <x v="1"/>
  </r>
  <r>
    <n v="44826"/>
    <x v="251"/>
    <x v="2"/>
    <x v="0"/>
    <x v="14"/>
    <x v="930"/>
    <n v="55.6"/>
    <n v="5"/>
    <n v="6.26"/>
    <x v="8"/>
    <x v="1"/>
  </r>
  <r>
    <n v="44826"/>
    <x v="251"/>
    <x v="2"/>
    <x v="2"/>
    <x v="9"/>
    <x v="1044"/>
    <n v="617.98"/>
    <n v="3"/>
    <n v="-7.72"/>
    <x v="8"/>
    <x v="1"/>
  </r>
  <r>
    <n v="44826"/>
    <x v="22"/>
    <x v="3"/>
    <x v="0"/>
    <x v="12"/>
    <x v="808"/>
    <n v="61.44"/>
    <n v="3"/>
    <n v="16.59"/>
    <x v="8"/>
    <x v="1"/>
  </r>
  <r>
    <n v="44828"/>
    <x v="402"/>
    <x v="2"/>
    <x v="0"/>
    <x v="4"/>
    <x v="806"/>
    <n v="6.85"/>
    <n v="2"/>
    <n v="0.6"/>
    <x v="8"/>
    <x v="1"/>
  </r>
  <r>
    <n v="44828"/>
    <x v="387"/>
    <x v="8"/>
    <x v="1"/>
    <x v="5"/>
    <x v="123"/>
    <n v="517.5"/>
    <n v="6"/>
    <n v="155.25"/>
    <x v="8"/>
    <x v="1"/>
  </r>
  <r>
    <n v="44828"/>
    <x v="354"/>
    <x v="30"/>
    <x v="0"/>
    <x v="3"/>
    <x v="343"/>
    <n v="15.24"/>
    <n v="4"/>
    <n v="6.86"/>
    <x v="8"/>
    <x v="1"/>
  </r>
  <r>
    <n v="44828"/>
    <x v="354"/>
    <x v="30"/>
    <x v="1"/>
    <x v="5"/>
    <x v="433"/>
    <n v="1408.1"/>
    <n v="10"/>
    <n v="394.27"/>
    <x v="8"/>
    <x v="1"/>
  </r>
  <r>
    <n v="44828"/>
    <x v="528"/>
    <x v="39"/>
    <x v="2"/>
    <x v="6"/>
    <x v="1492"/>
    <n v="821.94"/>
    <n v="6"/>
    <n v="213.7"/>
    <x v="8"/>
    <x v="1"/>
  </r>
  <r>
    <n v="44828"/>
    <x v="297"/>
    <x v="22"/>
    <x v="0"/>
    <x v="4"/>
    <x v="755"/>
    <n v="35.96"/>
    <n v="2"/>
    <n v="10.43"/>
    <x v="8"/>
    <x v="1"/>
  </r>
  <r>
    <n v="44828"/>
    <x v="297"/>
    <x v="22"/>
    <x v="0"/>
    <x v="3"/>
    <x v="248"/>
    <n v="14.95"/>
    <n v="3"/>
    <n v="5.42"/>
    <x v="8"/>
    <x v="1"/>
  </r>
  <r>
    <n v="44828"/>
    <x v="678"/>
    <x v="3"/>
    <x v="1"/>
    <x v="8"/>
    <x v="20"/>
    <n v="14.91"/>
    <n v="3"/>
    <n v="4.62"/>
    <x v="8"/>
    <x v="1"/>
  </r>
  <r>
    <n v="44828"/>
    <x v="678"/>
    <x v="3"/>
    <x v="0"/>
    <x v="12"/>
    <x v="1193"/>
    <n v="1158.1199999999999"/>
    <n v="4"/>
    <n v="335.85"/>
    <x v="8"/>
    <x v="1"/>
  </r>
  <r>
    <n v="44828"/>
    <x v="695"/>
    <x v="12"/>
    <x v="2"/>
    <x v="6"/>
    <x v="1130"/>
    <n v="35.119999999999997"/>
    <n v="2"/>
    <n v="13.17"/>
    <x v="8"/>
    <x v="1"/>
  </r>
  <r>
    <n v="44828"/>
    <x v="111"/>
    <x v="12"/>
    <x v="0"/>
    <x v="4"/>
    <x v="72"/>
    <n v="14.58"/>
    <n v="2"/>
    <n v="2.37"/>
    <x v="8"/>
    <x v="1"/>
  </r>
  <r>
    <n v="44828"/>
    <x v="111"/>
    <x v="12"/>
    <x v="2"/>
    <x v="9"/>
    <x v="1065"/>
    <n v="23.2"/>
    <n v="2"/>
    <n v="1.45"/>
    <x v="8"/>
    <x v="1"/>
  </r>
  <r>
    <n v="44828"/>
    <x v="111"/>
    <x v="12"/>
    <x v="0"/>
    <x v="4"/>
    <x v="421"/>
    <n v="16.46"/>
    <n v="7"/>
    <n v="1.85"/>
    <x v="8"/>
    <x v="1"/>
  </r>
  <r>
    <n v="44828"/>
    <x v="337"/>
    <x v="10"/>
    <x v="0"/>
    <x v="3"/>
    <x v="949"/>
    <n v="6.73"/>
    <n v="6"/>
    <n v="-4.49"/>
    <x v="8"/>
    <x v="1"/>
  </r>
  <r>
    <n v="44828"/>
    <x v="337"/>
    <x v="10"/>
    <x v="0"/>
    <x v="2"/>
    <x v="1271"/>
    <n v="33.57"/>
    <n v="2"/>
    <n v="1.68"/>
    <x v="8"/>
    <x v="1"/>
  </r>
  <r>
    <n v="44828"/>
    <x v="337"/>
    <x v="10"/>
    <x v="0"/>
    <x v="10"/>
    <x v="1493"/>
    <n v="15.84"/>
    <n v="2"/>
    <n v="5.54"/>
    <x v="8"/>
    <x v="1"/>
  </r>
  <r>
    <n v="44828"/>
    <x v="337"/>
    <x v="10"/>
    <x v="0"/>
    <x v="1"/>
    <x v="956"/>
    <n v="24.42"/>
    <n v="1"/>
    <n v="7.94"/>
    <x v="8"/>
    <x v="1"/>
  </r>
  <r>
    <n v="44828"/>
    <x v="337"/>
    <x v="10"/>
    <x v="0"/>
    <x v="4"/>
    <x v="344"/>
    <n v="17.12"/>
    <n v="5"/>
    <n v="1.93"/>
    <x v="8"/>
    <x v="1"/>
  </r>
  <r>
    <n v="44828"/>
    <x v="509"/>
    <x v="20"/>
    <x v="0"/>
    <x v="10"/>
    <x v="1494"/>
    <n v="39.979999999999997"/>
    <n v="1"/>
    <n v="17.989999999999998"/>
    <x v="8"/>
    <x v="1"/>
  </r>
  <r>
    <n v="44829"/>
    <x v="185"/>
    <x v="27"/>
    <x v="1"/>
    <x v="13"/>
    <x v="1091"/>
    <n v="1044.6300000000001"/>
    <n v="3"/>
    <n v="240.26"/>
    <x v="8"/>
    <x v="1"/>
  </r>
  <r>
    <n v="44829"/>
    <x v="1"/>
    <x v="23"/>
    <x v="2"/>
    <x v="9"/>
    <x v="632"/>
    <n v="63.96"/>
    <n v="4"/>
    <n v="19.829999999999998"/>
    <x v="8"/>
    <x v="1"/>
  </r>
  <r>
    <n v="44829"/>
    <x v="1"/>
    <x v="23"/>
    <x v="0"/>
    <x v="3"/>
    <x v="575"/>
    <n v="14.46"/>
    <n v="3"/>
    <n v="7.09"/>
    <x v="8"/>
    <x v="1"/>
  </r>
  <r>
    <n v="44829"/>
    <x v="1"/>
    <x v="23"/>
    <x v="2"/>
    <x v="6"/>
    <x v="432"/>
    <n v="104.98"/>
    <n v="2"/>
    <n v="52.49"/>
    <x v="8"/>
    <x v="1"/>
  </r>
  <r>
    <n v="44829"/>
    <x v="481"/>
    <x v="3"/>
    <x v="0"/>
    <x v="10"/>
    <x v="474"/>
    <n v="17.48"/>
    <n v="2"/>
    <n v="8.2200000000000006"/>
    <x v="8"/>
    <x v="1"/>
  </r>
  <r>
    <n v="44829"/>
    <x v="417"/>
    <x v="38"/>
    <x v="0"/>
    <x v="3"/>
    <x v="213"/>
    <n v="68.62"/>
    <n v="2"/>
    <n v="32.25"/>
    <x v="8"/>
    <x v="1"/>
  </r>
  <r>
    <n v="44829"/>
    <x v="696"/>
    <x v="20"/>
    <x v="2"/>
    <x v="9"/>
    <x v="288"/>
    <n v="899.91"/>
    <n v="9"/>
    <n v="395.96"/>
    <x v="8"/>
    <x v="1"/>
  </r>
  <r>
    <n v="44829"/>
    <x v="15"/>
    <x v="37"/>
    <x v="0"/>
    <x v="3"/>
    <x v="797"/>
    <n v="10.76"/>
    <n v="2"/>
    <n v="5.16"/>
    <x v="8"/>
    <x v="1"/>
  </r>
  <r>
    <n v="44829"/>
    <x v="15"/>
    <x v="37"/>
    <x v="0"/>
    <x v="0"/>
    <x v="1137"/>
    <n v="45.68"/>
    <n v="2"/>
    <n v="21.01"/>
    <x v="8"/>
    <x v="1"/>
  </r>
  <r>
    <n v="44829"/>
    <x v="15"/>
    <x v="37"/>
    <x v="0"/>
    <x v="4"/>
    <x v="712"/>
    <n v="6.7"/>
    <n v="1"/>
    <n v="2.21"/>
    <x v="8"/>
    <x v="1"/>
  </r>
  <r>
    <n v="44829"/>
    <x v="613"/>
    <x v="1"/>
    <x v="0"/>
    <x v="4"/>
    <x v="666"/>
    <n v="128.74"/>
    <n v="7"/>
    <n v="12.87"/>
    <x v="8"/>
    <x v="1"/>
  </r>
  <r>
    <n v="44829"/>
    <x v="562"/>
    <x v="22"/>
    <x v="1"/>
    <x v="5"/>
    <x v="796"/>
    <n v="307.14"/>
    <n v="4"/>
    <n v="-11.52"/>
    <x v="8"/>
    <x v="1"/>
  </r>
  <r>
    <n v="44829"/>
    <x v="562"/>
    <x v="22"/>
    <x v="0"/>
    <x v="1"/>
    <x v="893"/>
    <n v="12.6"/>
    <n v="2"/>
    <n v="5.8"/>
    <x v="8"/>
    <x v="1"/>
  </r>
  <r>
    <n v="44829"/>
    <x v="562"/>
    <x v="22"/>
    <x v="2"/>
    <x v="9"/>
    <x v="615"/>
    <n v="159.97999999999999"/>
    <n v="2"/>
    <n v="57.59"/>
    <x v="8"/>
    <x v="1"/>
  </r>
  <r>
    <n v="44829"/>
    <x v="44"/>
    <x v="15"/>
    <x v="0"/>
    <x v="3"/>
    <x v="515"/>
    <n v="6.34"/>
    <n v="4"/>
    <n v="-4.6500000000000004"/>
    <x v="8"/>
    <x v="1"/>
  </r>
  <r>
    <n v="44829"/>
    <x v="44"/>
    <x v="15"/>
    <x v="0"/>
    <x v="0"/>
    <x v="800"/>
    <n v="10.48"/>
    <n v="1"/>
    <n v="3.8"/>
    <x v="8"/>
    <x v="1"/>
  </r>
  <r>
    <n v="44829"/>
    <x v="44"/>
    <x v="15"/>
    <x v="0"/>
    <x v="3"/>
    <x v="647"/>
    <n v="2.4700000000000002"/>
    <n v="1"/>
    <n v="-1.81"/>
    <x v="8"/>
    <x v="1"/>
  </r>
  <r>
    <n v="44829"/>
    <x v="44"/>
    <x v="15"/>
    <x v="0"/>
    <x v="3"/>
    <x v="601"/>
    <n v="3.26"/>
    <n v="2"/>
    <n v="-2.2799999999999998"/>
    <x v="8"/>
    <x v="1"/>
  </r>
  <r>
    <n v="44829"/>
    <x v="246"/>
    <x v="20"/>
    <x v="1"/>
    <x v="5"/>
    <x v="1495"/>
    <n v="102.58"/>
    <n v="1"/>
    <n v="6.84"/>
    <x v="8"/>
    <x v="1"/>
  </r>
  <r>
    <n v="44829"/>
    <x v="246"/>
    <x v="20"/>
    <x v="0"/>
    <x v="0"/>
    <x v="30"/>
    <n v="20.04"/>
    <n v="3"/>
    <n v="9.6199999999999992"/>
    <x v="8"/>
    <x v="1"/>
  </r>
  <r>
    <n v="44829"/>
    <x v="240"/>
    <x v="2"/>
    <x v="0"/>
    <x v="3"/>
    <x v="832"/>
    <n v="2.95"/>
    <n v="2"/>
    <n v="-2.06"/>
    <x v="8"/>
    <x v="1"/>
  </r>
  <r>
    <n v="44830"/>
    <x v="236"/>
    <x v="0"/>
    <x v="0"/>
    <x v="3"/>
    <x v="1496"/>
    <n v="2.08"/>
    <n v="5"/>
    <n v="-3.43"/>
    <x v="8"/>
    <x v="1"/>
  </r>
  <r>
    <n v="44830"/>
    <x v="236"/>
    <x v="0"/>
    <x v="2"/>
    <x v="6"/>
    <x v="904"/>
    <n v="1114.4000000000001"/>
    <n v="7"/>
    <n v="376.11"/>
    <x v="8"/>
    <x v="1"/>
  </r>
  <r>
    <n v="44830"/>
    <x v="463"/>
    <x v="11"/>
    <x v="0"/>
    <x v="0"/>
    <x v="371"/>
    <n v="141.76"/>
    <n v="5"/>
    <n v="47.84"/>
    <x v="8"/>
    <x v="1"/>
  </r>
  <r>
    <n v="44830"/>
    <x v="463"/>
    <x v="11"/>
    <x v="2"/>
    <x v="9"/>
    <x v="1497"/>
    <n v="239.8"/>
    <n v="5"/>
    <n v="47.96"/>
    <x v="8"/>
    <x v="1"/>
  </r>
  <r>
    <n v="44830"/>
    <x v="463"/>
    <x v="11"/>
    <x v="0"/>
    <x v="0"/>
    <x v="757"/>
    <n v="31.1"/>
    <n v="6"/>
    <n v="10.89"/>
    <x v="8"/>
    <x v="1"/>
  </r>
  <r>
    <n v="44830"/>
    <x v="602"/>
    <x v="12"/>
    <x v="0"/>
    <x v="0"/>
    <x v="1415"/>
    <n v="86.27"/>
    <n v="4"/>
    <n v="31.27"/>
    <x v="8"/>
    <x v="1"/>
  </r>
  <r>
    <n v="44830"/>
    <x v="602"/>
    <x v="12"/>
    <x v="0"/>
    <x v="3"/>
    <x v="1498"/>
    <n v="72.59"/>
    <n v="2"/>
    <n v="-48.39"/>
    <x v="8"/>
    <x v="1"/>
  </r>
  <r>
    <n v="44830"/>
    <x v="602"/>
    <x v="12"/>
    <x v="0"/>
    <x v="12"/>
    <x v="1311"/>
    <n v="60.67"/>
    <n v="2"/>
    <n v="14.41"/>
    <x v="8"/>
    <x v="1"/>
  </r>
  <r>
    <n v="44830"/>
    <x v="602"/>
    <x v="12"/>
    <x v="0"/>
    <x v="3"/>
    <x v="1172"/>
    <n v="77.03"/>
    <n v="9"/>
    <n v="-59.06"/>
    <x v="8"/>
    <x v="1"/>
  </r>
  <r>
    <n v="44830"/>
    <x v="602"/>
    <x v="12"/>
    <x v="0"/>
    <x v="2"/>
    <x v="355"/>
    <n v="119.9"/>
    <n v="6"/>
    <n v="-1.5"/>
    <x v="8"/>
    <x v="1"/>
  </r>
  <r>
    <n v="44830"/>
    <x v="602"/>
    <x v="12"/>
    <x v="2"/>
    <x v="6"/>
    <x v="987"/>
    <n v="263.95999999999998"/>
    <n v="5"/>
    <n v="23.1"/>
    <x v="8"/>
    <x v="1"/>
  </r>
  <r>
    <n v="44830"/>
    <x v="602"/>
    <x v="12"/>
    <x v="0"/>
    <x v="2"/>
    <x v="2"/>
    <n v="363.65"/>
    <n v="4"/>
    <n v="-86.37"/>
    <x v="8"/>
    <x v="1"/>
  </r>
  <r>
    <n v="44830"/>
    <x v="582"/>
    <x v="2"/>
    <x v="0"/>
    <x v="3"/>
    <x v="145"/>
    <n v="121.1"/>
    <n v="6"/>
    <n v="-100.92"/>
    <x v="8"/>
    <x v="1"/>
  </r>
  <r>
    <n v="44830"/>
    <x v="582"/>
    <x v="2"/>
    <x v="2"/>
    <x v="6"/>
    <x v="1327"/>
    <n v="45.89"/>
    <n v="1"/>
    <n v="-9.18"/>
    <x v="8"/>
    <x v="1"/>
  </r>
  <r>
    <n v="44830"/>
    <x v="697"/>
    <x v="3"/>
    <x v="0"/>
    <x v="2"/>
    <x v="929"/>
    <n v="64.17"/>
    <n v="3"/>
    <n v="18.61"/>
    <x v="8"/>
    <x v="1"/>
  </r>
  <r>
    <n v="44830"/>
    <x v="697"/>
    <x v="3"/>
    <x v="0"/>
    <x v="10"/>
    <x v="323"/>
    <n v="124.46"/>
    <n v="2"/>
    <n v="58.5"/>
    <x v="8"/>
    <x v="1"/>
  </r>
  <r>
    <n v="44830"/>
    <x v="413"/>
    <x v="20"/>
    <x v="2"/>
    <x v="9"/>
    <x v="1394"/>
    <n v="50"/>
    <n v="2"/>
    <n v="12"/>
    <x v="8"/>
    <x v="1"/>
  </r>
  <r>
    <n v="44830"/>
    <x v="344"/>
    <x v="20"/>
    <x v="0"/>
    <x v="7"/>
    <x v="693"/>
    <n v="34.44"/>
    <n v="3"/>
    <n v="16.190000000000001"/>
    <x v="8"/>
    <x v="1"/>
  </r>
  <r>
    <n v="44830"/>
    <x v="344"/>
    <x v="20"/>
    <x v="2"/>
    <x v="15"/>
    <x v="318"/>
    <n v="629.92999999999995"/>
    <n v="7"/>
    <n v="296.07"/>
    <x v="8"/>
    <x v="1"/>
  </r>
  <r>
    <n v="44830"/>
    <x v="344"/>
    <x v="20"/>
    <x v="0"/>
    <x v="3"/>
    <x v="1267"/>
    <n v="79.06"/>
    <n v="9"/>
    <n v="28.66"/>
    <x v="8"/>
    <x v="1"/>
  </r>
  <r>
    <n v="44831"/>
    <x v="685"/>
    <x v="1"/>
    <x v="0"/>
    <x v="3"/>
    <x v="556"/>
    <n v="15.08"/>
    <n v="2"/>
    <n v="-22.62"/>
    <x v="8"/>
    <x v="1"/>
  </r>
  <r>
    <n v="44831"/>
    <x v="685"/>
    <x v="1"/>
    <x v="1"/>
    <x v="8"/>
    <x v="1115"/>
    <n v="24.29"/>
    <n v="3"/>
    <n v="-12.75"/>
    <x v="8"/>
    <x v="1"/>
  </r>
  <r>
    <n v="44831"/>
    <x v="511"/>
    <x v="3"/>
    <x v="0"/>
    <x v="2"/>
    <x v="1034"/>
    <n v="15.51"/>
    <n v="1"/>
    <n v="4.34"/>
    <x v="8"/>
    <x v="1"/>
  </r>
  <r>
    <n v="44831"/>
    <x v="511"/>
    <x v="3"/>
    <x v="0"/>
    <x v="0"/>
    <x v="646"/>
    <n v="146.82"/>
    <n v="3"/>
    <n v="73.41"/>
    <x v="8"/>
    <x v="1"/>
  </r>
  <r>
    <n v="44831"/>
    <x v="511"/>
    <x v="3"/>
    <x v="0"/>
    <x v="0"/>
    <x v="291"/>
    <n v="12.96"/>
    <n v="2"/>
    <n v="6.22"/>
    <x v="8"/>
    <x v="1"/>
  </r>
  <r>
    <n v="44831"/>
    <x v="698"/>
    <x v="14"/>
    <x v="0"/>
    <x v="4"/>
    <x v="269"/>
    <n v="16.399999999999999"/>
    <n v="5"/>
    <n v="4.76"/>
    <x v="8"/>
    <x v="1"/>
  </r>
  <r>
    <n v="44831"/>
    <x v="698"/>
    <x v="14"/>
    <x v="0"/>
    <x v="0"/>
    <x v="1499"/>
    <n v="25.92"/>
    <n v="4"/>
    <n v="12.44"/>
    <x v="8"/>
    <x v="1"/>
  </r>
  <r>
    <n v="44831"/>
    <x v="295"/>
    <x v="6"/>
    <x v="0"/>
    <x v="0"/>
    <x v="728"/>
    <n v="154.9"/>
    <n v="5"/>
    <n v="69.709999999999994"/>
    <x v="8"/>
    <x v="1"/>
  </r>
  <r>
    <n v="44831"/>
    <x v="295"/>
    <x v="6"/>
    <x v="2"/>
    <x v="6"/>
    <x v="1379"/>
    <n v="1871.88"/>
    <n v="12"/>
    <n v="561.55999999999995"/>
    <x v="8"/>
    <x v="1"/>
  </r>
  <r>
    <n v="44831"/>
    <x v="531"/>
    <x v="22"/>
    <x v="0"/>
    <x v="4"/>
    <x v="609"/>
    <n v="99.2"/>
    <n v="5"/>
    <n v="25.79"/>
    <x v="8"/>
    <x v="1"/>
  </r>
  <r>
    <n v="44832"/>
    <x v="418"/>
    <x v="3"/>
    <x v="0"/>
    <x v="12"/>
    <x v="366"/>
    <n v="43.26"/>
    <n v="3"/>
    <n v="14.28"/>
    <x v="8"/>
    <x v="1"/>
  </r>
  <r>
    <n v="44832"/>
    <x v="418"/>
    <x v="3"/>
    <x v="0"/>
    <x v="12"/>
    <x v="1500"/>
    <n v="43.56"/>
    <n v="2"/>
    <n v="15.25"/>
    <x v="8"/>
    <x v="1"/>
  </r>
  <r>
    <n v="44832"/>
    <x v="456"/>
    <x v="26"/>
    <x v="0"/>
    <x v="10"/>
    <x v="858"/>
    <n v="12.54"/>
    <n v="1"/>
    <n v="4.2300000000000004"/>
    <x v="8"/>
    <x v="1"/>
  </r>
  <r>
    <n v="44832"/>
    <x v="456"/>
    <x v="26"/>
    <x v="0"/>
    <x v="3"/>
    <x v="106"/>
    <n v="1.08"/>
    <n v="2"/>
    <n v="-0.79"/>
    <x v="8"/>
    <x v="1"/>
  </r>
  <r>
    <n v="44832"/>
    <x v="456"/>
    <x v="26"/>
    <x v="0"/>
    <x v="7"/>
    <x v="78"/>
    <n v="4.51"/>
    <n v="3"/>
    <n v="0.85"/>
    <x v="8"/>
    <x v="1"/>
  </r>
  <r>
    <n v="44832"/>
    <x v="612"/>
    <x v="20"/>
    <x v="0"/>
    <x v="12"/>
    <x v="155"/>
    <n v="293.52"/>
    <n v="6"/>
    <n v="76.319999999999993"/>
    <x v="8"/>
    <x v="1"/>
  </r>
  <r>
    <n v="44832"/>
    <x v="612"/>
    <x v="20"/>
    <x v="2"/>
    <x v="6"/>
    <x v="855"/>
    <n v="307.98"/>
    <n v="2"/>
    <n v="89.31"/>
    <x v="8"/>
    <x v="1"/>
  </r>
  <r>
    <n v="44832"/>
    <x v="132"/>
    <x v="3"/>
    <x v="0"/>
    <x v="12"/>
    <x v="680"/>
    <n v="186.15"/>
    <n v="3"/>
    <n v="55.85"/>
    <x v="8"/>
    <x v="1"/>
  </r>
  <r>
    <n v="44832"/>
    <x v="132"/>
    <x v="3"/>
    <x v="0"/>
    <x v="3"/>
    <x v="978"/>
    <n v="81.790000000000006"/>
    <n v="6"/>
    <n v="26.58"/>
    <x v="8"/>
    <x v="1"/>
  </r>
  <r>
    <n v="44832"/>
    <x v="132"/>
    <x v="3"/>
    <x v="0"/>
    <x v="14"/>
    <x v="1501"/>
    <n v="47.19"/>
    <n v="3"/>
    <n v="13.69"/>
    <x v="8"/>
    <x v="1"/>
  </r>
  <r>
    <n v="44832"/>
    <x v="132"/>
    <x v="3"/>
    <x v="2"/>
    <x v="6"/>
    <x v="1502"/>
    <n v="36.78"/>
    <n v="2"/>
    <n v="-8.2799999999999994"/>
    <x v="8"/>
    <x v="1"/>
  </r>
  <r>
    <n v="44835"/>
    <x v="678"/>
    <x v="26"/>
    <x v="0"/>
    <x v="2"/>
    <x v="994"/>
    <n v="139.41999999999999"/>
    <n v="4"/>
    <n v="17.43"/>
    <x v="9"/>
    <x v="1"/>
  </r>
  <r>
    <n v="44835"/>
    <x v="508"/>
    <x v="32"/>
    <x v="2"/>
    <x v="6"/>
    <x v="1379"/>
    <n v="311.98"/>
    <n v="2"/>
    <n v="93.59"/>
    <x v="9"/>
    <x v="1"/>
  </r>
  <r>
    <n v="44835"/>
    <x v="508"/>
    <x v="32"/>
    <x v="0"/>
    <x v="3"/>
    <x v="263"/>
    <n v="22.45"/>
    <n v="5"/>
    <n v="10.33"/>
    <x v="9"/>
    <x v="1"/>
  </r>
  <r>
    <n v="44835"/>
    <x v="699"/>
    <x v="1"/>
    <x v="0"/>
    <x v="3"/>
    <x v="949"/>
    <n v="2.99"/>
    <n v="4"/>
    <n v="-4.49"/>
    <x v="9"/>
    <x v="1"/>
  </r>
  <r>
    <n v="44835"/>
    <x v="699"/>
    <x v="1"/>
    <x v="2"/>
    <x v="9"/>
    <x v="1381"/>
    <n v="108.77"/>
    <n v="4"/>
    <n v="2.72"/>
    <x v="9"/>
    <x v="1"/>
  </r>
  <r>
    <n v="44835"/>
    <x v="699"/>
    <x v="11"/>
    <x v="2"/>
    <x v="6"/>
    <x v="387"/>
    <n v="572.79999999999995"/>
    <n v="2"/>
    <n v="50.12"/>
    <x v="9"/>
    <x v="1"/>
  </r>
  <r>
    <n v="44836"/>
    <x v="290"/>
    <x v="3"/>
    <x v="0"/>
    <x v="3"/>
    <x v="302"/>
    <n v="57.5"/>
    <n v="6"/>
    <n v="20.13"/>
    <x v="9"/>
    <x v="1"/>
  </r>
  <r>
    <n v="44836"/>
    <x v="359"/>
    <x v="23"/>
    <x v="0"/>
    <x v="0"/>
    <x v="1175"/>
    <n v="94.85"/>
    <n v="5"/>
    <n v="45.53"/>
    <x v="9"/>
    <x v="1"/>
  </r>
  <r>
    <n v="44836"/>
    <x v="359"/>
    <x v="23"/>
    <x v="0"/>
    <x v="10"/>
    <x v="681"/>
    <n v="51.12"/>
    <n v="4"/>
    <n v="23"/>
    <x v="9"/>
    <x v="1"/>
  </r>
  <r>
    <n v="44836"/>
    <x v="359"/>
    <x v="23"/>
    <x v="2"/>
    <x v="9"/>
    <x v="993"/>
    <n v="90"/>
    <n v="1"/>
    <n v="32.4"/>
    <x v="9"/>
    <x v="1"/>
  </r>
  <r>
    <n v="44836"/>
    <x v="431"/>
    <x v="3"/>
    <x v="0"/>
    <x v="2"/>
    <x v="836"/>
    <n v="270.33999999999997"/>
    <n v="14"/>
    <n v="75.7"/>
    <x v="9"/>
    <x v="1"/>
  </r>
  <r>
    <n v="44836"/>
    <x v="70"/>
    <x v="25"/>
    <x v="0"/>
    <x v="3"/>
    <x v="1058"/>
    <n v="7.38"/>
    <n v="5"/>
    <n v="-5.41"/>
    <x v="9"/>
    <x v="1"/>
  </r>
  <r>
    <n v="44836"/>
    <x v="700"/>
    <x v="3"/>
    <x v="0"/>
    <x v="3"/>
    <x v="1058"/>
    <n v="11.81"/>
    <n v="3"/>
    <n v="4.13"/>
    <x v="9"/>
    <x v="1"/>
  </r>
  <r>
    <n v="44836"/>
    <x v="700"/>
    <x v="3"/>
    <x v="0"/>
    <x v="3"/>
    <x v="361"/>
    <n v="53.57"/>
    <n v="4"/>
    <n v="19.420000000000002"/>
    <x v="9"/>
    <x v="1"/>
  </r>
  <r>
    <n v="44836"/>
    <x v="700"/>
    <x v="3"/>
    <x v="2"/>
    <x v="6"/>
    <x v="504"/>
    <n v="503.96"/>
    <n v="5"/>
    <n v="50.4"/>
    <x v="9"/>
    <x v="1"/>
  </r>
  <r>
    <n v="44836"/>
    <x v="634"/>
    <x v="37"/>
    <x v="0"/>
    <x v="3"/>
    <x v="374"/>
    <n v="26.9"/>
    <n v="5"/>
    <n v="13.18"/>
    <x v="9"/>
    <x v="1"/>
  </r>
  <r>
    <n v="44836"/>
    <x v="320"/>
    <x v="36"/>
    <x v="0"/>
    <x v="0"/>
    <x v="1382"/>
    <n v="19.440000000000001"/>
    <n v="3"/>
    <n v="9.33"/>
    <x v="9"/>
    <x v="1"/>
  </r>
  <r>
    <n v="44836"/>
    <x v="320"/>
    <x v="36"/>
    <x v="0"/>
    <x v="3"/>
    <x v="116"/>
    <n v="7.38"/>
    <n v="1"/>
    <n v="3.62"/>
    <x v="9"/>
    <x v="1"/>
  </r>
  <r>
    <n v="44836"/>
    <x v="218"/>
    <x v="26"/>
    <x v="0"/>
    <x v="14"/>
    <x v="777"/>
    <n v="10.94"/>
    <n v="2"/>
    <n v="0.96"/>
    <x v="9"/>
    <x v="1"/>
  </r>
  <r>
    <n v="44836"/>
    <x v="74"/>
    <x v="11"/>
    <x v="1"/>
    <x v="8"/>
    <x v="568"/>
    <n v="11.03"/>
    <n v="1"/>
    <n v="3.03"/>
    <x v="9"/>
    <x v="1"/>
  </r>
  <r>
    <n v="44836"/>
    <x v="74"/>
    <x v="11"/>
    <x v="2"/>
    <x v="9"/>
    <x v="225"/>
    <n v="53.04"/>
    <n v="3"/>
    <n v="-4.6399999999999997"/>
    <x v="9"/>
    <x v="1"/>
  </r>
  <r>
    <n v="44837"/>
    <x v="240"/>
    <x v="10"/>
    <x v="0"/>
    <x v="3"/>
    <x v="583"/>
    <n v="32.07"/>
    <n v="5"/>
    <n v="-22.45"/>
    <x v="9"/>
    <x v="1"/>
  </r>
  <r>
    <n v="44837"/>
    <x v="240"/>
    <x v="10"/>
    <x v="2"/>
    <x v="9"/>
    <x v="623"/>
    <n v="24"/>
    <n v="2"/>
    <n v="-2.7"/>
    <x v="9"/>
    <x v="1"/>
  </r>
  <r>
    <n v="44837"/>
    <x v="240"/>
    <x v="10"/>
    <x v="1"/>
    <x v="11"/>
    <x v="69"/>
    <n v="35.49"/>
    <n v="1"/>
    <n v="-15.62"/>
    <x v="9"/>
    <x v="1"/>
  </r>
  <r>
    <n v="44837"/>
    <x v="240"/>
    <x v="10"/>
    <x v="2"/>
    <x v="9"/>
    <x v="1503"/>
    <n v="47.98"/>
    <n v="2"/>
    <n v="0.6"/>
    <x v="9"/>
    <x v="1"/>
  </r>
  <r>
    <n v="44837"/>
    <x v="126"/>
    <x v="2"/>
    <x v="0"/>
    <x v="2"/>
    <x v="163"/>
    <n v="15.01"/>
    <n v="2"/>
    <n v="1.5"/>
    <x v="9"/>
    <x v="1"/>
  </r>
  <r>
    <n v="44837"/>
    <x v="206"/>
    <x v="3"/>
    <x v="1"/>
    <x v="11"/>
    <x v="69"/>
    <n v="120.67"/>
    <n v="2"/>
    <n v="18.45"/>
    <x v="9"/>
    <x v="1"/>
  </r>
  <r>
    <n v="44838"/>
    <x v="561"/>
    <x v="4"/>
    <x v="1"/>
    <x v="5"/>
    <x v="215"/>
    <n v="392.94"/>
    <n v="3"/>
    <n v="43.22"/>
    <x v="9"/>
    <x v="1"/>
  </r>
  <r>
    <n v="44838"/>
    <x v="116"/>
    <x v="3"/>
    <x v="0"/>
    <x v="2"/>
    <x v="1369"/>
    <n v="26.96"/>
    <n v="2"/>
    <n v="7.01"/>
    <x v="9"/>
    <x v="1"/>
  </r>
  <r>
    <n v="44838"/>
    <x v="488"/>
    <x v="2"/>
    <x v="1"/>
    <x v="8"/>
    <x v="643"/>
    <n v="64.94"/>
    <n v="3"/>
    <n v="6.49"/>
    <x v="9"/>
    <x v="1"/>
  </r>
  <r>
    <n v="44838"/>
    <x v="488"/>
    <x v="2"/>
    <x v="0"/>
    <x v="0"/>
    <x v="1504"/>
    <n v="20.74"/>
    <n v="4"/>
    <n v="7.26"/>
    <x v="9"/>
    <x v="1"/>
  </r>
  <r>
    <n v="44839"/>
    <x v="701"/>
    <x v="6"/>
    <x v="0"/>
    <x v="4"/>
    <x v="619"/>
    <n v="46.2"/>
    <n v="4"/>
    <n v="12.94"/>
    <x v="9"/>
    <x v="1"/>
  </r>
  <r>
    <n v="44839"/>
    <x v="701"/>
    <x v="6"/>
    <x v="0"/>
    <x v="12"/>
    <x v="366"/>
    <n v="28.84"/>
    <n v="2"/>
    <n v="9.52"/>
    <x v="9"/>
    <x v="1"/>
  </r>
  <r>
    <n v="44839"/>
    <x v="472"/>
    <x v="7"/>
    <x v="0"/>
    <x v="2"/>
    <x v="1034"/>
    <n v="77.55"/>
    <n v="5"/>
    <n v="21.71"/>
    <x v="9"/>
    <x v="1"/>
  </r>
  <r>
    <n v="44839"/>
    <x v="337"/>
    <x v="10"/>
    <x v="2"/>
    <x v="9"/>
    <x v="225"/>
    <n v="53.04"/>
    <n v="3"/>
    <n v="-4.6399999999999997"/>
    <x v="9"/>
    <x v="1"/>
  </r>
  <r>
    <n v="44839"/>
    <x v="467"/>
    <x v="11"/>
    <x v="1"/>
    <x v="11"/>
    <x v="1505"/>
    <n v="66.290000000000006"/>
    <n v="1"/>
    <n v="-103.86"/>
    <x v="9"/>
    <x v="1"/>
  </r>
  <r>
    <n v="44839"/>
    <x v="467"/>
    <x v="11"/>
    <x v="1"/>
    <x v="5"/>
    <x v="26"/>
    <n v="291.17"/>
    <n v="4"/>
    <n v="-14.56"/>
    <x v="9"/>
    <x v="1"/>
  </r>
  <r>
    <n v="44839"/>
    <x v="325"/>
    <x v="10"/>
    <x v="2"/>
    <x v="9"/>
    <x v="993"/>
    <n v="288"/>
    <n v="4"/>
    <n v="57.6"/>
    <x v="9"/>
    <x v="1"/>
  </r>
  <r>
    <n v="44842"/>
    <x v="337"/>
    <x v="3"/>
    <x v="1"/>
    <x v="8"/>
    <x v="886"/>
    <n v="145.9"/>
    <n v="5"/>
    <n v="62.74"/>
    <x v="9"/>
    <x v="1"/>
  </r>
  <r>
    <n v="44842"/>
    <x v="542"/>
    <x v="0"/>
    <x v="0"/>
    <x v="4"/>
    <x v="319"/>
    <n v="3.44"/>
    <n v="2"/>
    <n v="0.56000000000000005"/>
    <x v="9"/>
    <x v="1"/>
  </r>
  <r>
    <n v="44842"/>
    <x v="702"/>
    <x v="0"/>
    <x v="1"/>
    <x v="8"/>
    <x v="339"/>
    <n v="72.78"/>
    <n v="3"/>
    <n v="-70.959999999999994"/>
    <x v="9"/>
    <x v="1"/>
  </r>
  <r>
    <n v="44843"/>
    <x v="610"/>
    <x v="6"/>
    <x v="0"/>
    <x v="2"/>
    <x v="847"/>
    <n v="30.84"/>
    <n v="2"/>
    <n v="8.33"/>
    <x v="9"/>
    <x v="1"/>
  </r>
  <r>
    <n v="44843"/>
    <x v="560"/>
    <x v="20"/>
    <x v="2"/>
    <x v="6"/>
    <x v="303"/>
    <n v="631.96"/>
    <n v="4"/>
    <n v="303.33999999999997"/>
    <x v="9"/>
    <x v="1"/>
  </r>
  <r>
    <n v="44843"/>
    <x v="560"/>
    <x v="20"/>
    <x v="0"/>
    <x v="0"/>
    <x v="563"/>
    <n v="23.92"/>
    <n v="4"/>
    <n v="10.76"/>
    <x v="9"/>
    <x v="1"/>
  </r>
  <r>
    <n v="44843"/>
    <x v="291"/>
    <x v="14"/>
    <x v="2"/>
    <x v="9"/>
    <x v="1464"/>
    <n v="619.95000000000005"/>
    <n v="5"/>
    <n v="111.59"/>
    <x v="9"/>
    <x v="1"/>
  </r>
  <r>
    <n v="44843"/>
    <x v="291"/>
    <x v="14"/>
    <x v="2"/>
    <x v="6"/>
    <x v="1506"/>
    <n v="29.16"/>
    <n v="3"/>
    <n v="8.4600000000000009"/>
    <x v="9"/>
    <x v="1"/>
  </r>
  <r>
    <n v="44843"/>
    <x v="291"/>
    <x v="14"/>
    <x v="0"/>
    <x v="10"/>
    <x v="21"/>
    <n v="57.96"/>
    <n v="7"/>
    <n v="27.24"/>
    <x v="9"/>
    <x v="1"/>
  </r>
  <r>
    <n v="44843"/>
    <x v="291"/>
    <x v="14"/>
    <x v="0"/>
    <x v="12"/>
    <x v="188"/>
    <n v="29.4"/>
    <n v="3"/>
    <n v="5.23"/>
    <x v="9"/>
    <x v="1"/>
  </r>
  <r>
    <n v="44843"/>
    <x v="256"/>
    <x v="16"/>
    <x v="0"/>
    <x v="3"/>
    <x v="253"/>
    <n v="1.87"/>
    <n v="2"/>
    <n v="-1.31"/>
    <x v="9"/>
    <x v="1"/>
  </r>
  <r>
    <n v="44843"/>
    <x v="256"/>
    <x v="16"/>
    <x v="0"/>
    <x v="3"/>
    <x v="604"/>
    <n v="11.21"/>
    <n v="2"/>
    <n v="-8.6"/>
    <x v="9"/>
    <x v="1"/>
  </r>
  <r>
    <n v="44843"/>
    <x v="256"/>
    <x v="16"/>
    <x v="0"/>
    <x v="4"/>
    <x v="1263"/>
    <n v="37.380000000000003"/>
    <n v="8"/>
    <n v="7.48"/>
    <x v="9"/>
    <x v="1"/>
  </r>
  <r>
    <n v="44843"/>
    <x v="667"/>
    <x v="14"/>
    <x v="1"/>
    <x v="5"/>
    <x v="1155"/>
    <n v="389.97"/>
    <n v="3"/>
    <n v="35.1"/>
    <x v="9"/>
    <x v="1"/>
  </r>
  <r>
    <n v="44843"/>
    <x v="667"/>
    <x v="14"/>
    <x v="0"/>
    <x v="12"/>
    <x v="879"/>
    <n v="269.91000000000003"/>
    <n v="5"/>
    <n v="53.98"/>
    <x v="9"/>
    <x v="1"/>
  </r>
  <r>
    <n v="44844"/>
    <x v="561"/>
    <x v="3"/>
    <x v="0"/>
    <x v="0"/>
    <x v="1365"/>
    <n v="45.36"/>
    <n v="7"/>
    <n v="21.77"/>
    <x v="9"/>
    <x v="1"/>
  </r>
  <r>
    <n v="44844"/>
    <x v="628"/>
    <x v="16"/>
    <x v="0"/>
    <x v="2"/>
    <x v="694"/>
    <n v="1801.63"/>
    <n v="6"/>
    <n v="-337.81"/>
    <x v="9"/>
    <x v="1"/>
  </r>
  <r>
    <n v="44844"/>
    <x v="547"/>
    <x v="1"/>
    <x v="0"/>
    <x v="4"/>
    <x v="191"/>
    <n v="8.02"/>
    <n v="3"/>
    <n v="1"/>
    <x v="9"/>
    <x v="1"/>
  </r>
  <r>
    <n v="44844"/>
    <x v="549"/>
    <x v="3"/>
    <x v="1"/>
    <x v="5"/>
    <x v="1082"/>
    <n v="362.14"/>
    <n v="3"/>
    <n v="-54.32"/>
    <x v="9"/>
    <x v="1"/>
  </r>
  <r>
    <n v="44844"/>
    <x v="549"/>
    <x v="3"/>
    <x v="0"/>
    <x v="1"/>
    <x v="1476"/>
    <n v="31.05"/>
    <n v="3"/>
    <n v="14.9"/>
    <x v="9"/>
    <x v="1"/>
  </r>
  <r>
    <n v="44845"/>
    <x v="703"/>
    <x v="16"/>
    <x v="1"/>
    <x v="13"/>
    <x v="1091"/>
    <n v="957.58"/>
    <n v="5"/>
    <n v="-383.03"/>
    <x v="9"/>
    <x v="1"/>
  </r>
  <r>
    <n v="44845"/>
    <x v="703"/>
    <x v="16"/>
    <x v="0"/>
    <x v="2"/>
    <x v="49"/>
    <n v="22.37"/>
    <n v="2"/>
    <n v="2.52"/>
    <x v="9"/>
    <x v="1"/>
  </r>
  <r>
    <n v="44845"/>
    <x v="489"/>
    <x v="20"/>
    <x v="2"/>
    <x v="9"/>
    <x v="1106"/>
    <n v="31.95"/>
    <n v="1"/>
    <n v="2.2400000000000002"/>
    <x v="9"/>
    <x v="1"/>
  </r>
  <r>
    <n v="44846"/>
    <x v="114"/>
    <x v="20"/>
    <x v="1"/>
    <x v="11"/>
    <x v="1205"/>
    <n v="899.14"/>
    <n v="4"/>
    <n v="112.39"/>
    <x v="9"/>
    <x v="1"/>
  </r>
  <r>
    <n v="44846"/>
    <x v="114"/>
    <x v="20"/>
    <x v="2"/>
    <x v="6"/>
    <x v="441"/>
    <n v="71.760000000000005"/>
    <n v="6"/>
    <n v="20.09"/>
    <x v="9"/>
    <x v="1"/>
  </r>
  <r>
    <n v="44846"/>
    <x v="114"/>
    <x v="20"/>
    <x v="0"/>
    <x v="0"/>
    <x v="454"/>
    <n v="51.84"/>
    <n v="8"/>
    <n v="24.88"/>
    <x v="9"/>
    <x v="1"/>
  </r>
  <r>
    <n v="44846"/>
    <x v="114"/>
    <x v="20"/>
    <x v="1"/>
    <x v="11"/>
    <x v="1028"/>
    <n v="626.35"/>
    <n v="3"/>
    <n v="46.98"/>
    <x v="9"/>
    <x v="1"/>
  </r>
  <r>
    <n v="44846"/>
    <x v="114"/>
    <x v="20"/>
    <x v="0"/>
    <x v="4"/>
    <x v="29"/>
    <n v="19.899999999999999"/>
    <n v="5"/>
    <n v="6.57"/>
    <x v="9"/>
    <x v="1"/>
  </r>
  <r>
    <n v="44846"/>
    <x v="670"/>
    <x v="20"/>
    <x v="1"/>
    <x v="13"/>
    <x v="670"/>
    <n v="209.67"/>
    <n v="1"/>
    <n v="-13.98"/>
    <x v="9"/>
    <x v="1"/>
  </r>
  <r>
    <n v="44846"/>
    <x v="392"/>
    <x v="18"/>
    <x v="2"/>
    <x v="6"/>
    <x v="80"/>
    <n v="135.72"/>
    <n v="3"/>
    <n v="35.29"/>
    <x v="9"/>
    <x v="1"/>
  </r>
  <r>
    <n v="44846"/>
    <x v="392"/>
    <x v="18"/>
    <x v="0"/>
    <x v="3"/>
    <x v="898"/>
    <n v="12.56"/>
    <n v="2"/>
    <n v="5.65"/>
    <x v="9"/>
    <x v="1"/>
  </r>
  <r>
    <n v="44846"/>
    <x v="392"/>
    <x v="18"/>
    <x v="2"/>
    <x v="6"/>
    <x v="987"/>
    <n v="263.95999999999998"/>
    <n v="4"/>
    <n v="71.27"/>
    <x v="9"/>
    <x v="1"/>
  </r>
  <r>
    <n v="44846"/>
    <x v="75"/>
    <x v="22"/>
    <x v="2"/>
    <x v="9"/>
    <x v="907"/>
    <n v="17.899999999999999"/>
    <n v="2"/>
    <n v="3.4"/>
    <x v="9"/>
    <x v="1"/>
  </r>
  <r>
    <n v="44846"/>
    <x v="75"/>
    <x v="22"/>
    <x v="0"/>
    <x v="2"/>
    <x v="147"/>
    <n v="81.96"/>
    <n v="2"/>
    <n v="0"/>
    <x v="9"/>
    <x v="1"/>
  </r>
  <r>
    <n v="44847"/>
    <x v="192"/>
    <x v="5"/>
    <x v="2"/>
    <x v="6"/>
    <x v="441"/>
    <n v="83.72"/>
    <n v="7"/>
    <n v="23.44"/>
    <x v="9"/>
    <x v="1"/>
  </r>
  <r>
    <n v="44847"/>
    <x v="192"/>
    <x v="5"/>
    <x v="1"/>
    <x v="5"/>
    <x v="1182"/>
    <n v="287.94"/>
    <n v="3"/>
    <n v="77.739999999999995"/>
    <x v="9"/>
    <x v="1"/>
  </r>
  <r>
    <n v="44849"/>
    <x v="205"/>
    <x v="1"/>
    <x v="2"/>
    <x v="9"/>
    <x v="711"/>
    <n v="339.96"/>
    <n v="5"/>
    <n v="67.989999999999995"/>
    <x v="9"/>
    <x v="1"/>
  </r>
  <r>
    <n v="44849"/>
    <x v="264"/>
    <x v="0"/>
    <x v="2"/>
    <x v="9"/>
    <x v="1507"/>
    <n v="263.88"/>
    <n v="3"/>
    <n v="42.88"/>
    <x v="9"/>
    <x v="1"/>
  </r>
  <r>
    <n v="44849"/>
    <x v="264"/>
    <x v="0"/>
    <x v="1"/>
    <x v="5"/>
    <x v="599"/>
    <n v="2453.4299999999998"/>
    <n v="5"/>
    <n v="-350.49"/>
    <x v="9"/>
    <x v="1"/>
  </r>
  <r>
    <n v="44849"/>
    <x v="41"/>
    <x v="14"/>
    <x v="1"/>
    <x v="8"/>
    <x v="635"/>
    <n v="17.14"/>
    <n v="2"/>
    <n v="6.17"/>
    <x v="9"/>
    <x v="1"/>
  </r>
  <r>
    <n v="44849"/>
    <x v="704"/>
    <x v="0"/>
    <x v="1"/>
    <x v="8"/>
    <x v="851"/>
    <n v="131.38"/>
    <n v="6"/>
    <n v="-95.25"/>
    <x v="9"/>
    <x v="1"/>
  </r>
  <r>
    <n v="44849"/>
    <x v="704"/>
    <x v="0"/>
    <x v="0"/>
    <x v="0"/>
    <x v="750"/>
    <n v="5.34"/>
    <n v="1"/>
    <n v="1.87"/>
    <x v="9"/>
    <x v="1"/>
  </r>
  <r>
    <n v="44849"/>
    <x v="471"/>
    <x v="0"/>
    <x v="0"/>
    <x v="10"/>
    <x v="21"/>
    <n v="4.46"/>
    <n v="1"/>
    <n v="1.67"/>
    <x v="9"/>
    <x v="1"/>
  </r>
  <r>
    <n v="44849"/>
    <x v="471"/>
    <x v="0"/>
    <x v="0"/>
    <x v="3"/>
    <x v="1508"/>
    <n v="3.96"/>
    <n v="10"/>
    <n v="-6.93"/>
    <x v="9"/>
    <x v="1"/>
  </r>
  <r>
    <n v="44850"/>
    <x v="634"/>
    <x v="20"/>
    <x v="2"/>
    <x v="6"/>
    <x v="1404"/>
    <n v="824.97"/>
    <n v="3"/>
    <n v="214.49"/>
    <x v="9"/>
    <x v="1"/>
  </r>
  <r>
    <n v="44851"/>
    <x v="693"/>
    <x v="3"/>
    <x v="0"/>
    <x v="2"/>
    <x v="945"/>
    <n v="77.88"/>
    <n v="2"/>
    <n v="3.89"/>
    <x v="9"/>
    <x v="1"/>
  </r>
  <r>
    <n v="44852"/>
    <x v="61"/>
    <x v="0"/>
    <x v="2"/>
    <x v="9"/>
    <x v="1509"/>
    <n v="27.7"/>
    <n v="3"/>
    <n v="3.46"/>
    <x v="9"/>
    <x v="1"/>
  </r>
  <r>
    <n v="44852"/>
    <x v="61"/>
    <x v="0"/>
    <x v="0"/>
    <x v="12"/>
    <x v="1510"/>
    <n v="73.16"/>
    <n v="6"/>
    <n v="-186.57"/>
    <x v="9"/>
    <x v="1"/>
  </r>
  <r>
    <n v="44852"/>
    <x v="405"/>
    <x v="22"/>
    <x v="2"/>
    <x v="6"/>
    <x v="1426"/>
    <n v="249.58"/>
    <n v="2"/>
    <n v="15.6"/>
    <x v="9"/>
    <x v="1"/>
  </r>
  <r>
    <n v="44852"/>
    <x v="405"/>
    <x v="22"/>
    <x v="0"/>
    <x v="0"/>
    <x v="938"/>
    <n v="17.940000000000001"/>
    <n v="3"/>
    <n v="8.7899999999999991"/>
    <x v="9"/>
    <x v="1"/>
  </r>
  <r>
    <n v="44852"/>
    <x v="405"/>
    <x v="22"/>
    <x v="1"/>
    <x v="8"/>
    <x v="1043"/>
    <n v="10.11"/>
    <n v="3"/>
    <n v="3.24"/>
    <x v="9"/>
    <x v="1"/>
  </r>
  <r>
    <n v="44853"/>
    <x v="463"/>
    <x v="38"/>
    <x v="0"/>
    <x v="0"/>
    <x v="1052"/>
    <n v="34.44"/>
    <n v="3"/>
    <n v="17.22"/>
    <x v="9"/>
    <x v="1"/>
  </r>
  <r>
    <n v="44853"/>
    <x v="62"/>
    <x v="14"/>
    <x v="0"/>
    <x v="3"/>
    <x v="405"/>
    <n v="38.28"/>
    <n v="6"/>
    <n v="17.61"/>
    <x v="9"/>
    <x v="1"/>
  </r>
  <r>
    <n v="44853"/>
    <x v="62"/>
    <x v="14"/>
    <x v="2"/>
    <x v="6"/>
    <x v="1511"/>
    <n v="149.94999999999999"/>
    <n v="5"/>
    <n v="44.99"/>
    <x v="9"/>
    <x v="1"/>
  </r>
  <r>
    <n v="44853"/>
    <x v="508"/>
    <x v="3"/>
    <x v="0"/>
    <x v="12"/>
    <x v="1512"/>
    <n v="1640.7"/>
    <n v="5"/>
    <n v="459.4"/>
    <x v="9"/>
    <x v="1"/>
  </r>
  <r>
    <n v="44853"/>
    <x v="508"/>
    <x v="3"/>
    <x v="2"/>
    <x v="9"/>
    <x v="993"/>
    <n v="270"/>
    <n v="3"/>
    <n v="97.2"/>
    <x v="9"/>
    <x v="1"/>
  </r>
  <r>
    <n v="44853"/>
    <x v="178"/>
    <x v="0"/>
    <x v="0"/>
    <x v="3"/>
    <x v="1513"/>
    <n v="1.72"/>
    <n v="1"/>
    <n v="-2.84"/>
    <x v="9"/>
    <x v="1"/>
  </r>
  <r>
    <n v="44854"/>
    <x v="270"/>
    <x v="3"/>
    <x v="2"/>
    <x v="9"/>
    <x v="615"/>
    <n v="239.97"/>
    <n v="3"/>
    <n v="86.39"/>
    <x v="9"/>
    <x v="1"/>
  </r>
  <r>
    <n v="44854"/>
    <x v="270"/>
    <x v="3"/>
    <x v="1"/>
    <x v="8"/>
    <x v="533"/>
    <n v="16.02"/>
    <n v="6"/>
    <n v="6.09"/>
    <x v="9"/>
    <x v="1"/>
  </r>
  <r>
    <n v="44854"/>
    <x v="282"/>
    <x v="20"/>
    <x v="0"/>
    <x v="0"/>
    <x v="371"/>
    <n v="24.56"/>
    <n v="2"/>
    <n v="11.54"/>
    <x v="9"/>
    <x v="1"/>
  </r>
  <r>
    <n v="44854"/>
    <x v="149"/>
    <x v="3"/>
    <x v="1"/>
    <x v="8"/>
    <x v="1514"/>
    <n v="74.760000000000005"/>
    <n v="7"/>
    <n v="23.92"/>
    <x v="9"/>
    <x v="1"/>
  </r>
  <r>
    <n v="44854"/>
    <x v="149"/>
    <x v="3"/>
    <x v="1"/>
    <x v="13"/>
    <x v="295"/>
    <n v="364.78"/>
    <n v="3"/>
    <n v="27.36"/>
    <x v="9"/>
    <x v="1"/>
  </r>
  <r>
    <n v="44856"/>
    <x v="235"/>
    <x v="1"/>
    <x v="0"/>
    <x v="3"/>
    <x v="871"/>
    <n v="5.18"/>
    <n v="4"/>
    <n v="-7.76"/>
    <x v="9"/>
    <x v="1"/>
  </r>
  <r>
    <n v="44856"/>
    <x v="344"/>
    <x v="16"/>
    <x v="0"/>
    <x v="2"/>
    <x v="304"/>
    <n v="9.9499999999999993"/>
    <n v="1"/>
    <n v="1"/>
    <x v="9"/>
    <x v="1"/>
  </r>
  <r>
    <n v="44857"/>
    <x v="705"/>
    <x v="3"/>
    <x v="2"/>
    <x v="9"/>
    <x v="89"/>
    <n v="148.32"/>
    <n v="9"/>
    <n v="63.78"/>
    <x v="9"/>
    <x v="1"/>
  </r>
  <r>
    <n v="44857"/>
    <x v="705"/>
    <x v="3"/>
    <x v="1"/>
    <x v="5"/>
    <x v="149"/>
    <n v="240.78"/>
    <n v="1"/>
    <n v="27.09"/>
    <x v="9"/>
    <x v="1"/>
  </r>
  <r>
    <n v="44857"/>
    <x v="705"/>
    <x v="3"/>
    <x v="1"/>
    <x v="5"/>
    <x v="1350"/>
    <n v="191.97"/>
    <n v="7"/>
    <n v="16.8"/>
    <x v="9"/>
    <x v="1"/>
  </r>
  <r>
    <n v="44857"/>
    <x v="705"/>
    <x v="3"/>
    <x v="0"/>
    <x v="0"/>
    <x v="1515"/>
    <n v="11.56"/>
    <n v="2"/>
    <n v="5.66"/>
    <x v="9"/>
    <x v="1"/>
  </r>
  <r>
    <n v="44857"/>
    <x v="705"/>
    <x v="3"/>
    <x v="0"/>
    <x v="10"/>
    <x v="732"/>
    <n v="11.8"/>
    <n v="4"/>
    <n v="5.66"/>
    <x v="9"/>
    <x v="1"/>
  </r>
  <r>
    <n v="44857"/>
    <x v="705"/>
    <x v="3"/>
    <x v="1"/>
    <x v="5"/>
    <x v="1107"/>
    <n v="842.35"/>
    <n v="3"/>
    <n v="42.12"/>
    <x v="9"/>
    <x v="1"/>
  </r>
  <r>
    <n v="44857"/>
    <x v="565"/>
    <x v="16"/>
    <x v="2"/>
    <x v="6"/>
    <x v="1201"/>
    <n v="55.94"/>
    <n v="7"/>
    <n v="-13.29"/>
    <x v="9"/>
    <x v="1"/>
  </r>
  <r>
    <n v="44857"/>
    <x v="565"/>
    <x v="16"/>
    <x v="0"/>
    <x v="4"/>
    <x v="470"/>
    <n v="10.69"/>
    <n v="2"/>
    <n v="2.27"/>
    <x v="9"/>
    <x v="1"/>
  </r>
  <r>
    <n v="44857"/>
    <x v="565"/>
    <x v="16"/>
    <x v="2"/>
    <x v="6"/>
    <x v="1516"/>
    <n v="11.82"/>
    <n v="2"/>
    <n v="1.03"/>
    <x v="9"/>
    <x v="1"/>
  </r>
  <r>
    <n v="44857"/>
    <x v="597"/>
    <x v="22"/>
    <x v="0"/>
    <x v="3"/>
    <x v="263"/>
    <n v="3.59"/>
    <n v="1"/>
    <n v="1.1200000000000001"/>
    <x v="9"/>
    <x v="1"/>
  </r>
  <r>
    <n v="44857"/>
    <x v="364"/>
    <x v="0"/>
    <x v="0"/>
    <x v="0"/>
    <x v="1427"/>
    <n v="36.29"/>
    <n v="7"/>
    <n v="12.7"/>
    <x v="9"/>
    <x v="1"/>
  </r>
  <r>
    <n v="44857"/>
    <x v="364"/>
    <x v="0"/>
    <x v="2"/>
    <x v="6"/>
    <x v="67"/>
    <n v="150.38"/>
    <n v="2"/>
    <n v="15.04"/>
    <x v="9"/>
    <x v="1"/>
  </r>
  <r>
    <n v="44857"/>
    <x v="96"/>
    <x v="0"/>
    <x v="0"/>
    <x v="0"/>
    <x v="117"/>
    <n v="60.74"/>
    <n v="8"/>
    <n v="20.5"/>
    <x v="9"/>
    <x v="1"/>
  </r>
  <r>
    <n v="44857"/>
    <x v="96"/>
    <x v="0"/>
    <x v="2"/>
    <x v="16"/>
    <x v="1308"/>
    <n v="479.98"/>
    <n v="3"/>
    <n v="161.99"/>
    <x v="9"/>
    <x v="1"/>
  </r>
  <r>
    <n v="44857"/>
    <x v="96"/>
    <x v="0"/>
    <x v="0"/>
    <x v="3"/>
    <x v="417"/>
    <n v="6.08"/>
    <n v="1"/>
    <n v="-10.34"/>
    <x v="9"/>
    <x v="1"/>
  </r>
  <r>
    <n v="44858"/>
    <x v="597"/>
    <x v="0"/>
    <x v="0"/>
    <x v="0"/>
    <x v="423"/>
    <n v="15.55"/>
    <n v="3"/>
    <n v="5.44"/>
    <x v="9"/>
    <x v="1"/>
  </r>
  <r>
    <n v="44858"/>
    <x v="597"/>
    <x v="0"/>
    <x v="1"/>
    <x v="13"/>
    <x v="436"/>
    <n v="347.36"/>
    <n v="7"/>
    <n v="-69.47"/>
    <x v="9"/>
    <x v="1"/>
  </r>
  <r>
    <n v="44858"/>
    <x v="597"/>
    <x v="0"/>
    <x v="0"/>
    <x v="0"/>
    <x v="507"/>
    <n v="10.37"/>
    <n v="2"/>
    <n v="3.63"/>
    <x v="9"/>
    <x v="1"/>
  </r>
  <r>
    <n v="44858"/>
    <x v="428"/>
    <x v="0"/>
    <x v="0"/>
    <x v="3"/>
    <x v="263"/>
    <n v="3.59"/>
    <n v="4"/>
    <n v="-6.29"/>
    <x v="9"/>
    <x v="1"/>
  </r>
  <r>
    <n v="44858"/>
    <x v="629"/>
    <x v="3"/>
    <x v="1"/>
    <x v="5"/>
    <x v="1400"/>
    <n v="454.27"/>
    <n v="8"/>
    <n v="-73.819999999999993"/>
    <x v="9"/>
    <x v="1"/>
  </r>
  <r>
    <n v="44859"/>
    <x v="335"/>
    <x v="3"/>
    <x v="0"/>
    <x v="4"/>
    <x v="1473"/>
    <n v="60.45"/>
    <n v="3"/>
    <n v="16.32"/>
    <x v="9"/>
    <x v="1"/>
  </r>
  <r>
    <n v="44859"/>
    <x v="335"/>
    <x v="3"/>
    <x v="1"/>
    <x v="13"/>
    <x v="752"/>
    <n v="253.18"/>
    <n v="3"/>
    <n v="-31.65"/>
    <x v="9"/>
    <x v="1"/>
  </r>
  <r>
    <n v="44859"/>
    <x v="252"/>
    <x v="7"/>
    <x v="2"/>
    <x v="6"/>
    <x v="1517"/>
    <n v="158.99"/>
    <n v="1"/>
    <n v="41.34"/>
    <x v="9"/>
    <x v="1"/>
  </r>
  <r>
    <n v="44859"/>
    <x v="252"/>
    <x v="7"/>
    <x v="1"/>
    <x v="5"/>
    <x v="221"/>
    <n v="291.10000000000002"/>
    <n v="5"/>
    <n v="75.69"/>
    <x v="9"/>
    <x v="1"/>
  </r>
  <r>
    <n v="44859"/>
    <x v="259"/>
    <x v="17"/>
    <x v="0"/>
    <x v="4"/>
    <x v="262"/>
    <n v="79.36"/>
    <n v="4"/>
    <n v="23.81"/>
    <x v="9"/>
    <x v="1"/>
  </r>
  <r>
    <n v="44859"/>
    <x v="486"/>
    <x v="26"/>
    <x v="1"/>
    <x v="5"/>
    <x v="26"/>
    <n v="582.34"/>
    <n v="8"/>
    <n v="-29.12"/>
    <x v="9"/>
    <x v="1"/>
  </r>
  <r>
    <n v="44860"/>
    <x v="706"/>
    <x v="3"/>
    <x v="0"/>
    <x v="1"/>
    <x v="1518"/>
    <n v="5.76"/>
    <n v="2"/>
    <n v="2.65"/>
    <x v="9"/>
    <x v="1"/>
  </r>
  <r>
    <n v="44860"/>
    <x v="597"/>
    <x v="12"/>
    <x v="2"/>
    <x v="6"/>
    <x v="1519"/>
    <n v="105.58"/>
    <n v="2"/>
    <n v="9.24"/>
    <x v="9"/>
    <x v="1"/>
  </r>
  <r>
    <n v="44860"/>
    <x v="597"/>
    <x v="12"/>
    <x v="2"/>
    <x v="6"/>
    <x v="1262"/>
    <n v="68.72"/>
    <n v="2"/>
    <n v="-14.6"/>
    <x v="9"/>
    <x v="1"/>
  </r>
  <r>
    <n v="44860"/>
    <x v="94"/>
    <x v="11"/>
    <x v="0"/>
    <x v="1"/>
    <x v="1199"/>
    <n v="146.54"/>
    <n v="6"/>
    <n v="47.63"/>
    <x v="9"/>
    <x v="1"/>
  </r>
  <r>
    <n v="44860"/>
    <x v="94"/>
    <x v="11"/>
    <x v="0"/>
    <x v="0"/>
    <x v="1520"/>
    <n v="131.9"/>
    <n v="3"/>
    <n v="47.82"/>
    <x v="9"/>
    <x v="1"/>
  </r>
  <r>
    <n v="44860"/>
    <x v="94"/>
    <x v="11"/>
    <x v="0"/>
    <x v="12"/>
    <x v="704"/>
    <n v="203.88"/>
    <n v="5"/>
    <n v="20.39"/>
    <x v="9"/>
    <x v="1"/>
  </r>
  <r>
    <n v="44860"/>
    <x v="94"/>
    <x v="11"/>
    <x v="0"/>
    <x v="3"/>
    <x v="876"/>
    <n v="14.3"/>
    <n v="7"/>
    <n v="-10.49"/>
    <x v="9"/>
    <x v="1"/>
  </r>
  <r>
    <n v="44860"/>
    <x v="94"/>
    <x v="11"/>
    <x v="0"/>
    <x v="2"/>
    <x v="437"/>
    <n v="718.64"/>
    <n v="10"/>
    <n v="-161.69"/>
    <x v="9"/>
    <x v="1"/>
  </r>
  <r>
    <n v="44862"/>
    <x v="122"/>
    <x v="5"/>
    <x v="0"/>
    <x v="10"/>
    <x v="1104"/>
    <n v="10.67"/>
    <n v="1"/>
    <n v="4.91"/>
    <x v="9"/>
    <x v="1"/>
  </r>
  <r>
    <n v="44862"/>
    <x v="122"/>
    <x v="5"/>
    <x v="0"/>
    <x v="2"/>
    <x v="737"/>
    <n v="36.630000000000003"/>
    <n v="3"/>
    <n v="9.89"/>
    <x v="9"/>
    <x v="1"/>
  </r>
  <r>
    <n v="44862"/>
    <x v="122"/>
    <x v="5"/>
    <x v="1"/>
    <x v="8"/>
    <x v="1521"/>
    <n v="24.1"/>
    <n v="5"/>
    <n v="9.16"/>
    <x v="9"/>
    <x v="1"/>
  </r>
  <r>
    <n v="44862"/>
    <x v="122"/>
    <x v="5"/>
    <x v="1"/>
    <x v="8"/>
    <x v="283"/>
    <n v="33.11"/>
    <n v="7"/>
    <n v="12.91"/>
    <x v="9"/>
    <x v="1"/>
  </r>
  <r>
    <n v="44863"/>
    <x v="555"/>
    <x v="3"/>
    <x v="0"/>
    <x v="0"/>
    <x v="257"/>
    <n v="33.4"/>
    <n v="5"/>
    <n v="16.03"/>
    <x v="9"/>
    <x v="1"/>
  </r>
  <r>
    <n v="44863"/>
    <x v="555"/>
    <x v="3"/>
    <x v="0"/>
    <x v="10"/>
    <x v="382"/>
    <n v="210.84"/>
    <n v="4"/>
    <n v="103.31"/>
    <x v="9"/>
    <x v="1"/>
  </r>
  <r>
    <n v="44864"/>
    <x v="662"/>
    <x v="14"/>
    <x v="2"/>
    <x v="6"/>
    <x v="1121"/>
    <n v="299.89999999999998"/>
    <n v="2"/>
    <n v="74.98"/>
    <x v="9"/>
    <x v="1"/>
  </r>
  <r>
    <n v="44864"/>
    <x v="410"/>
    <x v="26"/>
    <x v="2"/>
    <x v="15"/>
    <x v="1460"/>
    <n v="59.99"/>
    <n v="2"/>
    <n v="-46"/>
    <x v="9"/>
    <x v="1"/>
  </r>
  <r>
    <n v="44864"/>
    <x v="410"/>
    <x v="26"/>
    <x v="2"/>
    <x v="16"/>
    <x v="679"/>
    <n v="439.99"/>
    <n v="1"/>
    <n v="165"/>
    <x v="9"/>
    <x v="1"/>
  </r>
  <r>
    <n v="44864"/>
    <x v="410"/>
    <x v="26"/>
    <x v="2"/>
    <x v="6"/>
    <x v="1304"/>
    <n v="87.96"/>
    <n v="5"/>
    <n v="30.79"/>
    <x v="9"/>
    <x v="1"/>
  </r>
  <r>
    <n v="44864"/>
    <x v="410"/>
    <x v="26"/>
    <x v="1"/>
    <x v="8"/>
    <x v="1522"/>
    <n v="15.49"/>
    <n v="4"/>
    <n v="3.68"/>
    <x v="9"/>
    <x v="1"/>
  </r>
  <r>
    <n v="44864"/>
    <x v="426"/>
    <x v="6"/>
    <x v="0"/>
    <x v="12"/>
    <x v="1510"/>
    <n v="182.91"/>
    <n v="3"/>
    <n v="53.04"/>
    <x v="9"/>
    <x v="1"/>
  </r>
  <r>
    <n v="44864"/>
    <x v="45"/>
    <x v="20"/>
    <x v="2"/>
    <x v="15"/>
    <x v="1523"/>
    <n v="1035.8"/>
    <n v="4"/>
    <n v="269.31"/>
    <x v="9"/>
    <x v="1"/>
  </r>
  <r>
    <n v="44865"/>
    <x v="126"/>
    <x v="3"/>
    <x v="0"/>
    <x v="10"/>
    <x v="229"/>
    <n v="14.28"/>
    <n v="7"/>
    <n v="6.71"/>
    <x v="9"/>
    <x v="1"/>
  </r>
  <r>
    <n v="44865"/>
    <x v="187"/>
    <x v="14"/>
    <x v="0"/>
    <x v="14"/>
    <x v="1342"/>
    <n v="70.12"/>
    <n v="4"/>
    <n v="21.04"/>
    <x v="9"/>
    <x v="1"/>
  </r>
  <r>
    <n v="44865"/>
    <x v="73"/>
    <x v="20"/>
    <x v="0"/>
    <x v="4"/>
    <x v="1524"/>
    <n v="2.78"/>
    <n v="2"/>
    <n v="0.72"/>
    <x v="9"/>
    <x v="1"/>
  </r>
  <r>
    <n v="44865"/>
    <x v="73"/>
    <x v="20"/>
    <x v="0"/>
    <x v="10"/>
    <x v="1494"/>
    <n v="79.959999999999994"/>
    <n v="2"/>
    <n v="35.979999999999997"/>
    <x v="9"/>
    <x v="1"/>
  </r>
  <r>
    <n v="44865"/>
    <x v="105"/>
    <x v="3"/>
    <x v="0"/>
    <x v="3"/>
    <x v="756"/>
    <n v="9.73"/>
    <n v="2"/>
    <n v="3.28"/>
    <x v="9"/>
    <x v="1"/>
  </r>
  <r>
    <n v="44865"/>
    <x v="105"/>
    <x v="3"/>
    <x v="0"/>
    <x v="10"/>
    <x v="732"/>
    <n v="14.75"/>
    <n v="5"/>
    <n v="7.08"/>
    <x v="9"/>
    <x v="1"/>
  </r>
  <r>
    <n v="44865"/>
    <x v="105"/>
    <x v="3"/>
    <x v="0"/>
    <x v="3"/>
    <x v="15"/>
    <n v="29.8"/>
    <n v="5"/>
    <n v="9.31"/>
    <x v="9"/>
    <x v="1"/>
  </r>
  <r>
    <n v="44865"/>
    <x v="105"/>
    <x v="3"/>
    <x v="0"/>
    <x v="1"/>
    <x v="956"/>
    <n v="427.42"/>
    <n v="14"/>
    <n v="196.61"/>
    <x v="9"/>
    <x v="1"/>
  </r>
  <r>
    <n v="44865"/>
    <x v="707"/>
    <x v="3"/>
    <x v="0"/>
    <x v="0"/>
    <x v="1449"/>
    <n v="19.98"/>
    <n v="1"/>
    <n v="9.39"/>
    <x v="9"/>
    <x v="1"/>
  </r>
  <r>
    <n v="44865"/>
    <x v="707"/>
    <x v="3"/>
    <x v="0"/>
    <x v="3"/>
    <x v="398"/>
    <n v="398.35"/>
    <n v="3"/>
    <n v="124.49"/>
    <x v="9"/>
    <x v="1"/>
  </r>
  <r>
    <n v="44865"/>
    <x v="707"/>
    <x v="3"/>
    <x v="0"/>
    <x v="4"/>
    <x v="226"/>
    <n v="5.04"/>
    <n v="3"/>
    <n v="1.26"/>
    <x v="9"/>
    <x v="1"/>
  </r>
  <r>
    <n v="44865"/>
    <x v="707"/>
    <x v="3"/>
    <x v="0"/>
    <x v="7"/>
    <x v="995"/>
    <n v="17.45"/>
    <n v="5"/>
    <n v="8.0299999999999994"/>
    <x v="9"/>
    <x v="1"/>
  </r>
  <r>
    <n v="44865"/>
    <x v="707"/>
    <x v="3"/>
    <x v="1"/>
    <x v="5"/>
    <x v="1209"/>
    <n v="323.14"/>
    <n v="4"/>
    <n v="20.2"/>
    <x v="9"/>
    <x v="1"/>
  </r>
  <r>
    <n v="44865"/>
    <x v="707"/>
    <x v="3"/>
    <x v="0"/>
    <x v="14"/>
    <x v="1452"/>
    <n v="29.7"/>
    <n v="3"/>
    <n v="8.02"/>
    <x v="9"/>
    <x v="1"/>
  </r>
  <r>
    <n v="44865"/>
    <x v="707"/>
    <x v="3"/>
    <x v="2"/>
    <x v="6"/>
    <x v="523"/>
    <n v="1295.8399999999999"/>
    <n v="4"/>
    <n v="145.78"/>
    <x v="9"/>
    <x v="1"/>
  </r>
  <r>
    <n v="44865"/>
    <x v="707"/>
    <x v="3"/>
    <x v="0"/>
    <x v="2"/>
    <x v="1440"/>
    <n v="46.84"/>
    <n v="2"/>
    <n v="12.65"/>
    <x v="9"/>
    <x v="1"/>
  </r>
  <r>
    <n v="44865"/>
    <x v="707"/>
    <x v="3"/>
    <x v="1"/>
    <x v="11"/>
    <x v="853"/>
    <n v="425.83"/>
    <n v="1"/>
    <n v="20.04"/>
    <x v="9"/>
    <x v="1"/>
  </r>
  <r>
    <n v="44866"/>
    <x v="139"/>
    <x v="2"/>
    <x v="2"/>
    <x v="9"/>
    <x v="225"/>
    <n v="35.36"/>
    <n v="2"/>
    <n v="-3.09"/>
    <x v="10"/>
    <x v="1"/>
  </r>
  <r>
    <n v="44866"/>
    <x v="139"/>
    <x v="2"/>
    <x v="0"/>
    <x v="7"/>
    <x v="1525"/>
    <n v="3.17"/>
    <n v="2"/>
    <n v="-0.71"/>
    <x v="10"/>
    <x v="1"/>
  </r>
  <r>
    <n v="44866"/>
    <x v="87"/>
    <x v="20"/>
    <x v="2"/>
    <x v="6"/>
    <x v="1297"/>
    <n v="4.95"/>
    <n v="1"/>
    <n v="1.34"/>
    <x v="10"/>
    <x v="1"/>
  </r>
  <r>
    <n v="44866"/>
    <x v="329"/>
    <x v="20"/>
    <x v="0"/>
    <x v="0"/>
    <x v="742"/>
    <n v="13.52"/>
    <n v="4"/>
    <n v="6.22"/>
    <x v="10"/>
    <x v="1"/>
  </r>
  <r>
    <n v="44866"/>
    <x v="329"/>
    <x v="20"/>
    <x v="1"/>
    <x v="8"/>
    <x v="19"/>
    <n v="259.7"/>
    <n v="5"/>
    <n v="106.48"/>
    <x v="10"/>
    <x v="1"/>
  </r>
  <r>
    <n v="44866"/>
    <x v="329"/>
    <x v="20"/>
    <x v="2"/>
    <x v="6"/>
    <x v="1262"/>
    <n v="42.95"/>
    <n v="1"/>
    <n v="1.29"/>
    <x v="10"/>
    <x v="1"/>
  </r>
  <r>
    <n v="44866"/>
    <x v="329"/>
    <x v="20"/>
    <x v="2"/>
    <x v="9"/>
    <x v="1390"/>
    <n v="1399.93"/>
    <n v="7"/>
    <n v="601.97"/>
    <x v="10"/>
    <x v="1"/>
  </r>
  <r>
    <n v="44866"/>
    <x v="329"/>
    <x v="20"/>
    <x v="2"/>
    <x v="6"/>
    <x v="391"/>
    <n v="503.96"/>
    <n v="4"/>
    <n v="125.99"/>
    <x v="10"/>
    <x v="1"/>
  </r>
  <r>
    <n v="44866"/>
    <x v="41"/>
    <x v="11"/>
    <x v="0"/>
    <x v="4"/>
    <x v="975"/>
    <n v="7.88"/>
    <n v="1"/>
    <n v="1.77"/>
    <x v="10"/>
    <x v="1"/>
  </r>
  <r>
    <n v="44866"/>
    <x v="493"/>
    <x v="13"/>
    <x v="1"/>
    <x v="13"/>
    <x v="1312"/>
    <n v="301.95999999999998"/>
    <n v="2"/>
    <n v="45.29"/>
    <x v="10"/>
    <x v="1"/>
  </r>
  <r>
    <n v="44866"/>
    <x v="645"/>
    <x v="20"/>
    <x v="1"/>
    <x v="5"/>
    <x v="26"/>
    <n v="327.56"/>
    <n v="4"/>
    <n v="21.84"/>
    <x v="10"/>
    <x v="1"/>
  </r>
  <r>
    <n v="44866"/>
    <x v="467"/>
    <x v="20"/>
    <x v="1"/>
    <x v="5"/>
    <x v="1495"/>
    <n v="205.16"/>
    <n v="2"/>
    <n v="13.68"/>
    <x v="10"/>
    <x v="1"/>
  </r>
  <r>
    <n v="44867"/>
    <x v="117"/>
    <x v="3"/>
    <x v="1"/>
    <x v="13"/>
    <x v="931"/>
    <n v="1038.8399999999999"/>
    <n v="5"/>
    <n v="51.94"/>
    <x v="10"/>
    <x v="1"/>
  </r>
  <r>
    <n v="44867"/>
    <x v="708"/>
    <x v="22"/>
    <x v="2"/>
    <x v="9"/>
    <x v="1526"/>
    <n v="447.93"/>
    <n v="9"/>
    <n v="49.27"/>
    <x v="10"/>
    <x v="1"/>
  </r>
  <r>
    <n v="44867"/>
    <x v="308"/>
    <x v="20"/>
    <x v="1"/>
    <x v="5"/>
    <x v="1331"/>
    <n v="109.76"/>
    <n v="2"/>
    <n v="8.5399999999999991"/>
    <x v="10"/>
    <x v="1"/>
  </r>
  <r>
    <n v="44867"/>
    <x v="235"/>
    <x v="3"/>
    <x v="1"/>
    <x v="8"/>
    <x v="1527"/>
    <n v="96.96"/>
    <n v="6"/>
    <n v="33.94"/>
    <x v="10"/>
    <x v="1"/>
  </r>
  <r>
    <n v="44867"/>
    <x v="235"/>
    <x v="3"/>
    <x v="0"/>
    <x v="3"/>
    <x v="637"/>
    <n v="117.49"/>
    <n v="7"/>
    <n v="41.12"/>
    <x v="10"/>
    <x v="1"/>
  </r>
  <r>
    <n v="44867"/>
    <x v="235"/>
    <x v="3"/>
    <x v="0"/>
    <x v="3"/>
    <x v="547"/>
    <n v="11.95"/>
    <n v="3"/>
    <n v="4.18"/>
    <x v="10"/>
    <x v="1"/>
  </r>
  <r>
    <n v="44867"/>
    <x v="235"/>
    <x v="3"/>
    <x v="1"/>
    <x v="11"/>
    <x v="1370"/>
    <n v="512.5"/>
    <n v="3"/>
    <n v="-30.15"/>
    <x v="10"/>
    <x v="1"/>
  </r>
  <r>
    <n v="44867"/>
    <x v="341"/>
    <x v="20"/>
    <x v="1"/>
    <x v="5"/>
    <x v="1528"/>
    <n v="2621.3200000000002"/>
    <n v="11"/>
    <n v="553.39"/>
    <x v="10"/>
    <x v="1"/>
  </r>
  <r>
    <n v="44867"/>
    <x v="323"/>
    <x v="0"/>
    <x v="0"/>
    <x v="3"/>
    <x v="637"/>
    <n v="29.37"/>
    <n v="7"/>
    <n v="-47"/>
    <x v="10"/>
    <x v="1"/>
  </r>
  <r>
    <n v="44867"/>
    <x v="323"/>
    <x v="0"/>
    <x v="2"/>
    <x v="6"/>
    <x v="1529"/>
    <n v="344.7"/>
    <n v="2"/>
    <n v="38.78"/>
    <x v="10"/>
    <x v="1"/>
  </r>
  <r>
    <n v="44867"/>
    <x v="709"/>
    <x v="6"/>
    <x v="0"/>
    <x v="12"/>
    <x v="1530"/>
    <n v="197.72"/>
    <n v="4"/>
    <n v="55.36"/>
    <x v="10"/>
    <x v="1"/>
  </r>
  <r>
    <n v="44868"/>
    <x v="619"/>
    <x v="3"/>
    <x v="2"/>
    <x v="6"/>
    <x v="1443"/>
    <n v="1212.8499999999999"/>
    <n v="7"/>
    <n v="106.12"/>
    <x v="10"/>
    <x v="1"/>
  </r>
  <r>
    <n v="44868"/>
    <x v="619"/>
    <x v="3"/>
    <x v="2"/>
    <x v="9"/>
    <x v="833"/>
    <n v="89.97"/>
    <n v="3"/>
    <n v="37.79"/>
    <x v="10"/>
    <x v="1"/>
  </r>
  <r>
    <n v="44868"/>
    <x v="619"/>
    <x v="3"/>
    <x v="1"/>
    <x v="8"/>
    <x v="1231"/>
    <n v="42.6"/>
    <n v="3"/>
    <n v="16.61"/>
    <x v="10"/>
    <x v="1"/>
  </r>
  <r>
    <n v="44868"/>
    <x v="10"/>
    <x v="0"/>
    <x v="0"/>
    <x v="10"/>
    <x v="1531"/>
    <n v="6.61"/>
    <n v="2"/>
    <n v="2.15"/>
    <x v="10"/>
    <x v="1"/>
  </r>
  <r>
    <n v="44868"/>
    <x v="470"/>
    <x v="20"/>
    <x v="1"/>
    <x v="5"/>
    <x v="868"/>
    <n v="1448.82"/>
    <n v="10"/>
    <n v="209.27"/>
    <x v="10"/>
    <x v="1"/>
  </r>
  <r>
    <n v="44870"/>
    <x v="169"/>
    <x v="25"/>
    <x v="1"/>
    <x v="5"/>
    <x v="123"/>
    <n v="207"/>
    <n v="3"/>
    <n v="25.88"/>
    <x v="10"/>
    <x v="1"/>
  </r>
  <r>
    <n v="44870"/>
    <x v="329"/>
    <x v="16"/>
    <x v="0"/>
    <x v="12"/>
    <x v="1532"/>
    <n v="387.14"/>
    <n v="4"/>
    <n v="24.2"/>
    <x v="10"/>
    <x v="1"/>
  </r>
  <r>
    <n v="44870"/>
    <x v="241"/>
    <x v="20"/>
    <x v="0"/>
    <x v="3"/>
    <x v="515"/>
    <n v="25.34"/>
    <n v="6"/>
    <n v="8.8699999999999992"/>
    <x v="10"/>
    <x v="1"/>
  </r>
  <r>
    <n v="44870"/>
    <x v="534"/>
    <x v="1"/>
    <x v="0"/>
    <x v="1"/>
    <x v="218"/>
    <n v="19.82"/>
    <n v="6"/>
    <n v="6.44"/>
    <x v="10"/>
    <x v="1"/>
  </r>
  <r>
    <n v="44870"/>
    <x v="176"/>
    <x v="3"/>
    <x v="0"/>
    <x v="2"/>
    <x v="1533"/>
    <n v="62.8"/>
    <n v="4"/>
    <n v="15.7"/>
    <x v="10"/>
    <x v="1"/>
  </r>
  <r>
    <n v="44870"/>
    <x v="318"/>
    <x v="22"/>
    <x v="0"/>
    <x v="3"/>
    <x v="287"/>
    <n v="98.35"/>
    <n v="3"/>
    <n v="35.65"/>
    <x v="10"/>
    <x v="1"/>
  </r>
  <r>
    <n v="44870"/>
    <x v="710"/>
    <x v="10"/>
    <x v="0"/>
    <x v="3"/>
    <x v="170"/>
    <n v="7.22"/>
    <n v="3"/>
    <n v="-5.53"/>
    <x v="10"/>
    <x v="1"/>
  </r>
  <r>
    <n v="44870"/>
    <x v="710"/>
    <x v="10"/>
    <x v="0"/>
    <x v="14"/>
    <x v="724"/>
    <n v="27.2"/>
    <n v="4"/>
    <n v="2.04"/>
    <x v="10"/>
    <x v="1"/>
  </r>
  <r>
    <n v="44871"/>
    <x v="711"/>
    <x v="12"/>
    <x v="0"/>
    <x v="10"/>
    <x v="732"/>
    <n v="7.08"/>
    <n v="3"/>
    <n v="2.48"/>
    <x v="10"/>
    <x v="1"/>
  </r>
  <r>
    <n v="44871"/>
    <x v="711"/>
    <x v="12"/>
    <x v="0"/>
    <x v="3"/>
    <x v="1079"/>
    <n v="4.4000000000000004"/>
    <n v="3"/>
    <n v="-3.52"/>
    <x v="10"/>
    <x v="1"/>
  </r>
  <r>
    <n v="44872"/>
    <x v="119"/>
    <x v="3"/>
    <x v="1"/>
    <x v="5"/>
    <x v="1075"/>
    <n v="190.72"/>
    <n v="1"/>
    <n v="11.92"/>
    <x v="10"/>
    <x v="1"/>
  </r>
  <r>
    <n v="44872"/>
    <x v="411"/>
    <x v="7"/>
    <x v="0"/>
    <x v="7"/>
    <x v="1534"/>
    <n v="26.18"/>
    <n v="7"/>
    <n v="0.52"/>
    <x v="10"/>
    <x v="1"/>
  </r>
  <r>
    <n v="44872"/>
    <x v="411"/>
    <x v="7"/>
    <x v="0"/>
    <x v="0"/>
    <x v="1535"/>
    <n v="7.3"/>
    <n v="2"/>
    <n v="3.43"/>
    <x v="10"/>
    <x v="1"/>
  </r>
  <r>
    <n v="44872"/>
    <x v="119"/>
    <x v="2"/>
    <x v="0"/>
    <x v="10"/>
    <x v="1418"/>
    <n v="24.4"/>
    <n v="2"/>
    <n v="7.93"/>
    <x v="10"/>
    <x v="1"/>
  </r>
  <r>
    <n v="44872"/>
    <x v="149"/>
    <x v="45"/>
    <x v="1"/>
    <x v="5"/>
    <x v="1075"/>
    <n v="715.2"/>
    <n v="3"/>
    <n v="178.8"/>
    <x v="10"/>
    <x v="1"/>
  </r>
  <r>
    <n v="44872"/>
    <x v="85"/>
    <x v="16"/>
    <x v="0"/>
    <x v="3"/>
    <x v="1198"/>
    <n v="16.149999999999999"/>
    <n v="9"/>
    <n v="-12.92"/>
    <x v="10"/>
    <x v="1"/>
  </r>
  <r>
    <n v="44872"/>
    <x v="85"/>
    <x v="16"/>
    <x v="0"/>
    <x v="3"/>
    <x v="717"/>
    <n v="1345.49"/>
    <n v="5"/>
    <n v="-1031.54"/>
    <x v="10"/>
    <x v="1"/>
  </r>
  <r>
    <n v="44872"/>
    <x v="712"/>
    <x v="0"/>
    <x v="0"/>
    <x v="0"/>
    <x v="1437"/>
    <n v="76.64"/>
    <n v="2"/>
    <n v="26.82"/>
    <x v="10"/>
    <x v="1"/>
  </r>
  <r>
    <n v="44872"/>
    <x v="579"/>
    <x v="0"/>
    <x v="0"/>
    <x v="4"/>
    <x v="975"/>
    <n v="23.64"/>
    <n v="3"/>
    <n v="5.32"/>
    <x v="10"/>
    <x v="1"/>
  </r>
  <r>
    <n v="44872"/>
    <x v="579"/>
    <x v="0"/>
    <x v="0"/>
    <x v="2"/>
    <x v="874"/>
    <n v="84.78"/>
    <n v="2"/>
    <n v="-16.96"/>
    <x v="10"/>
    <x v="1"/>
  </r>
  <r>
    <n v="44872"/>
    <x v="579"/>
    <x v="0"/>
    <x v="1"/>
    <x v="8"/>
    <x v="960"/>
    <n v="64.959999999999994"/>
    <n v="5"/>
    <n v="-84.45"/>
    <x v="10"/>
    <x v="1"/>
  </r>
  <r>
    <n v="44872"/>
    <x v="579"/>
    <x v="0"/>
    <x v="0"/>
    <x v="3"/>
    <x v="775"/>
    <n v="32.06"/>
    <n v="10"/>
    <n v="-51.3"/>
    <x v="10"/>
    <x v="1"/>
  </r>
  <r>
    <n v="44872"/>
    <x v="579"/>
    <x v="0"/>
    <x v="0"/>
    <x v="2"/>
    <x v="1536"/>
    <n v="177.65"/>
    <n v="2"/>
    <n v="-28.87"/>
    <x v="10"/>
    <x v="1"/>
  </r>
  <r>
    <n v="44872"/>
    <x v="579"/>
    <x v="0"/>
    <x v="2"/>
    <x v="15"/>
    <x v="1537"/>
    <n v="287.91000000000003"/>
    <n v="3"/>
    <n v="33.590000000000003"/>
    <x v="10"/>
    <x v="1"/>
  </r>
  <r>
    <n v="44873"/>
    <x v="276"/>
    <x v="32"/>
    <x v="0"/>
    <x v="4"/>
    <x v="208"/>
    <n v="11.65"/>
    <n v="5"/>
    <n v="3.38"/>
    <x v="10"/>
    <x v="1"/>
  </r>
  <r>
    <n v="44873"/>
    <x v="713"/>
    <x v="3"/>
    <x v="0"/>
    <x v="7"/>
    <x v="790"/>
    <n v="5"/>
    <n v="1"/>
    <n v="2.4"/>
    <x v="10"/>
    <x v="1"/>
  </r>
  <r>
    <n v="44873"/>
    <x v="713"/>
    <x v="3"/>
    <x v="2"/>
    <x v="9"/>
    <x v="1464"/>
    <n v="371.97"/>
    <n v="3"/>
    <n v="66.95"/>
    <x v="10"/>
    <x v="1"/>
  </r>
  <r>
    <n v="44873"/>
    <x v="42"/>
    <x v="27"/>
    <x v="0"/>
    <x v="7"/>
    <x v="1538"/>
    <n v="5.04"/>
    <n v="3"/>
    <n v="0.2"/>
    <x v="10"/>
    <x v="1"/>
  </r>
  <r>
    <n v="44873"/>
    <x v="42"/>
    <x v="27"/>
    <x v="0"/>
    <x v="0"/>
    <x v="728"/>
    <n v="92.94"/>
    <n v="3"/>
    <n v="41.82"/>
    <x v="10"/>
    <x v="1"/>
  </r>
  <r>
    <n v="44873"/>
    <x v="42"/>
    <x v="27"/>
    <x v="1"/>
    <x v="8"/>
    <x v="1150"/>
    <n v="66.69"/>
    <n v="3"/>
    <n v="22.01"/>
    <x v="10"/>
    <x v="1"/>
  </r>
  <r>
    <n v="44873"/>
    <x v="42"/>
    <x v="27"/>
    <x v="0"/>
    <x v="3"/>
    <x v="1461"/>
    <n v="91.68"/>
    <n v="5"/>
    <n v="28.65"/>
    <x v="10"/>
    <x v="1"/>
  </r>
  <r>
    <n v="44873"/>
    <x v="482"/>
    <x v="20"/>
    <x v="0"/>
    <x v="3"/>
    <x v="56"/>
    <n v="52.27"/>
    <n v="11"/>
    <n v="17.64"/>
    <x v="10"/>
    <x v="1"/>
  </r>
  <r>
    <n v="44873"/>
    <x v="482"/>
    <x v="20"/>
    <x v="0"/>
    <x v="0"/>
    <x v="689"/>
    <n v="17.940000000000001"/>
    <n v="3"/>
    <n v="8.07"/>
    <x v="10"/>
    <x v="1"/>
  </r>
  <r>
    <n v="44873"/>
    <x v="257"/>
    <x v="0"/>
    <x v="0"/>
    <x v="3"/>
    <x v="93"/>
    <n v="10.48"/>
    <n v="6"/>
    <n v="-17.29"/>
    <x v="10"/>
    <x v="1"/>
  </r>
  <r>
    <n v="44873"/>
    <x v="661"/>
    <x v="3"/>
    <x v="2"/>
    <x v="9"/>
    <x v="1497"/>
    <n v="119.9"/>
    <n v="2"/>
    <n v="43.16"/>
    <x v="10"/>
    <x v="1"/>
  </r>
  <r>
    <n v="44873"/>
    <x v="663"/>
    <x v="6"/>
    <x v="0"/>
    <x v="12"/>
    <x v="1344"/>
    <n v="44.43"/>
    <n v="3"/>
    <n v="18.66"/>
    <x v="10"/>
    <x v="1"/>
  </r>
  <r>
    <n v="44873"/>
    <x v="663"/>
    <x v="6"/>
    <x v="2"/>
    <x v="6"/>
    <x v="80"/>
    <n v="226.2"/>
    <n v="5"/>
    <n v="58.81"/>
    <x v="10"/>
    <x v="1"/>
  </r>
  <r>
    <n v="44873"/>
    <x v="663"/>
    <x v="6"/>
    <x v="1"/>
    <x v="8"/>
    <x v="403"/>
    <n v="186.54"/>
    <n v="3"/>
    <n v="41.04"/>
    <x v="10"/>
    <x v="1"/>
  </r>
  <r>
    <n v="44873"/>
    <x v="663"/>
    <x v="6"/>
    <x v="0"/>
    <x v="4"/>
    <x v="794"/>
    <n v="265.86"/>
    <n v="7"/>
    <n v="79.760000000000005"/>
    <x v="10"/>
    <x v="1"/>
  </r>
  <r>
    <n v="44873"/>
    <x v="663"/>
    <x v="6"/>
    <x v="0"/>
    <x v="4"/>
    <x v="312"/>
    <n v="27.9"/>
    <n v="5"/>
    <n v="6.98"/>
    <x v="10"/>
    <x v="1"/>
  </r>
  <r>
    <n v="44873"/>
    <x v="122"/>
    <x v="30"/>
    <x v="2"/>
    <x v="6"/>
    <x v="567"/>
    <n v="263.95999999999998"/>
    <n v="4"/>
    <n v="76.55"/>
    <x v="10"/>
    <x v="1"/>
  </r>
  <r>
    <n v="44873"/>
    <x v="435"/>
    <x v="20"/>
    <x v="0"/>
    <x v="2"/>
    <x v="1062"/>
    <n v="67.150000000000006"/>
    <n v="5"/>
    <n v="16.79"/>
    <x v="10"/>
    <x v="1"/>
  </r>
  <r>
    <n v="44873"/>
    <x v="435"/>
    <x v="20"/>
    <x v="2"/>
    <x v="6"/>
    <x v="1404"/>
    <n v="549.98"/>
    <n v="2"/>
    <n v="142.99"/>
    <x v="10"/>
    <x v="1"/>
  </r>
  <r>
    <n v="44873"/>
    <x v="435"/>
    <x v="20"/>
    <x v="1"/>
    <x v="8"/>
    <x v="1457"/>
    <n v="11.82"/>
    <n v="3"/>
    <n v="4.7300000000000004"/>
    <x v="10"/>
    <x v="1"/>
  </r>
  <r>
    <n v="44873"/>
    <x v="435"/>
    <x v="20"/>
    <x v="2"/>
    <x v="15"/>
    <x v="1539"/>
    <n v="4643.8"/>
    <n v="4"/>
    <n v="2229.02"/>
    <x v="10"/>
    <x v="1"/>
  </r>
  <r>
    <n v="44873"/>
    <x v="435"/>
    <x v="20"/>
    <x v="1"/>
    <x v="5"/>
    <x v="1111"/>
    <n v="577.76"/>
    <n v="2"/>
    <n v="115.55"/>
    <x v="10"/>
    <x v="1"/>
  </r>
  <r>
    <n v="44873"/>
    <x v="270"/>
    <x v="25"/>
    <x v="0"/>
    <x v="7"/>
    <x v="500"/>
    <n v="31.5"/>
    <n v="11"/>
    <n v="11.81"/>
    <x v="10"/>
    <x v="1"/>
  </r>
  <r>
    <n v="44873"/>
    <x v="270"/>
    <x v="25"/>
    <x v="0"/>
    <x v="1"/>
    <x v="893"/>
    <n v="5.04"/>
    <n v="1"/>
    <n v="1.64"/>
    <x v="10"/>
    <x v="1"/>
  </r>
  <r>
    <n v="44873"/>
    <x v="270"/>
    <x v="25"/>
    <x v="0"/>
    <x v="3"/>
    <x v="1135"/>
    <n v="39.880000000000003"/>
    <n v="7"/>
    <n v="-29.24"/>
    <x v="10"/>
    <x v="1"/>
  </r>
  <r>
    <n v="44873"/>
    <x v="270"/>
    <x v="25"/>
    <x v="1"/>
    <x v="8"/>
    <x v="152"/>
    <n v="4.71"/>
    <n v="1"/>
    <n v="1.41"/>
    <x v="10"/>
    <x v="1"/>
  </r>
  <r>
    <n v="44873"/>
    <x v="87"/>
    <x v="45"/>
    <x v="1"/>
    <x v="11"/>
    <x v="1483"/>
    <n v="4404.8999999999996"/>
    <n v="5"/>
    <n v="1013.13"/>
    <x v="10"/>
    <x v="1"/>
  </r>
  <r>
    <n v="44874"/>
    <x v="693"/>
    <x v="2"/>
    <x v="0"/>
    <x v="0"/>
    <x v="862"/>
    <n v="11.35"/>
    <n v="3"/>
    <n v="4.12"/>
    <x v="10"/>
    <x v="1"/>
  </r>
  <r>
    <n v="44874"/>
    <x v="423"/>
    <x v="24"/>
    <x v="0"/>
    <x v="3"/>
    <x v="1540"/>
    <n v="17.22"/>
    <n v="3"/>
    <n v="7.92"/>
    <x v="10"/>
    <x v="1"/>
  </r>
  <r>
    <n v="44874"/>
    <x v="423"/>
    <x v="24"/>
    <x v="1"/>
    <x v="13"/>
    <x v="582"/>
    <n v="1024.3800000000001"/>
    <n v="7"/>
    <n v="215.12"/>
    <x v="10"/>
    <x v="1"/>
  </r>
  <r>
    <n v="44874"/>
    <x v="423"/>
    <x v="24"/>
    <x v="0"/>
    <x v="10"/>
    <x v="474"/>
    <n v="26.22"/>
    <n v="3"/>
    <n v="12.32"/>
    <x v="10"/>
    <x v="1"/>
  </r>
  <r>
    <n v="44874"/>
    <x v="423"/>
    <x v="24"/>
    <x v="0"/>
    <x v="0"/>
    <x v="741"/>
    <n v="17.34"/>
    <n v="3"/>
    <n v="8.5"/>
    <x v="10"/>
    <x v="1"/>
  </r>
  <r>
    <n v="44874"/>
    <x v="222"/>
    <x v="20"/>
    <x v="2"/>
    <x v="15"/>
    <x v="1539"/>
    <n v="2321.9"/>
    <n v="2"/>
    <n v="1114.51"/>
    <x v="10"/>
    <x v="1"/>
  </r>
  <r>
    <n v="44874"/>
    <x v="222"/>
    <x v="20"/>
    <x v="0"/>
    <x v="2"/>
    <x v="565"/>
    <n v="17.940000000000001"/>
    <n v="3"/>
    <n v="3.05"/>
    <x v="10"/>
    <x v="1"/>
  </r>
  <r>
    <n v="44874"/>
    <x v="265"/>
    <x v="20"/>
    <x v="0"/>
    <x v="2"/>
    <x v="1204"/>
    <n v="244.55"/>
    <n v="5"/>
    <n v="4.8899999999999997"/>
    <x v="10"/>
    <x v="1"/>
  </r>
  <r>
    <n v="44874"/>
    <x v="265"/>
    <x v="20"/>
    <x v="0"/>
    <x v="10"/>
    <x v="229"/>
    <n v="12.24"/>
    <n v="6"/>
    <n v="5.75"/>
    <x v="10"/>
    <x v="1"/>
  </r>
  <r>
    <n v="44874"/>
    <x v="265"/>
    <x v="20"/>
    <x v="2"/>
    <x v="9"/>
    <x v="1541"/>
    <n v="13.98"/>
    <n v="2"/>
    <n v="6.01"/>
    <x v="10"/>
    <x v="1"/>
  </r>
  <r>
    <n v="44874"/>
    <x v="265"/>
    <x v="20"/>
    <x v="2"/>
    <x v="9"/>
    <x v="1542"/>
    <n v="899.95"/>
    <n v="5"/>
    <n v="54"/>
    <x v="10"/>
    <x v="1"/>
  </r>
  <r>
    <n v="44874"/>
    <x v="618"/>
    <x v="3"/>
    <x v="0"/>
    <x v="7"/>
    <x v="1152"/>
    <n v="2.48"/>
    <n v="2"/>
    <n v="1.17"/>
    <x v="10"/>
    <x v="1"/>
  </r>
  <r>
    <n v="44874"/>
    <x v="408"/>
    <x v="18"/>
    <x v="0"/>
    <x v="3"/>
    <x v="824"/>
    <n v="10.74"/>
    <n v="3"/>
    <n v="5.16"/>
    <x v="10"/>
    <x v="1"/>
  </r>
  <r>
    <n v="44875"/>
    <x v="545"/>
    <x v="3"/>
    <x v="2"/>
    <x v="9"/>
    <x v="1253"/>
    <n v="79.900000000000006"/>
    <n v="2"/>
    <n v="35.159999999999997"/>
    <x v="10"/>
    <x v="1"/>
  </r>
  <r>
    <n v="44875"/>
    <x v="571"/>
    <x v="18"/>
    <x v="0"/>
    <x v="2"/>
    <x v="597"/>
    <n v="714.3"/>
    <n v="5"/>
    <n v="207.15"/>
    <x v="10"/>
    <x v="1"/>
  </r>
  <r>
    <n v="44875"/>
    <x v="675"/>
    <x v="28"/>
    <x v="0"/>
    <x v="12"/>
    <x v="1295"/>
    <n v="715.64"/>
    <n v="2"/>
    <n v="178.91"/>
    <x v="10"/>
    <x v="1"/>
  </r>
  <r>
    <n v="44875"/>
    <x v="675"/>
    <x v="28"/>
    <x v="0"/>
    <x v="2"/>
    <x v="27"/>
    <n v="795.51"/>
    <n v="3"/>
    <n v="143.19"/>
    <x v="10"/>
    <x v="1"/>
  </r>
  <r>
    <n v="44875"/>
    <x v="675"/>
    <x v="28"/>
    <x v="2"/>
    <x v="16"/>
    <x v="679"/>
    <n v="549.99"/>
    <n v="1"/>
    <n v="275"/>
    <x v="10"/>
    <x v="1"/>
  </r>
  <r>
    <n v="44875"/>
    <x v="675"/>
    <x v="28"/>
    <x v="0"/>
    <x v="3"/>
    <x v="461"/>
    <n v="74.760000000000005"/>
    <n v="3"/>
    <n v="34.39"/>
    <x v="10"/>
    <x v="1"/>
  </r>
  <r>
    <n v="44875"/>
    <x v="675"/>
    <x v="28"/>
    <x v="1"/>
    <x v="8"/>
    <x v="626"/>
    <n v="29.22"/>
    <n v="3"/>
    <n v="12.86"/>
    <x v="10"/>
    <x v="1"/>
  </r>
  <r>
    <n v="44875"/>
    <x v="66"/>
    <x v="2"/>
    <x v="0"/>
    <x v="2"/>
    <x v="1407"/>
    <n v="577.58000000000004"/>
    <n v="6"/>
    <n v="43.32"/>
    <x v="10"/>
    <x v="1"/>
  </r>
  <r>
    <n v="44876"/>
    <x v="597"/>
    <x v="14"/>
    <x v="0"/>
    <x v="2"/>
    <x v="1543"/>
    <n v="418.32"/>
    <n v="7"/>
    <n v="117.13"/>
    <x v="10"/>
    <x v="1"/>
  </r>
  <r>
    <n v="44876"/>
    <x v="597"/>
    <x v="14"/>
    <x v="0"/>
    <x v="12"/>
    <x v="52"/>
    <n v="123.86"/>
    <n v="2"/>
    <n v="46.79"/>
    <x v="10"/>
    <x v="1"/>
  </r>
  <r>
    <n v="44877"/>
    <x v="515"/>
    <x v="3"/>
    <x v="0"/>
    <x v="0"/>
    <x v="367"/>
    <n v="15.7"/>
    <n v="5"/>
    <n v="7.07"/>
    <x v="10"/>
    <x v="1"/>
  </r>
  <r>
    <n v="44877"/>
    <x v="123"/>
    <x v="16"/>
    <x v="0"/>
    <x v="4"/>
    <x v="421"/>
    <n v="11.76"/>
    <n v="5"/>
    <n v="1.32"/>
    <x v="10"/>
    <x v="1"/>
  </r>
  <r>
    <n v="44877"/>
    <x v="123"/>
    <x v="16"/>
    <x v="0"/>
    <x v="3"/>
    <x v="93"/>
    <n v="5.24"/>
    <n v="2"/>
    <n v="-4.0199999999999996"/>
    <x v="10"/>
    <x v="1"/>
  </r>
  <r>
    <n v="44877"/>
    <x v="123"/>
    <x v="16"/>
    <x v="0"/>
    <x v="3"/>
    <x v="730"/>
    <n v="4.66"/>
    <n v="3"/>
    <n v="-3.73"/>
    <x v="10"/>
    <x v="1"/>
  </r>
  <r>
    <n v="44877"/>
    <x v="123"/>
    <x v="16"/>
    <x v="1"/>
    <x v="5"/>
    <x v="914"/>
    <n v="523.91999999999996"/>
    <n v="5"/>
    <n v="-72.040000000000006"/>
    <x v="10"/>
    <x v="1"/>
  </r>
  <r>
    <n v="44877"/>
    <x v="123"/>
    <x v="16"/>
    <x v="2"/>
    <x v="6"/>
    <x v="431"/>
    <n v="100.79"/>
    <n v="1"/>
    <n v="10.08"/>
    <x v="10"/>
    <x v="1"/>
  </r>
  <r>
    <n v="44877"/>
    <x v="123"/>
    <x v="16"/>
    <x v="1"/>
    <x v="5"/>
    <x v="142"/>
    <n v="146.13999999999999"/>
    <n v="3"/>
    <n v="16.440000000000001"/>
    <x v="10"/>
    <x v="1"/>
  </r>
  <r>
    <n v="44877"/>
    <x v="407"/>
    <x v="0"/>
    <x v="0"/>
    <x v="2"/>
    <x v="144"/>
    <n v="64.78"/>
    <n v="1"/>
    <n v="-14.58"/>
    <x v="10"/>
    <x v="1"/>
  </r>
  <r>
    <n v="44877"/>
    <x v="407"/>
    <x v="0"/>
    <x v="0"/>
    <x v="0"/>
    <x v="186"/>
    <n v="15.55"/>
    <n v="3"/>
    <n v="5.64"/>
    <x v="10"/>
    <x v="1"/>
  </r>
  <r>
    <n v="44877"/>
    <x v="407"/>
    <x v="0"/>
    <x v="0"/>
    <x v="10"/>
    <x v="1494"/>
    <n v="223.89"/>
    <n v="7"/>
    <n v="69.97"/>
    <x v="10"/>
    <x v="1"/>
  </r>
  <r>
    <n v="44877"/>
    <x v="632"/>
    <x v="20"/>
    <x v="0"/>
    <x v="10"/>
    <x v="21"/>
    <n v="15.56"/>
    <n v="2"/>
    <n v="7.31"/>
    <x v="10"/>
    <x v="1"/>
  </r>
  <r>
    <n v="44878"/>
    <x v="641"/>
    <x v="26"/>
    <x v="2"/>
    <x v="9"/>
    <x v="1526"/>
    <n v="238.9"/>
    <n v="6"/>
    <n v="-26.88"/>
    <x v="10"/>
    <x v="1"/>
  </r>
  <r>
    <n v="44878"/>
    <x v="641"/>
    <x v="26"/>
    <x v="1"/>
    <x v="8"/>
    <x v="809"/>
    <n v="102.36"/>
    <n v="3"/>
    <n v="-3.84"/>
    <x v="10"/>
    <x v="1"/>
  </r>
  <r>
    <n v="44878"/>
    <x v="641"/>
    <x v="26"/>
    <x v="0"/>
    <x v="3"/>
    <x v="287"/>
    <n v="36.880000000000003"/>
    <n v="3"/>
    <n v="-25.82"/>
    <x v="10"/>
    <x v="1"/>
  </r>
  <r>
    <n v="44878"/>
    <x v="519"/>
    <x v="25"/>
    <x v="0"/>
    <x v="0"/>
    <x v="1544"/>
    <n v="115.3"/>
    <n v="3"/>
    <n v="40.35"/>
    <x v="10"/>
    <x v="1"/>
  </r>
  <r>
    <n v="44878"/>
    <x v="318"/>
    <x v="7"/>
    <x v="2"/>
    <x v="6"/>
    <x v="696"/>
    <n v="377.97"/>
    <n v="3"/>
    <n v="94.49"/>
    <x v="10"/>
    <x v="1"/>
  </r>
  <r>
    <n v="44878"/>
    <x v="318"/>
    <x v="7"/>
    <x v="0"/>
    <x v="0"/>
    <x v="416"/>
    <n v="42.28"/>
    <n v="7"/>
    <n v="19.87"/>
    <x v="10"/>
    <x v="1"/>
  </r>
  <r>
    <n v="44878"/>
    <x v="318"/>
    <x v="7"/>
    <x v="1"/>
    <x v="11"/>
    <x v="384"/>
    <n v="299.97000000000003"/>
    <n v="3"/>
    <n v="56.99"/>
    <x v="10"/>
    <x v="1"/>
  </r>
  <r>
    <n v="44878"/>
    <x v="318"/>
    <x v="7"/>
    <x v="2"/>
    <x v="6"/>
    <x v="240"/>
    <n v="89.98"/>
    <n v="2"/>
    <n v="43.19"/>
    <x v="10"/>
    <x v="1"/>
  </r>
  <r>
    <n v="44878"/>
    <x v="276"/>
    <x v="1"/>
    <x v="1"/>
    <x v="8"/>
    <x v="1338"/>
    <n v="17.5"/>
    <n v="9"/>
    <n v="-7.44"/>
    <x v="10"/>
    <x v="1"/>
  </r>
  <r>
    <n v="44878"/>
    <x v="277"/>
    <x v="18"/>
    <x v="0"/>
    <x v="0"/>
    <x v="1545"/>
    <n v="63.77"/>
    <n v="7"/>
    <n v="28.7"/>
    <x v="10"/>
    <x v="1"/>
  </r>
  <r>
    <n v="44878"/>
    <x v="277"/>
    <x v="18"/>
    <x v="2"/>
    <x v="6"/>
    <x v="826"/>
    <n v="50.97"/>
    <n v="3"/>
    <n v="13.25"/>
    <x v="10"/>
    <x v="1"/>
  </r>
  <r>
    <n v="44878"/>
    <x v="277"/>
    <x v="18"/>
    <x v="0"/>
    <x v="0"/>
    <x v="1544"/>
    <n v="96.08"/>
    <n v="2"/>
    <n v="46.12"/>
    <x v="10"/>
    <x v="1"/>
  </r>
  <r>
    <n v="44878"/>
    <x v="158"/>
    <x v="15"/>
    <x v="0"/>
    <x v="2"/>
    <x v="1546"/>
    <n v="84.96"/>
    <n v="6"/>
    <n v="6.37"/>
    <x v="10"/>
    <x v="1"/>
  </r>
  <r>
    <n v="44878"/>
    <x v="299"/>
    <x v="35"/>
    <x v="2"/>
    <x v="6"/>
    <x v="1210"/>
    <n v="339.96"/>
    <n v="5"/>
    <n v="42.5"/>
    <x v="10"/>
    <x v="1"/>
  </r>
  <r>
    <n v="44878"/>
    <x v="299"/>
    <x v="35"/>
    <x v="1"/>
    <x v="8"/>
    <x v="1393"/>
    <n v="63.98"/>
    <n v="7"/>
    <n v="21.75"/>
    <x v="10"/>
    <x v="1"/>
  </r>
  <r>
    <n v="44878"/>
    <x v="667"/>
    <x v="16"/>
    <x v="0"/>
    <x v="3"/>
    <x v="145"/>
    <n v="121.1"/>
    <n v="6"/>
    <n v="-100.92"/>
    <x v="10"/>
    <x v="1"/>
  </r>
  <r>
    <n v="44878"/>
    <x v="667"/>
    <x v="16"/>
    <x v="2"/>
    <x v="9"/>
    <x v="973"/>
    <n v="111.96"/>
    <n v="5"/>
    <n v="-1.4"/>
    <x v="10"/>
    <x v="1"/>
  </r>
  <r>
    <n v="44878"/>
    <x v="487"/>
    <x v="0"/>
    <x v="1"/>
    <x v="11"/>
    <x v="1248"/>
    <n v="614"/>
    <n v="3"/>
    <n v="-18.059999999999999"/>
    <x v="10"/>
    <x v="1"/>
  </r>
  <r>
    <n v="44878"/>
    <x v="348"/>
    <x v="3"/>
    <x v="0"/>
    <x v="3"/>
    <x v="1023"/>
    <n v="9.8699999999999992"/>
    <n v="2"/>
    <n v="3.46"/>
    <x v="10"/>
    <x v="1"/>
  </r>
  <r>
    <n v="44878"/>
    <x v="348"/>
    <x v="3"/>
    <x v="1"/>
    <x v="11"/>
    <x v="1370"/>
    <n v="683.33"/>
    <n v="4"/>
    <n v="-40.200000000000003"/>
    <x v="10"/>
    <x v="1"/>
  </r>
  <r>
    <n v="44878"/>
    <x v="348"/>
    <x v="3"/>
    <x v="0"/>
    <x v="0"/>
    <x v="829"/>
    <n v="29.96"/>
    <n v="7"/>
    <n v="13.48"/>
    <x v="10"/>
    <x v="1"/>
  </r>
  <r>
    <n v="44879"/>
    <x v="225"/>
    <x v="20"/>
    <x v="2"/>
    <x v="9"/>
    <x v="401"/>
    <n v="37.6"/>
    <n v="2"/>
    <n v="2.2599999999999998"/>
    <x v="10"/>
    <x v="1"/>
  </r>
  <r>
    <n v="44879"/>
    <x v="225"/>
    <x v="20"/>
    <x v="2"/>
    <x v="9"/>
    <x v="1114"/>
    <n v="59.9"/>
    <n v="2"/>
    <n v="23.96"/>
    <x v="10"/>
    <x v="1"/>
  </r>
  <r>
    <n v="44879"/>
    <x v="225"/>
    <x v="20"/>
    <x v="0"/>
    <x v="0"/>
    <x v="1216"/>
    <n v="37"/>
    <n v="5"/>
    <n v="16.649999999999999"/>
    <x v="10"/>
    <x v="1"/>
  </r>
  <r>
    <n v="44879"/>
    <x v="225"/>
    <x v="6"/>
    <x v="0"/>
    <x v="10"/>
    <x v="22"/>
    <n v="33.96"/>
    <n v="2"/>
    <n v="16.98"/>
    <x v="10"/>
    <x v="1"/>
  </r>
  <r>
    <n v="44879"/>
    <x v="225"/>
    <x v="6"/>
    <x v="0"/>
    <x v="12"/>
    <x v="1547"/>
    <n v="826.11"/>
    <n v="3"/>
    <n v="322.18"/>
    <x v="10"/>
    <x v="1"/>
  </r>
  <r>
    <n v="44879"/>
    <x v="3"/>
    <x v="7"/>
    <x v="1"/>
    <x v="8"/>
    <x v="325"/>
    <n v="76.14"/>
    <n v="3"/>
    <n v="26.65"/>
    <x v="10"/>
    <x v="1"/>
  </r>
  <r>
    <n v="44879"/>
    <x v="3"/>
    <x v="7"/>
    <x v="0"/>
    <x v="3"/>
    <x v="970"/>
    <n v="19.96"/>
    <n v="2"/>
    <n v="9.3800000000000008"/>
    <x v="10"/>
    <x v="1"/>
  </r>
  <r>
    <n v="44879"/>
    <x v="473"/>
    <x v="2"/>
    <x v="2"/>
    <x v="9"/>
    <x v="1548"/>
    <n v="47.98"/>
    <n v="2"/>
    <n v="-1.2"/>
    <x v="10"/>
    <x v="1"/>
  </r>
  <r>
    <n v="44879"/>
    <x v="127"/>
    <x v="11"/>
    <x v="0"/>
    <x v="7"/>
    <x v="590"/>
    <n v="8.7200000000000006"/>
    <n v="5"/>
    <n v="2.29"/>
    <x v="10"/>
    <x v="1"/>
  </r>
  <r>
    <n v="44879"/>
    <x v="127"/>
    <x v="11"/>
    <x v="2"/>
    <x v="9"/>
    <x v="1207"/>
    <n v="91.18"/>
    <n v="3"/>
    <n v="4.5599999999999996"/>
    <x v="10"/>
    <x v="1"/>
  </r>
  <r>
    <n v="44879"/>
    <x v="127"/>
    <x v="11"/>
    <x v="2"/>
    <x v="9"/>
    <x v="399"/>
    <n v="159.97"/>
    <n v="4"/>
    <n v="29.99"/>
    <x v="10"/>
    <x v="1"/>
  </r>
  <r>
    <n v="44879"/>
    <x v="333"/>
    <x v="31"/>
    <x v="1"/>
    <x v="5"/>
    <x v="782"/>
    <n v="883.84"/>
    <n v="4"/>
    <n v="99.43"/>
    <x v="10"/>
    <x v="1"/>
  </r>
  <r>
    <n v="44879"/>
    <x v="333"/>
    <x v="31"/>
    <x v="1"/>
    <x v="5"/>
    <x v="1182"/>
    <n v="230.35"/>
    <n v="3"/>
    <n v="20.16"/>
    <x v="10"/>
    <x v="1"/>
  </r>
  <r>
    <n v="44880"/>
    <x v="78"/>
    <x v="1"/>
    <x v="0"/>
    <x v="2"/>
    <x v="1549"/>
    <n v="250.27"/>
    <n v="9"/>
    <n v="15.64"/>
    <x v="10"/>
    <x v="1"/>
  </r>
  <r>
    <n v="44880"/>
    <x v="78"/>
    <x v="1"/>
    <x v="0"/>
    <x v="3"/>
    <x v="933"/>
    <n v="11.36"/>
    <n v="3"/>
    <n v="-17.05"/>
    <x v="10"/>
    <x v="1"/>
  </r>
  <r>
    <n v="44880"/>
    <x v="78"/>
    <x v="1"/>
    <x v="0"/>
    <x v="14"/>
    <x v="488"/>
    <n v="8.7200000000000006"/>
    <n v="5"/>
    <n v="-1.74"/>
    <x v="10"/>
    <x v="1"/>
  </r>
  <r>
    <n v="44880"/>
    <x v="223"/>
    <x v="20"/>
    <x v="0"/>
    <x v="2"/>
    <x v="617"/>
    <n v="70.95"/>
    <n v="3"/>
    <n v="20.58"/>
    <x v="10"/>
    <x v="1"/>
  </r>
  <r>
    <n v="44880"/>
    <x v="223"/>
    <x v="20"/>
    <x v="0"/>
    <x v="3"/>
    <x v="1550"/>
    <n v="34.94"/>
    <n v="6"/>
    <n v="11.79"/>
    <x v="10"/>
    <x v="1"/>
  </r>
  <r>
    <n v="44880"/>
    <x v="223"/>
    <x v="20"/>
    <x v="0"/>
    <x v="4"/>
    <x v="262"/>
    <n v="119.04"/>
    <n v="6"/>
    <n v="35.71"/>
    <x v="10"/>
    <x v="1"/>
  </r>
  <r>
    <n v="44880"/>
    <x v="347"/>
    <x v="6"/>
    <x v="1"/>
    <x v="8"/>
    <x v="1113"/>
    <n v="39.96"/>
    <n v="2"/>
    <n v="14.39"/>
    <x v="10"/>
    <x v="1"/>
  </r>
  <r>
    <n v="44880"/>
    <x v="379"/>
    <x v="10"/>
    <x v="0"/>
    <x v="3"/>
    <x v="738"/>
    <n v="166.92"/>
    <n v="13"/>
    <n v="-116.84"/>
    <x v="10"/>
    <x v="1"/>
  </r>
  <r>
    <n v="44881"/>
    <x v="675"/>
    <x v="20"/>
    <x v="0"/>
    <x v="12"/>
    <x v="1551"/>
    <n v="523.25"/>
    <n v="5"/>
    <n v="141.28"/>
    <x v="10"/>
    <x v="1"/>
  </r>
  <r>
    <n v="44881"/>
    <x v="109"/>
    <x v="21"/>
    <x v="0"/>
    <x v="0"/>
    <x v="1449"/>
    <n v="179.82"/>
    <n v="9"/>
    <n v="84.52"/>
    <x v="10"/>
    <x v="1"/>
  </r>
  <r>
    <n v="44881"/>
    <x v="109"/>
    <x v="21"/>
    <x v="1"/>
    <x v="8"/>
    <x v="1376"/>
    <n v="185.58"/>
    <n v="6"/>
    <n v="76.09"/>
    <x v="10"/>
    <x v="1"/>
  </r>
  <r>
    <n v="44881"/>
    <x v="109"/>
    <x v="21"/>
    <x v="1"/>
    <x v="13"/>
    <x v="495"/>
    <n v="214.11"/>
    <n v="3"/>
    <n v="36.4"/>
    <x v="10"/>
    <x v="1"/>
  </r>
  <r>
    <n v="44881"/>
    <x v="109"/>
    <x v="21"/>
    <x v="2"/>
    <x v="9"/>
    <x v="1552"/>
    <n v="999.96"/>
    <n v="4"/>
    <n v="229.99"/>
    <x v="10"/>
    <x v="1"/>
  </r>
  <r>
    <n v="44881"/>
    <x v="109"/>
    <x v="21"/>
    <x v="1"/>
    <x v="13"/>
    <x v="280"/>
    <n v="653.54999999999995"/>
    <n v="3"/>
    <n v="111.1"/>
    <x v="10"/>
    <x v="1"/>
  </r>
  <r>
    <n v="44881"/>
    <x v="252"/>
    <x v="34"/>
    <x v="1"/>
    <x v="13"/>
    <x v="1091"/>
    <n v="696.42"/>
    <n v="2"/>
    <n v="160.18"/>
    <x v="10"/>
    <x v="1"/>
  </r>
  <r>
    <n v="44881"/>
    <x v="252"/>
    <x v="34"/>
    <x v="2"/>
    <x v="6"/>
    <x v="1553"/>
    <n v="304.77999999999997"/>
    <n v="3"/>
    <n v="22.86"/>
    <x v="10"/>
    <x v="1"/>
  </r>
  <r>
    <n v="44881"/>
    <x v="91"/>
    <x v="1"/>
    <x v="0"/>
    <x v="2"/>
    <x v="1314"/>
    <n v="21.49"/>
    <n v="2"/>
    <n v="1.61"/>
    <x v="10"/>
    <x v="1"/>
  </r>
  <r>
    <n v="44881"/>
    <x v="91"/>
    <x v="1"/>
    <x v="2"/>
    <x v="6"/>
    <x v="1202"/>
    <n v="239.98"/>
    <n v="3"/>
    <n v="27"/>
    <x v="10"/>
    <x v="1"/>
  </r>
  <r>
    <n v="44881"/>
    <x v="91"/>
    <x v="1"/>
    <x v="1"/>
    <x v="8"/>
    <x v="1261"/>
    <n v="34.5"/>
    <n v="2"/>
    <n v="-15.53"/>
    <x v="10"/>
    <x v="1"/>
  </r>
  <r>
    <n v="44881"/>
    <x v="130"/>
    <x v="3"/>
    <x v="0"/>
    <x v="1"/>
    <x v="821"/>
    <n v="18.899999999999999"/>
    <n v="3"/>
    <n v="8.69"/>
    <x v="10"/>
    <x v="1"/>
  </r>
  <r>
    <n v="44882"/>
    <x v="714"/>
    <x v="1"/>
    <x v="0"/>
    <x v="14"/>
    <x v="654"/>
    <n v="40.92"/>
    <n v="5"/>
    <n v="3.07"/>
    <x v="10"/>
    <x v="1"/>
  </r>
  <r>
    <n v="44882"/>
    <x v="267"/>
    <x v="3"/>
    <x v="2"/>
    <x v="6"/>
    <x v="1332"/>
    <n v="415.97"/>
    <n v="4"/>
    <n v="52"/>
    <x v="10"/>
    <x v="1"/>
  </r>
  <r>
    <n v="44882"/>
    <x v="267"/>
    <x v="3"/>
    <x v="0"/>
    <x v="2"/>
    <x v="1554"/>
    <n v="304.89999999999998"/>
    <n v="5"/>
    <n v="6.1"/>
    <x v="10"/>
    <x v="1"/>
  </r>
  <r>
    <n v="44882"/>
    <x v="267"/>
    <x v="3"/>
    <x v="1"/>
    <x v="8"/>
    <x v="220"/>
    <n v="80.959999999999994"/>
    <n v="4"/>
    <n v="29.15"/>
    <x v="10"/>
    <x v="1"/>
  </r>
  <r>
    <n v="44882"/>
    <x v="267"/>
    <x v="3"/>
    <x v="0"/>
    <x v="2"/>
    <x v="1536"/>
    <n v="777.21"/>
    <n v="7"/>
    <n v="54.4"/>
    <x v="10"/>
    <x v="1"/>
  </r>
  <r>
    <n v="44882"/>
    <x v="267"/>
    <x v="3"/>
    <x v="0"/>
    <x v="0"/>
    <x v="708"/>
    <n v="32.4"/>
    <n v="5"/>
    <n v="15.55"/>
    <x v="10"/>
    <x v="1"/>
  </r>
  <r>
    <n v="44882"/>
    <x v="267"/>
    <x v="3"/>
    <x v="1"/>
    <x v="5"/>
    <x v="1136"/>
    <n v="225.57"/>
    <n v="2"/>
    <n v="2.82"/>
    <x v="10"/>
    <x v="1"/>
  </r>
  <r>
    <n v="44882"/>
    <x v="267"/>
    <x v="3"/>
    <x v="1"/>
    <x v="8"/>
    <x v="557"/>
    <n v="36.6"/>
    <n v="3"/>
    <n v="15.37"/>
    <x v="10"/>
    <x v="1"/>
  </r>
  <r>
    <n v="44882"/>
    <x v="266"/>
    <x v="39"/>
    <x v="0"/>
    <x v="2"/>
    <x v="1324"/>
    <n v="541.24"/>
    <n v="4"/>
    <n v="5.41"/>
    <x v="10"/>
    <x v="1"/>
  </r>
  <r>
    <n v="44882"/>
    <x v="266"/>
    <x v="39"/>
    <x v="0"/>
    <x v="0"/>
    <x v="371"/>
    <n v="106.32"/>
    <n v="3"/>
    <n v="49.97"/>
    <x v="10"/>
    <x v="1"/>
  </r>
  <r>
    <n v="44882"/>
    <x v="266"/>
    <x v="39"/>
    <x v="1"/>
    <x v="5"/>
    <x v="1528"/>
    <n v="1323.9"/>
    <n v="5"/>
    <n v="383.93"/>
    <x v="10"/>
    <x v="1"/>
  </r>
  <r>
    <n v="44884"/>
    <x v="529"/>
    <x v="22"/>
    <x v="1"/>
    <x v="8"/>
    <x v="1431"/>
    <n v="141.96"/>
    <n v="2"/>
    <n v="22.71"/>
    <x v="10"/>
    <x v="1"/>
  </r>
  <r>
    <n v="44884"/>
    <x v="166"/>
    <x v="17"/>
    <x v="0"/>
    <x v="12"/>
    <x v="1162"/>
    <n v="31.08"/>
    <n v="4"/>
    <n v="8.39"/>
    <x v="10"/>
    <x v="1"/>
  </r>
  <r>
    <n v="44884"/>
    <x v="375"/>
    <x v="20"/>
    <x v="0"/>
    <x v="3"/>
    <x v="949"/>
    <n v="5.98"/>
    <n v="2"/>
    <n v="2.2400000000000002"/>
    <x v="10"/>
    <x v="1"/>
  </r>
  <r>
    <n v="44884"/>
    <x v="375"/>
    <x v="20"/>
    <x v="2"/>
    <x v="6"/>
    <x v="1529"/>
    <n v="861.76"/>
    <n v="4"/>
    <n v="249.91"/>
    <x v="10"/>
    <x v="1"/>
  </r>
  <r>
    <n v="44885"/>
    <x v="291"/>
    <x v="20"/>
    <x v="0"/>
    <x v="4"/>
    <x v="1473"/>
    <n v="60.45"/>
    <n v="3"/>
    <n v="16.32"/>
    <x v="10"/>
    <x v="1"/>
  </r>
  <r>
    <n v="44885"/>
    <x v="291"/>
    <x v="20"/>
    <x v="0"/>
    <x v="4"/>
    <x v="375"/>
    <n v="11.52"/>
    <n v="4"/>
    <n v="3.34"/>
    <x v="10"/>
    <x v="1"/>
  </r>
  <r>
    <n v="44885"/>
    <x v="291"/>
    <x v="20"/>
    <x v="1"/>
    <x v="11"/>
    <x v="1317"/>
    <n v="186.05"/>
    <n v="4"/>
    <n v="9.3000000000000007"/>
    <x v="10"/>
    <x v="1"/>
  </r>
  <r>
    <n v="44885"/>
    <x v="659"/>
    <x v="3"/>
    <x v="0"/>
    <x v="4"/>
    <x v="182"/>
    <n v="19.46"/>
    <n v="7"/>
    <n v="5.0599999999999996"/>
    <x v="10"/>
    <x v="1"/>
  </r>
  <r>
    <n v="44885"/>
    <x v="275"/>
    <x v="20"/>
    <x v="0"/>
    <x v="0"/>
    <x v="521"/>
    <n v="19.649999999999999"/>
    <n v="3"/>
    <n v="9.0399999999999991"/>
    <x v="10"/>
    <x v="1"/>
  </r>
  <r>
    <n v="44885"/>
    <x v="164"/>
    <x v="3"/>
    <x v="2"/>
    <x v="6"/>
    <x v="1555"/>
    <n v="72.739999999999995"/>
    <n v="7"/>
    <n v="-15.46"/>
    <x v="10"/>
    <x v="1"/>
  </r>
  <r>
    <n v="44885"/>
    <x v="164"/>
    <x v="3"/>
    <x v="1"/>
    <x v="5"/>
    <x v="1075"/>
    <n v="572.16"/>
    <n v="3"/>
    <n v="35.76"/>
    <x v="10"/>
    <x v="1"/>
  </r>
  <r>
    <n v="44885"/>
    <x v="715"/>
    <x v="3"/>
    <x v="0"/>
    <x v="3"/>
    <x v="544"/>
    <n v="24.19"/>
    <n v="9"/>
    <n v="7.56"/>
    <x v="10"/>
    <x v="1"/>
  </r>
  <r>
    <n v="44885"/>
    <x v="716"/>
    <x v="22"/>
    <x v="0"/>
    <x v="4"/>
    <x v="609"/>
    <n v="119.04"/>
    <n v="6"/>
    <n v="30.95"/>
    <x v="10"/>
    <x v="1"/>
  </r>
  <r>
    <n v="44885"/>
    <x v="716"/>
    <x v="22"/>
    <x v="1"/>
    <x v="8"/>
    <x v="977"/>
    <n v="22.14"/>
    <n v="3"/>
    <n v="6.42"/>
    <x v="10"/>
    <x v="1"/>
  </r>
  <r>
    <n v="44885"/>
    <x v="716"/>
    <x v="22"/>
    <x v="2"/>
    <x v="9"/>
    <x v="1541"/>
    <n v="13.98"/>
    <n v="2"/>
    <n v="6.01"/>
    <x v="10"/>
    <x v="1"/>
  </r>
  <r>
    <n v="44885"/>
    <x v="295"/>
    <x v="10"/>
    <x v="1"/>
    <x v="8"/>
    <x v="1556"/>
    <n v="63.82"/>
    <n v="2"/>
    <n v="9.57"/>
    <x v="10"/>
    <x v="1"/>
  </r>
  <r>
    <n v="44885"/>
    <x v="295"/>
    <x v="10"/>
    <x v="0"/>
    <x v="2"/>
    <x v="1471"/>
    <n v="141.55000000000001"/>
    <n v="3"/>
    <n v="-26.54"/>
    <x v="10"/>
    <x v="1"/>
  </r>
  <r>
    <n v="44885"/>
    <x v="271"/>
    <x v="0"/>
    <x v="2"/>
    <x v="15"/>
    <x v="1557"/>
    <n v="479.99"/>
    <n v="2"/>
    <n v="56"/>
    <x v="10"/>
    <x v="1"/>
  </r>
  <r>
    <n v="44885"/>
    <x v="567"/>
    <x v="16"/>
    <x v="0"/>
    <x v="3"/>
    <x v="96"/>
    <n v="7.23"/>
    <n v="5"/>
    <n v="-5.78"/>
    <x v="10"/>
    <x v="1"/>
  </r>
  <r>
    <n v="44885"/>
    <x v="567"/>
    <x v="16"/>
    <x v="0"/>
    <x v="2"/>
    <x v="199"/>
    <n v="17.440000000000001"/>
    <n v="2"/>
    <n v="1.31"/>
    <x v="10"/>
    <x v="1"/>
  </r>
  <r>
    <n v="44885"/>
    <x v="567"/>
    <x v="16"/>
    <x v="0"/>
    <x v="3"/>
    <x v="81"/>
    <n v="62.88"/>
    <n v="4"/>
    <n v="-50.3"/>
    <x v="10"/>
    <x v="1"/>
  </r>
  <r>
    <n v="44885"/>
    <x v="567"/>
    <x v="16"/>
    <x v="1"/>
    <x v="11"/>
    <x v="238"/>
    <n v="290.35000000000002"/>
    <n v="3"/>
    <n v="-36.29"/>
    <x v="10"/>
    <x v="1"/>
  </r>
  <r>
    <n v="44885"/>
    <x v="1"/>
    <x v="2"/>
    <x v="1"/>
    <x v="5"/>
    <x v="561"/>
    <n v="344.37"/>
    <n v="4"/>
    <n v="-93.47"/>
    <x v="10"/>
    <x v="1"/>
  </r>
  <r>
    <n v="44885"/>
    <x v="147"/>
    <x v="26"/>
    <x v="0"/>
    <x v="3"/>
    <x v="601"/>
    <n v="4.9000000000000004"/>
    <n v="3"/>
    <n v="-3.43"/>
    <x v="10"/>
    <x v="1"/>
  </r>
  <r>
    <n v="44885"/>
    <x v="147"/>
    <x v="26"/>
    <x v="1"/>
    <x v="11"/>
    <x v="1558"/>
    <n v="145.76"/>
    <n v="6"/>
    <n v="-247.8"/>
    <x v="10"/>
    <x v="1"/>
  </r>
  <r>
    <n v="44885"/>
    <x v="147"/>
    <x v="26"/>
    <x v="0"/>
    <x v="3"/>
    <x v="68"/>
    <n v="9.61"/>
    <n v="6"/>
    <n v="-7.37"/>
    <x v="10"/>
    <x v="1"/>
  </r>
  <r>
    <n v="44885"/>
    <x v="10"/>
    <x v="3"/>
    <x v="0"/>
    <x v="3"/>
    <x v="695"/>
    <n v="89.7"/>
    <n v="4"/>
    <n v="33.64"/>
    <x v="10"/>
    <x v="1"/>
  </r>
  <r>
    <n v="44885"/>
    <x v="10"/>
    <x v="3"/>
    <x v="0"/>
    <x v="1"/>
    <x v="634"/>
    <n v="50.12"/>
    <n v="4"/>
    <n v="23.56"/>
    <x v="10"/>
    <x v="1"/>
  </r>
  <r>
    <n v="44885"/>
    <x v="439"/>
    <x v="3"/>
    <x v="1"/>
    <x v="8"/>
    <x v="863"/>
    <n v="32.04"/>
    <n v="3"/>
    <n v="8.01"/>
    <x v="10"/>
    <x v="1"/>
  </r>
  <r>
    <n v="44886"/>
    <x v="264"/>
    <x v="10"/>
    <x v="1"/>
    <x v="5"/>
    <x v="526"/>
    <n v="396.8"/>
    <n v="7"/>
    <n v="-11.34"/>
    <x v="10"/>
    <x v="1"/>
  </r>
  <r>
    <n v="44886"/>
    <x v="264"/>
    <x v="10"/>
    <x v="0"/>
    <x v="14"/>
    <x v="1183"/>
    <n v="15.88"/>
    <n v="5"/>
    <n v="-3.77"/>
    <x v="10"/>
    <x v="1"/>
  </r>
  <r>
    <n v="44886"/>
    <x v="262"/>
    <x v="17"/>
    <x v="1"/>
    <x v="11"/>
    <x v="1233"/>
    <n v="141.96"/>
    <n v="2"/>
    <n v="41.17"/>
    <x v="10"/>
    <x v="1"/>
  </r>
  <r>
    <n v="44886"/>
    <x v="262"/>
    <x v="17"/>
    <x v="0"/>
    <x v="3"/>
    <x v="739"/>
    <n v="66.05"/>
    <n v="4"/>
    <n v="23.12"/>
    <x v="10"/>
    <x v="1"/>
  </r>
  <r>
    <n v="44886"/>
    <x v="27"/>
    <x v="0"/>
    <x v="1"/>
    <x v="11"/>
    <x v="1429"/>
    <n v="246.13"/>
    <n v="2"/>
    <n v="-76.010000000000005"/>
    <x v="10"/>
    <x v="1"/>
  </r>
  <r>
    <n v="44886"/>
    <x v="27"/>
    <x v="0"/>
    <x v="0"/>
    <x v="1"/>
    <x v="645"/>
    <n v="11.7"/>
    <n v="2"/>
    <n v="3.95"/>
    <x v="10"/>
    <x v="1"/>
  </r>
  <r>
    <n v="44886"/>
    <x v="27"/>
    <x v="0"/>
    <x v="2"/>
    <x v="16"/>
    <x v="679"/>
    <n v="439.99"/>
    <n v="1"/>
    <n v="165"/>
    <x v="10"/>
    <x v="1"/>
  </r>
  <r>
    <n v="44886"/>
    <x v="268"/>
    <x v="18"/>
    <x v="0"/>
    <x v="4"/>
    <x v="1559"/>
    <n v="10.92"/>
    <n v="6"/>
    <n v="4.91"/>
    <x v="10"/>
    <x v="1"/>
  </r>
  <r>
    <n v="44886"/>
    <x v="268"/>
    <x v="18"/>
    <x v="2"/>
    <x v="15"/>
    <x v="1560"/>
    <n v="83.9"/>
    <n v="2"/>
    <n v="22.65"/>
    <x v="10"/>
    <x v="1"/>
  </r>
  <r>
    <n v="44886"/>
    <x v="268"/>
    <x v="18"/>
    <x v="0"/>
    <x v="12"/>
    <x v="936"/>
    <n v="19.75"/>
    <n v="5"/>
    <n v="5.14"/>
    <x v="10"/>
    <x v="1"/>
  </r>
  <r>
    <n v="44886"/>
    <x v="268"/>
    <x v="18"/>
    <x v="2"/>
    <x v="9"/>
    <x v="1561"/>
    <n v="393.54"/>
    <n v="3"/>
    <n v="165.29"/>
    <x v="10"/>
    <x v="1"/>
  </r>
  <r>
    <n v="44886"/>
    <x v="673"/>
    <x v="12"/>
    <x v="0"/>
    <x v="12"/>
    <x v="1562"/>
    <n v="325.63"/>
    <n v="6"/>
    <n v="28.49"/>
    <x v="10"/>
    <x v="1"/>
  </r>
  <r>
    <n v="44886"/>
    <x v="673"/>
    <x v="12"/>
    <x v="2"/>
    <x v="9"/>
    <x v="774"/>
    <n v="23.34"/>
    <n v="2"/>
    <n v="-1.46"/>
    <x v="10"/>
    <x v="1"/>
  </r>
  <r>
    <n v="44886"/>
    <x v="673"/>
    <x v="12"/>
    <x v="0"/>
    <x v="1"/>
    <x v="380"/>
    <n v="16.52"/>
    <n v="5"/>
    <n v="5.37"/>
    <x v="10"/>
    <x v="1"/>
  </r>
  <r>
    <n v="44886"/>
    <x v="228"/>
    <x v="2"/>
    <x v="1"/>
    <x v="13"/>
    <x v="134"/>
    <n v="1252.7"/>
    <n v="8"/>
    <n v="-480.2"/>
    <x v="10"/>
    <x v="1"/>
  </r>
  <r>
    <n v="44886"/>
    <x v="228"/>
    <x v="2"/>
    <x v="2"/>
    <x v="6"/>
    <x v="550"/>
    <n v="110.97"/>
    <n v="5"/>
    <n v="-24.04"/>
    <x v="10"/>
    <x v="1"/>
  </r>
  <r>
    <n v="44886"/>
    <x v="653"/>
    <x v="0"/>
    <x v="0"/>
    <x v="4"/>
    <x v="1185"/>
    <n v="5.34"/>
    <n v="2"/>
    <n v="0.73"/>
    <x v="10"/>
    <x v="1"/>
  </r>
  <r>
    <n v="44886"/>
    <x v="653"/>
    <x v="0"/>
    <x v="0"/>
    <x v="3"/>
    <x v="505"/>
    <n v="1.7"/>
    <n v="2"/>
    <n v="-2.54"/>
    <x v="10"/>
    <x v="1"/>
  </r>
  <r>
    <n v="44886"/>
    <x v="653"/>
    <x v="0"/>
    <x v="0"/>
    <x v="12"/>
    <x v="1203"/>
    <n v="24.59"/>
    <n v="3"/>
    <n v="-67.62"/>
    <x v="10"/>
    <x v="1"/>
  </r>
  <r>
    <n v="44886"/>
    <x v="653"/>
    <x v="0"/>
    <x v="0"/>
    <x v="3"/>
    <x v="1430"/>
    <n v="7.98"/>
    <n v="5"/>
    <n v="-13.17"/>
    <x v="10"/>
    <x v="1"/>
  </r>
  <r>
    <n v="44886"/>
    <x v="209"/>
    <x v="25"/>
    <x v="1"/>
    <x v="8"/>
    <x v="1307"/>
    <n v="18.18"/>
    <n v="1"/>
    <n v="4.7699999999999996"/>
    <x v="10"/>
    <x v="1"/>
  </r>
  <r>
    <n v="44887"/>
    <x v="187"/>
    <x v="0"/>
    <x v="0"/>
    <x v="12"/>
    <x v="52"/>
    <n v="68.81"/>
    <n v="5"/>
    <n v="-123.86"/>
    <x v="10"/>
    <x v="1"/>
  </r>
  <r>
    <n v="44887"/>
    <x v="187"/>
    <x v="0"/>
    <x v="0"/>
    <x v="3"/>
    <x v="505"/>
    <n v="2.54"/>
    <n v="3"/>
    <n v="-3.82"/>
    <x v="10"/>
    <x v="1"/>
  </r>
  <r>
    <n v="44887"/>
    <x v="576"/>
    <x v="2"/>
    <x v="0"/>
    <x v="3"/>
    <x v="326"/>
    <n v="11.61"/>
    <n v="2"/>
    <n v="-9.2899999999999991"/>
    <x v="10"/>
    <x v="1"/>
  </r>
  <r>
    <n v="44887"/>
    <x v="690"/>
    <x v="0"/>
    <x v="1"/>
    <x v="13"/>
    <x v="848"/>
    <n v="206.96"/>
    <n v="2"/>
    <n v="-32.520000000000003"/>
    <x v="10"/>
    <x v="1"/>
  </r>
  <r>
    <n v="44887"/>
    <x v="539"/>
    <x v="32"/>
    <x v="0"/>
    <x v="0"/>
    <x v="1097"/>
    <n v="14.94"/>
    <n v="3"/>
    <n v="7.02"/>
    <x v="10"/>
    <x v="1"/>
  </r>
  <r>
    <n v="44887"/>
    <x v="64"/>
    <x v="0"/>
    <x v="2"/>
    <x v="9"/>
    <x v="1563"/>
    <n v="27.17"/>
    <n v="4"/>
    <n v="-1.36"/>
    <x v="10"/>
    <x v="1"/>
  </r>
  <r>
    <n v="44887"/>
    <x v="387"/>
    <x v="15"/>
    <x v="0"/>
    <x v="3"/>
    <x v="832"/>
    <n v="2.95"/>
    <n v="2"/>
    <n v="-2.06"/>
    <x v="10"/>
    <x v="1"/>
  </r>
  <r>
    <n v="44887"/>
    <x v="387"/>
    <x v="15"/>
    <x v="0"/>
    <x v="7"/>
    <x v="693"/>
    <n v="55.1"/>
    <n v="6"/>
    <n v="18.600000000000001"/>
    <x v="10"/>
    <x v="1"/>
  </r>
  <r>
    <n v="44887"/>
    <x v="534"/>
    <x v="3"/>
    <x v="0"/>
    <x v="0"/>
    <x v="167"/>
    <n v="37.94"/>
    <n v="2"/>
    <n v="18.21"/>
    <x v="10"/>
    <x v="1"/>
  </r>
  <r>
    <n v="44887"/>
    <x v="534"/>
    <x v="3"/>
    <x v="0"/>
    <x v="0"/>
    <x v="127"/>
    <n v="42.8"/>
    <n v="10"/>
    <n v="19.260000000000002"/>
    <x v="10"/>
    <x v="1"/>
  </r>
  <r>
    <n v="44887"/>
    <x v="534"/>
    <x v="3"/>
    <x v="0"/>
    <x v="2"/>
    <x v="329"/>
    <n v="33.630000000000003"/>
    <n v="3"/>
    <n v="10.09"/>
    <x v="10"/>
    <x v="1"/>
  </r>
  <r>
    <n v="44887"/>
    <x v="248"/>
    <x v="16"/>
    <x v="2"/>
    <x v="15"/>
    <x v="499"/>
    <n v="32.99"/>
    <n v="3"/>
    <n v="-1.98"/>
    <x v="10"/>
    <x v="1"/>
  </r>
  <r>
    <n v="44887"/>
    <x v="198"/>
    <x v="32"/>
    <x v="0"/>
    <x v="4"/>
    <x v="514"/>
    <n v="17.12"/>
    <n v="4"/>
    <n v="4.96"/>
    <x v="10"/>
    <x v="1"/>
  </r>
  <r>
    <n v="44887"/>
    <x v="198"/>
    <x v="32"/>
    <x v="0"/>
    <x v="0"/>
    <x v="1564"/>
    <n v="59.94"/>
    <n v="3"/>
    <n v="28.17"/>
    <x v="10"/>
    <x v="1"/>
  </r>
  <r>
    <n v="44888"/>
    <x v="668"/>
    <x v="0"/>
    <x v="0"/>
    <x v="0"/>
    <x v="1481"/>
    <n v="335.52"/>
    <n v="4"/>
    <n v="117.43"/>
    <x v="10"/>
    <x v="1"/>
  </r>
  <r>
    <n v="44888"/>
    <x v="668"/>
    <x v="0"/>
    <x v="0"/>
    <x v="3"/>
    <x v="542"/>
    <n v="23.91"/>
    <n v="2"/>
    <n v="-40.65"/>
    <x v="10"/>
    <x v="1"/>
  </r>
  <r>
    <n v="44888"/>
    <x v="668"/>
    <x v="0"/>
    <x v="0"/>
    <x v="2"/>
    <x v="1265"/>
    <n v="27.06"/>
    <n v="2"/>
    <n v="2.37"/>
    <x v="10"/>
    <x v="1"/>
  </r>
  <r>
    <n v="44888"/>
    <x v="372"/>
    <x v="23"/>
    <x v="0"/>
    <x v="12"/>
    <x v="1512"/>
    <n v="2625.12"/>
    <n v="8"/>
    <n v="735.03"/>
    <x v="10"/>
    <x v="1"/>
  </r>
  <r>
    <n v="44888"/>
    <x v="372"/>
    <x v="23"/>
    <x v="0"/>
    <x v="4"/>
    <x v="588"/>
    <n v="17.940000000000001"/>
    <n v="3"/>
    <n v="4.49"/>
    <x v="10"/>
    <x v="1"/>
  </r>
  <r>
    <n v="44888"/>
    <x v="517"/>
    <x v="7"/>
    <x v="2"/>
    <x v="6"/>
    <x v="855"/>
    <n v="307.98"/>
    <n v="2"/>
    <n v="89.31"/>
    <x v="10"/>
    <x v="1"/>
  </r>
  <r>
    <n v="44888"/>
    <x v="517"/>
    <x v="7"/>
    <x v="0"/>
    <x v="0"/>
    <x v="1067"/>
    <n v="44.1"/>
    <n v="6"/>
    <n v="20.73"/>
    <x v="10"/>
    <x v="1"/>
  </r>
  <r>
    <n v="44888"/>
    <x v="517"/>
    <x v="7"/>
    <x v="0"/>
    <x v="4"/>
    <x v="1565"/>
    <n v="13.12"/>
    <n v="4"/>
    <n v="5.64"/>
    <x v="10"/>
    <x v="1"/>
  </r>
  <r>
    <n v="44888"/>
    <x v="517"/>
    <x v="7"/>
    <x v="0"/>
    <x v="10"/>
    <x v="21"/>
    <n v="16.559999999999999"/>
    <n v="2"/>
    <n v="7.78"/>
    <x v="10"/>
    <x v="1"/>
  </r>
  <r>
    <n v="44888"/>
    <x v="517"/>
    <x v="7"/>
    <x v="0"/>
    <x v="0"/>
    <x v="291"/>
    <n v="38.880000000000003"/>
    <n v="6"/>
    <n v="18.66"/>
    <x v="10"/>
    <x v="1"/>
  </r>
  <r>
    <n v="44889"/>
    <x v="111"/>
    <x v="3"/>
    <x v="2"/>
    <x v="9"/>
    <x v="843"/>
    <n v="13.98"/>
    <n v="2"/>
    <n v="6.15"/>
    <x v="10"/>
    <x v="1"/>
  </r>
  <r>
    <n v="44889"/>
    <x v="111"/>
    <x v="3"/>
    <x v="0"/>
    <x v="3"/>
    <x v="374"/>
    <n v="25.82"/>
    <n v="6"/>
    <n v="9.36"/>
    <x v="10"/>
    <x v="1"/>
  </r>
  <r>
    <n v="44889"/>
    <x v="111"/>
    <x v="3"/>
    <x v="0"/>
    <x v="0"/>
    <x v="1566"/>
    <n v="146.72999999999999"/>
    <n v="3"/>
    <n v="68.959999999999994"/>
    <x v="10"/>
    <x v="1"/>
  </r>
  <r>
    <n v="44889"/>
    <x v="111"/>
    <x v="3"/>
    <x v="1"/>
    <x v="8"/>
    <x v="1013"/>
    <n v="79.760000000000005"/>
    <n v="4"/>
    <n v="22.33"/>
    <x v="10"/>
    <x v="1"/>
  </r>
  <r>
    <n v="44889"/>
    <x v="0"/>
    <x v="3"/>
    <x v="0"/>
    <x v="0"/>
    <x v="207"/>
    <n v="368.91"/>
    <n v="9"/>
    <n v="180.77"/>
    <x v="10"/>
    <x v="1"/>
  </r>
  <r>
    <n v="44889"/>
    <x v="0"/>
    <x v="3"/>
    <x v="0"/>
    <x v="4"/>
    <x v="793"/>
    <n v="14.7"/>
    <n v="5"/>
    <n v="6.62"/>
    <x v="10"/>
    <x v="1"/>
  </r>
  <r>
    <n v="44889"/>
    <x v="18"/>
    <x v="3"/>
    <x v="0"/>
    <x v="3"/>
    <x v="1508"/>
    <n v="3.17"/>
    <n v="2"/>
    <n v="0.99"/>
    <x v="10"/>
    <x v="1"/>
  </r>
  <r>
    <n v="44889"/>
    <x v="18"/>
    <x v="3"/>
    <x v="0"/>
    <x v="0"/>
    <x v="5"/>
    <n v="19.440000000000001"/>
    <n v="3"/>
    <n v="9.33"/>
    <x v="10"/>
    <x v="1"/>
  </r>
  <r>
    <n v="44889"/>
    <x v="18"/>
    <x v="3"/>
    <x v="0"/>
    <x v="2"/>
    <x v="1567"/>
    <n v="454.86"/>
    <n v="7"/>
    <n v="54.58"/>
    <x v="10"/>
    <x v="1"/>
  </r>
  <r>
    <n v="44889"/>
    <x v="18"/>
    <x v="3"/>
    <x v="0"/>
    <x v="3"/>
    <x v="496"/>
    <n v="91.39"/>
    <n v="8"/>
    <n v="29.7"/>
    <x v="10"/>
    <x v="1"/>
  </r>
  <r>
    <n v="44890"/>
    <x v="394"/>
    <x v="25"/>
    <x v="0"/>
    <x v="4"/>
    <x v="1568"/>
    <n v="13.12"/>
    <n v="5"/>
    <n v="1.48"/>
    <x v="10"/>
    <x v="1"/>
  </r>
  <r>
    <n v="44891"/>
    <x v="133"/>
    <x v="32"/>
    <x v="0"/>
    <x v="3"/>
    <x v="73"/>
    <n v="14.73"/>
    <n v="3"/>
    <n v="6.92"/>
    <x v="10"/>
    <x v="1"/>
  </r>
  <r>
    <n v="44891"/>
    <x v="133"/>
    <x v="32"/>
    <x v="0"/>
    <x v="2"/>
    <x v="1271"/>
    <n v="104.9"/>
    <n v="5"/>
    <n v="25.18"/>
    <x v="10"/>
    <x v="1"/>
  </r>
  <r>
    <n v="44891"/>
    <x v="133"/>
    <x v="32"/>
    <x v="0"/>
    <x v="3"/>
    <x v="1292"/>
    <n v="61.04"/>
    <n v="4"/>
    <n v="30.52"/>
    <x v="10"/>
    <x v="1"/>
  </r>
  <r>
    <n v="44891"/>
    <x v="133"/>
    <x v="32"/>
    <x v="0"/>
    <x v="0"/>
    <x v="1535"/>
    <n v="10.95"/>
    <n v="3"/>
    <n v="5.15"/>
    <x v="10"/>
    <x v="1"/>
  </r>
  <r>
    <n v="44891"/>
    <x v="572"/>
    <x v="15"/>
    <x v="1"/>
    <x v="8"/>
    <x v="1143"/>
    <n v="692.47"/>
    <n v="11"/>
    <n v="190.43"/>
    <x v="10"/>
    <x v="1"/>
  </r>
  <r>
    <n v="44891"/>
    <x v="400"/>
    <x v="24"/>
    <x v="2"/>
    <x v="16"/>
    <x v="856"/>
    <n v="599.99"/>
    <n v="1"/>
    <n v="234"/>
    <x v="10"/>
    <x v="1"/>
  </r>
  <r>
    <n v="44892"/>
    <x v="445"/>
    <x v="16"/>
    <x v="1"/>
    <x v="13"/>
    <x v="957"/>
    <n v="375.46"/>
    <n v="3"/>
    <n v="-157.01"/>
    <x v="10"/>
    <x v="1"/>
  </r>
  <r>
    <n v="44892"/>
    <x v="445"/>
    <x v="16"/>
    <x v="2"/>
    <x v="9"/>
    <x v="1569"/>
    <n v="83.98"/>
    <n v="3"/>
    <n v="-1.05"/>
    <x v="10"/>
    <x v="1"/>
  </r>
  <r>
    <n v="44892"/>
    <x v="101"/>
    <x v="3"/>
    <x v="1"/>
    <x v="5"/>
    <x v="478"/>
    <n v="283.92"/>
    <n v="5"/>
    <n v="17.75"/>
    <x v="10"/>
    <x v="1"/>
  </r>
  <r>
    <n v="44892"/>
    <x v="586"/>
    <x v="13"/>
    <x v="0"/>
    <x v="3"/>
    <x v="253"/>
    <n v="6.24"/>
    <n v="2"/>
    <n v="3.06"/>
    <x v="10"/>
    <x v="1"/>
  </r>
  <r>
    <n v="44892"/>
    <x v="514"/>
    <x v="7"/>
    <x v="2"/>
    <x v="6"/>
    <x v="1570"/>
    <n v="83.97"/>
    <n v="3"/>
    <n v="23.51"/>
    <x v="10"/>
    <x v="1"/>
  </r>
  <r>
    <n v="44892"/>
    <x v="514"/>
    <x v="7"/>
    <x v="2"/>
    <x v="9"/>
    <x v="1571"/>
    <n v="104.97"/>
    <n v="3"/>
    <n v="7.35"/>
    <x v="10"/>
    <x v="1"/>
  </r>
  <r>
    <n v="44892"/>
    <x v="617"/>
    <x v="20"/>
    <x v="0"/>
    <x v="4"/>
    <x v="234"/>
    <n v="29.79"/>
    <n v="3"/>
    <n v="12.51"/>
    <x v="10"/>
    <x v="1"/>
  </r>
  <r>
    <n v="44892"/>
    <x v="188"/>
    <x v="3"/>
    <x v="2"/>
    <x v="9"/>
    <x v="530"/>
    <n v="107.97"/>
    <n v="3"/>
    <n v="22.67"/>
    <x v="10"/>
    <x v="1"/>
  </r>
  <r>
    <n v="44892"/>
    <x v="188"/>
    <x v="3"/>
    <x v="0"/>
    <x v="0"/>
    <x v="795"/>
    <n v="113.82"/>
    <n v="3"/>
    <n v="53.5"/>
    <x v="10"/>
    <x v="1"/>
  </r>
  <r>
    <n v="44892"/>
    <x v="469"/>
    <x v="2"/>
    <x v="2"/>
    <x v="6"/>
    <x v="1572"/>
    <n v="748.75"/>
    <n v="8"/>
    <n v="-162.22999999999999"/>
    <x v="10"/>
    <x v="1"/>
  </r>
  <r>
    <n v="44892"/>
    <x v="338"/>
    <x v="32"/>
    <x v="0"/>
    <x v="0"/>
    <x v="1282"/>
    <n v="40.08"/>
    <n v="6"/>
    <n v="19.239999999999998"/>
    <x v="10"/>
    <x v="1"/>
  </r>
  <r>
    <n v="44892"/>
    <x v="338"/>
    <x v="32"/>
    <x v="0"/>
    <x v="0"/>
    <x v="653"/>
    <n v="59.94"/>
    <n v="3"/>
    <n v="28.17"/>
    <x v="10"/>
    <x v="1"/>
  </r>
  <r>
    <n v="44892"/>
    <x v="338"/>
    <x v="32"/>
    <x v="2"/>
    <x v="9"/>
    <x v="1361"/>
    <n v="259.98"/>
    <n v="2"/>
    <n v="88.39"/>
    <x v="10"/>
    <x v="1"/>
  </r>
  <r>
    <n v="44892"/>
    <x v="338"/>
    <x v="32"/>
    <x v="1"/>
    <x v="11"/>
    <x v="644"/>
    <n v="170.98"/>
    <n v="1"/>
    <n v="32.49"/>
    <x v="10"/>
    <x v="1"/>
  </r>
  <r>
    <n v="44892"/>
    <x v="338"/>
    <x v="32"/>
    <x v="1"/>
    <x v="8"/>
    <x v="1366"/>
    <n v="38.97"/>
    <n v="3"/>
    <n v="4.68"/>
    <x v="10"/>
    <x v="1"/>
  </r>
  <r>
    <n v="44892"/>
    <x v="338"/>
    <x v="32"/>
    <x v="0"/>
    <x v="0"/>
    <x v="919"/>
    <n v="154.9"/>
    <n v="5"/>
    <n v="69.709999999999994"/>
    <x v="10"/>
    <x v="1"/>
  </r>
  <r>
    <n v="44892"/>
    <x v="338"/>
    <x v="32"/>
    <x v="1"/>
    <x v="13"/>
    <x v="1138"/>
    <n v="446.07"/>
    <n v="4"/>
    <n v="0"/>
    <x v="10"/>
    <x v="1"/>
  </r>
  <r>
    <n v="44893"/>
    <x v="696"/>
    <x v="1"/>
    <x v="1"/>
    <x v="8"/>
    <x v="1043"/>
    <n v="12.13"/>
    <n v="9"/>
    <n v="-8.49"/>
    <x v="10"/>
    <x v="1"/>
  </r>
  <r>
    <n v="44893"/>
    <x v="696"/>
    <x v="1"/>
    <x v="0"/>
    <x v="2"/>
    <x v="627"/>
    <n v="82.37"/>
    <n v="2"/>
    <n v="-19.559999999999999"/>
    <x v="10"/>
    <x v="1"/>
  </r>
  <r>
    <n v="44893"/>
    <x v="696"/>
    <x v="1"/>
    <x v="0"/>
    <x v="2"/>
    <x v="1369"/>
    <n v="53.92"/>
    <n v="5"/>
    <n v="4.04"/>
    <x v="10"/>
    <x v="1"/>
  </r>
  <r>
    <n v="44893"/>
    <x v="696"/>
    <x v="1"/>
    <x v="2"/>
    <x v="6"/>
    <x v="1094"/>
    <n v="647.9"/>
    <n v="6"/>
    <n v="56.69"/>
    <x v="10"/>
    <x v="1"/>
  </r>
  <r>
    <n v="44893"/>
    <x v="164"/>
    <x v="1"/>
    <x v="1"/>
    <x v="8"/>
    <x v="1190"/>
    <n v="151.96"/>
    <n v="5"/>
    <n v="-182.35"/>
    <x v="10"/>
    <x v="1"/>
  </r>
  <r>
    <n v="44893"/>
    <x v="717"/>
    <x v="20"/>
    <x v="1"/>
    <x v="8"/>
    <x v="1573"/>
    <n v="322.58999999999997"/>
    <n v="3"/>
    <n v="64.52"/>
    <x v="10"/>
    <x v="1"/>
  </r>
  <r>
    <n v="44893"/>
    <x v="231"/>
    <x v="20"/>
    <x v="1"/>
    <x v="8"/>
    <x v="1307"/>
    <n v="68.16"/>
    <n v="3"/>
    <n v="27.95"/>
    <x v="10"/>
    <x v="1"/>
  </r>
  <r>
    <n v="44893"/>
    <x v="231"/>
    <x v="20"/>
    <x v="0"/>
    <x v="10"/>
    <x v="21"/>
    <n v="62.24"/>
    <n v="8"/>
    <n v="29.25"/>
    <x v="10"/>
    <x v="1"/>
  </r>
  <r>
    <n v="44893"/>
    <x v="438"/>
    <x v="0"/>
    <x v="0"/>
    <x v="0"/>
    <x v="539"/>
    <n v="335.52"/>
    <n v="4"/>
    <n v="117.43"/>
    <x v="10"/>
    <x v="1"/>
  </r>
  <r>
    <n v="44893"/>
    <x v="415"/>
    <x v="31"/>
    <x v="0"/>
    <x v="4"/>
    <x v="780"/>
    <n v="8.2799999999999994"/>
    <n v="2"/>
    <n v="3.48"/>
    <x v="10"/>
    <x v="1"/>
  </r>
  <r>
    <n v="44893"/>
    <x v="63"/>
    <x v="3"/>
    <x v="0"/>
    <x v="12"/>
    <x v="1574"/>
    <n v="45.28"/>
    <n v="4"/>
    <n v="15.4"/>
    <x v="10"/>
    <x v="1"/>
  </r>
  <r>
    <n v="44893"/>
    <x v="632"/>
    <x v="10"/>
    <x v="1"/>
    <x v="8"/>
    <x v="1230"/>
    <n v="71.12"/>
    <n v="5"/>
    <n v="9.7799999999999994"/>
    <x v="10"/>
    <x v="1"/>
  </r>
  <r>
    <n v="44893"/>
    <x v="632"/>
    <x v="10"/>
    <x v="0"/>
    <x v="7"/>
    <x v="78"/>
    <n v="3.01"/>
    <n v="2"/>
    <n v="0.56000000000000005"/>
    <x v="10"/>
    <x v="1"/>
  </r>
  <r>
    <n v="44894"/>
    <x v="472"/>
    <x v="14"/>
    <x v="1"/>
    <x v="5"/>
    <x v="1417"/>
    <n v="301.95999999999998"/>
    <n v="2"/>
    <n v="87.57"/>
    <x v="10"/>
    <x v="1"/>
  </r>
  <r>
    <n v="44894"/>
    <x v="472"/>
    <x v="14"/>
    <x v="0"/>
    <x v="12"/>
    <x v="1302"/>
    <n v="555.21"/>
    <n v="5"/>
    <n v="178.9"/>
    <x v="10"/>
    <x v="1"/>
  </r>
  <r>
    <n v="44894"/>
    <x v="472"/>
    <x v="14"/>
    <x v="0"/>
    <x v="2"/>
    <x v="1575"/>
    <n v="523.48"/>
    <n v="4"/>
    <n v="130.87"/>
    <x v="10"/>
    <x v="1"/>
  </r>
  <r>
    <n v="44894"/>
    <x v="472"/>
    <x v="14"/>
    <x v="0"/>
    <x v="4"/>
    <x v="755"/>
    <n v="161.82"/>
    <n v="9"/>
    <n v="46.93"/>
    <x v="10"/>
    <x v="1"/>
  </r>
  <r>
    <n v="44894"/>
    <x v="478"/>
    <x v="14"/>
    <x v="0"/>
    <x v="0"/>
    <x v="371"/>
    <n v="19.920000000000002"/>
    <n v="4"/>
    <n v="9.36"/>
    <x v="10"/>
    <x v="1"/>
  </r>
  <r>
    <n v="44894"/>
    <x v="478"/>
    <x v="14"/>
    <x v="1"/>
    <x v="5"/>
    <x v="561"/>
    <n v="1106.9100000000001"/>
    <n v="9"/>
    <n v="121.76"/>
    <x v="10"/>
    <x v="1"/>
  </r>
  <r>
    <n v="44894"/>
    <x v="630"/>
    <x v="0"/>
    <x v="2"/>
    <x v="9"/>
    <x v="907"/>
    <n v="21.48"/>
    <n v="3"/>
    <n v="-0.27"/>
    <x v="10"/>
    <x v="1"/>
  </r>
  <r>
    <n v="44894"/>
    <x v="630"/>
    <x v="0"/>
    <x v="0"/>
    <x v="3"/>
    <x v="1267"/>
    <n v="8.7799999999999994"/>
    <n v="4"/>
    <n v="-13.62"/>
    <x v="10"/>
    <x v="1"/>
  </r>
  <r>
    <n v="44894"/>
    <x v="1"/>
    <x v="3"/>
    <x v="0"/>
    <x v="3"/>
    <x v="374"/>
    <n v="4.3"/>
    <n v="1"/>
    <n v="1.56"/>
    <x v="10"/>
    <x v="1"/>
  </r>
  <r>
    <n v="44894"/>
    <x v="89"/>
    <x v="3"/>
    <x v="0"/>
    <x v="4"/>
    <x v="1024"/>
    <n v="56.3"/>
    <n v="2"/>
    <n v="15.76"/>
    <x v="10"/>
    <x v="1"/>
  </r>
  <r>
    <n v="44895"/>
    <x v="494"/>
    <x v="2"/>
    <x v="0"/>
    <x v="3"/>
    <x v="313"/>
    <n v="152.99"/>
    <n v="3"/>
    <n v="-122.39"/>
    <x v="10"/>
    <x v="1"/>
  </r>
  <r>
    <n v="44895"/>
    <x v="494"/>
    <x v="2"/>
    <x v="0"/>
    <x v="7"/>
    <x v="828"/>
    <n v="10.58"/>
    <n v="7"/>
    <n v="-2.38"/>
    <x v="10"/>
    <x v="1"/>
  </r>
  <r>
    <n v="44895"/>
    <x v="494"/>
    <x v="2"/>
    <x v="2"/>
    <x v="6"/>
    <x v="1576"/>
    <n v="94.92"/>
    <n v="4"/>
    <n v="15.82"/>
    <x v="10"/>
    <x v="1"/>
  </r>
  <r>
    <n v="44895"/>
    <x v="35"/>
    <x v="0"/>
    <x v="0"/>
    <x v="3"/>
    <x v="871"/>
    <n v="3.88"/>
    <n v="3"/>
    <n v="-5.82"/>
    <x v="10"/>
    <x v="1"/>
  </r>
  <r>
    <n v="44895"/>
    <x v="152"/>
    <x v="5"/>
    <x v="0"/>
    <x v="10"/>
    <x v="474"/>
    <n v="17.48"/>
    <n v="2"/>
    <n v="8.2200000000000006"/>
    <x v="10"/>
    <x v="1"/>
  </r>
  <r>
    <n v="44895"/>
    <x v="152"/>
    <x v="5"/>
    <x v="0"/>
    <x v="10"/>
    <x v="1577"/>
    <n v="71.88"/>
    <n v="2"/>
    <n v="32.35"/>
    <x v="10"/>
    <x v="1"/>
  </r>
  <r>
    <n v="44895"/>
    <x v="195"/>
    <x v="25"/>
    <x v="2"/>
    <x v="6"/>
    <x v="1578"/>
    <n v="177.48"/>
    <n v="3"/>
    <n v="19.97"/>
    <x v="10"/>
    <x v="1"/>
  </r>
  <r>
    <n v="44895"/>
    <x v="219"/>
    <x v="20"/>
    <x v="0"/>
    <x v="0"/>
    <x v="742"/>
    <n v="23.66"/>
    <n v="7"/>
    <n v="10.88"/>
    <x v="10"/>
    <x v="1"/>
  </r>
  <r>
    <n v="44895"/>
    <x v="219"/>
    <x v="20"/>
    <x v="1"/>
    <x v="11"/>
    <x v="506"/>
    <n v="681.41"/>
    <n v="12"/>
    <n v="42.59"/>
    <x v="10"/>
    <x v="1"/>
  </r>
  <r>
    <n v="44895"/>
    <x v="522"/>
    <x v="17"/>
    <x v="1"/>
    <x v="8"/>
    <x v="220"/>
    <n v="80.959999999999994"/>
    <n v="4"/>
    <n v="29.15"/>
    <x v="10"/>
    <x v="1"/>
  </r>
  <r>
    <n v="44895"/>
    <x v="522"/>
    <x v="17"/>
    <x v="0"/>
    <x v="0"/>
    <x v="1257"/>
    <n v="25.92"/>
    <n v="4"/>
    <n v="12.44"/>
    <x v="10"/>
    <x v="1"/>
  </r>
  <r>
    <n v="44895"/>
    <x v="518"/>
    <x v="25"/>
    <x v="1"/>
    <x v="8"/>
    <x v="863"/>
    <n v="17.09"/>
    <n v="2"/>
    <n v="1.07"/>
    <x v="10"/>
    <x v="1"/>
  </r>
  <r>
    <n v="44895"/>
    <x v="336"/>
    <x v="25"/>
    <x v="0"/>
    <x v="3"/>
    <x v="549"/>
    <n v="6.05"/>
    <n v="7"/>
    <n v="-4.2300000000000004"/>
    <x v="10"/>
    <x v="1"/>
  </r>
  <r>
    <n v="44895"/>
    <x v="336"/>
    <x v="25"/>
    <x v="0"/>
    <x v="12"/>
    <x v="103"/>
    <n v="98.35"/>
    <n v="3"/>
    <n v="9.84"/>
    <x v="10"/>
    <x v="1"/>
  </r>
  <r>
    <n v="44895"/>
    <x v="336"/>
    <x v="25"/>
    <x v="1"/>
    <x v="8"/>
    <x v="1579"/>
    <n v="335.74"/>
    <n v="2"/>
    <n v="25.18"/>
    <x v="10"/>
    <x v="1"/>
  </r>
  <r>
    <n v="44896"/>
    <x v="391"/>
    <x v="22"/>
    <x v="0"/>
    <x v="3"/>
    <x v="459"/>
    <n v="55.42"/>
    <n v="2"/>
    <n v="19.399999999999999"/>
    <x v="11"/>
    <x v="1"/>
  </r>
  <r>
    <n v="44896"/>
    <x v="685"/>
    <x v="0"/>
    <x v="1"/>
    <x v="8"/>
    <x v="1141"/>
    <n v="6.69"/>
    <n v="4"/>
    <n v="-4.01"/>
    <x v="11"/>
    <x v="1"/>
  </r>
  <r>
    <n v="44896"/>
    <x v="165"/>
    <x v="22"/>
    <x v="0"/>
    <x v="4"/>
    <x v="531"/>
    <n v="13.9"/>
    <n v="5"/>
    <n v="5.56"/>
    <x v="11"/>
    <x v="1"/>
  </r>
  <r>
    <n v="44896"/>
    <x v="435"/>
    <x v="6"/>
    <x v="0"/>
    <x v="2"/>
    <x v="847"/>
    <n v="61.68"/>
    <n v="4"/>
    <n v="16.649999999999999"/>
    <x v="11"/>
    <x v="1"/>
  </r>
  <r>
    <n v="44896"/>
    <x v="435"/>
    <x v="6"/>
    <x v="0"/>
    <x v="3"/>
    <x v="445"/>
    <n v="63.96"/>
    <n v="4"/>
    <n v="30.7"/>
    <x v="11"/>
    <x v="1"/>
  </r>
  <r>
    <n v="44896"/>
    <x v="581"/>
    <x v="22"/>
    <x v="1"/>
    <x v="5"/>
    <x v="610"/>
    <n v="2003.92"/>
    <n v="5"/>
    <n v="125.25"/>
    <x v="11"/>
    <x v="1"/>
  </r>
  <r>
    <n v="44896"/>
    <x v="581"/>
    <x v="22"/>
    <x v="0"/>
    <x v="0"/>
    <x v="1364"/>
    <n v="32.4"/>
    <n v="5"/>
    <n v="15.55"/>
    <x v="11"/>
    <x v="1"/>
  </r>
  <r>
    <n v="44896"/>
    <x v="581"/>
    <x v="22"/>
    <x v="1"/>
    <x v="13"/>
    <x v="328"/>
    <n v="1913.4"/>
    <n v="9"/>
    <n v="401.81"/>
    <x v="11"/>
    <x v="1"/>
  </r>
  <r>
    <n v="44896"/>
    <x v="581"/>
    <x v="22"/>
    <x v="0"/>
    <x v="2"/>
    <x v="1204"/>
    <n v="146.72999999999999"/>
    <n v="3"/>
    <n v="2.93"/>
    <x v="11"/>
    <x v="1"/>
  </r>
  <r>
    <n v="44896"/>
    <x v="581"/>
    <x v="22"/>
    <x v="0"/>
    <x v="0"/>
    <x v="1137"/>
    <n v="114.2"/>
    <n v="5"/>
    <n v="52.53"/>
    <x v="11"/>
    <x v="1"/>
  </r>
  <r>
    <n v="44896"/>
    <x v="607"/>
    <x v="3"/>
    <x v="1"/>
    <x v="5"/>
    <x v="341"/>
    <n v="2676.67"/>
    <n v="9"/>
    <n v="267.67"/>
    <x v="11"/>
    <x v="1"/>
  </r>
  <r>
    <n v="44896"/>
    <x v="338"/>
    <x v="14"/>
    <x v="0"/>
    <x v="0"/>
    <x v="1580"/>
    <n v="19.440000000000001"/>
    <n v="3"/>
    <n v="9.33"/>
    <x v="11"/>
    <x v="1"/>
  </r>
  <r>
    <n v="44896"/>
    <x v="338"/>
    <x v="14"/>
    <x v="0"/>
    <x v="4"/>
    <x v="1581"/>
    <n v="3.64"/>
    <n v="2"/>
    <n v="1.02"/>
    <x v="11"/>
    <x v="1"/>
  </r>
  <r>
    <n v="44896"/>
    <x v="338"/>
    <x v="14"/>
    <x v="0"/>
    <x v="0"/>
    <x v="1032"/>
    <n v="18.54"/>
    <n v="2"/>
    <n v="8.7100000000000009"/>
    <x v="11"/>
    <x v="1"/>
  </r>
  <r>
    <n v="44898"/>
    <x v="78"/>
    <x v="2"/>
    <x v="2"/>
    <x v="15"/>
    <x v="1582"/>
    <n v="482.34"/>
    <n v="4"/>
    <n v="-337.64"/>
    <x v="11"/>
    <x v="1"/>
  </r>
  <r>
    <n v="44898"/>
    <x v="78"/>
    <x v="2"/>
    <x v="1"/>
    <x v="8"/>
    <x v="457"/>
    <n v="2.96"/>
    <n v="1"/>
    <n v="0.78"/>
    <x v="11"/>
    <x v="1"/>
  </r>
  <r>
    <n v="44898"/>
    <x v="114"/>
    <x v="20"/>
    <x v="0"/>
    <x v="3"/>
    <x v="544"/>
    <n v="10.75"/>
    <n v="4"/>
    <n v="3.36"/>
    <x v="11"/>
    <x v="1"/>
  </r>
  <r>
    <n v="44898"/>
    <x v="314"/>
    <x v="2"/>
    <x v="0"/>
    <x v="0"/>
    <x v="0"/>
    <n v="16.45"/>
    <n v="2"/>
    <n v="5.55"/>
    <x v="11"/>
    <x v="1"/>
  </r>
  <r>
    <n v="44898"/>
    <x v="314"/>
    <x v="2"/>
    <x v="2"/>
    <x v="9"/>
    <x v="1273"/>
    <n v="36.78"/>
    <n v="2"/>
    <n v="10.58"/>
    <x v="11"/>
    <x v="1"/>
  </r>
  <r>
    <n v="44898"/>
    <x v="544"/>
    <x v="20"/>
    <x v="0"/>
    <x v="3"/>
    <x v="1583"/>
    <n v="590.35"/>
    <n v="6"/>
    <n v="206.62"/>
    <x v="11"/>
    <x v="1"/>
  </r>
  <r>
    <n v="44898"/>
    <x v="517"/>
    <x v="3"/>
    <x v="1"/>
    <x v="11"/>
    <x v="1425"/>
    <n v="359.5"/>
    <n v="3"/>
    <n v="-29.61"/>
    <x v="11"/>
    <x v="1"/>
  </r>
  <r>
    <n v="44898"/>
    <x v="419"/>
    <x v="25"/>
    <x v="1"/>
    <x v="8"/>
    <x v="831"/>
    <n v="77.95"/>
    <n v="3"/>
    <n v="12.67"/>
    <x v="11"/>
    <x v="1"/>
  </r>
  <r>
    <n v="44898"/>
    <x v="419"/>
    <x v="25"/>
    <x v="0"/>
    <x v="3"/>
    <x v="713"/>
    <n v="95.97"/>
    <n v="5"/>
    <n v="-73.58"/>
    <x v="11"/>
    <x v="1"/>
  </r>
  <r>
    <n v="44898"/>
    <x v="419"/>
    <x v="25"/>
    <x v="2"/>
    <x v="6"/>
    <x v="1519"/>
    <n v="105.58"/>
    <n v="2"/>
    <n v="9.24"/>
    <x v="11"/>
    <x v="1"/>
  </r>
  <r>
    <n v="44898"/>
    <x v="419"/>
    <x v="25"/>
    <x v="0"/>
    <x v="4"/>
    <x v="16"/>
    <n v="9.34"/>
    <n v="2"/>
    <n v="1.17"/>
    <x v="11"/>
    <x v="1"/>
  </r>
  <r>
    <n v="44898"/>
    <x v="187"/>
    <x v="38"/>
    <x v="0"/>
    <x v="0"/>
    <x v="1584"/>
    <n v="184.66"/>
    <n v="7"/>
    <n v="84.94"/>
    <x v="11"/>
    <x v="1"/>
  </r>
  <r>
    <n v="44899"/>
    <x v="718"/>
    <x v="16"/>
    <x v="0"/>
    <x v="3"/>
    <x v="529"/>
    <n v="8.23"/>
    <n v="3"/>
    <n v="-6.03"/>
    <x v="11"/>
    <x v="1"/>
  </r>
  <r>
    <n v="44899"/>
    <x v="703"/>
    <x v="20"/>
    <x v="1"/>
    <x v="8"/>
    <x v="1336"/>
    <n v="28.44"/>
    <n v="3"/>
    <n v="11.38"/>
    <x v="11"/>
    <x v="1"/>
  </r>
  <r>
    <n v="44899"/>
    <x v="703"/>
    <x v="20"/>
    <x v="1"/>
    <x v="5"/>
    <x v="591"/>
    <n v="364.41"/>
    <n v="5"/>
    <n v="8.1"/>
    <x v="11"/>
    <x v="1"/>
  </r>
  <r>
    <n v="44899"/>
    <x v="703"/>
    <x v="20"/>
    <x v="2"/>
    <x v="6"/>
    <x v="356"/>
    <n v="39.96"/>
    <n v="4"/>
    <n v="10.39"/>
    <x v="11"/>
    <x v="1"/>
  </r>
  <r>
    <n v="44899"/>
    <x v="703"/>
    <x v="20"/>
    <x v="1"/>
    <x v="5"/>
    <x v="249"/>
    <n v="361.76"/>
    <n v="2"/>
    <n v="68.33"/>
    <x v="11"/>
    <x v="1"/>
  </r>
  <r>
    <n v="44899"/>
    <x v="389"/>
    <x v="20"/>
    <x v="0"/>
    <x v="10"/>
    <x v="1355"/>
    <n v="17.940000000000001"/>
    <n v="3"/>
    <n v="8.7899999999999991"/>
    <x v="11"/>
    <x v="1"/>
  </r>
  <r>
    <n v="44899"/>
    <x v="389"/>
    <x v="20"/>
    <x v="1"/>
    <x v="5"/>
    <x v="1331"/>
    <n v="384.17"/>
    <n v="7"/>
    <n v="29.88"/>
    <x v="11"/>
    <x v="1"/>
  </r>
  <r>
    <n v="44899"/>
    <x v="389"/>
    <x v="20"/>
    <x v="2"/>
    <x v="6"/>
    <x v="548"/>
    <n v="1799.75"/>
    <n v="5"/>
    <n v="539.92999999999995"/>
    <x v="11"/>
    <x v="1"/>
  </r>
  <r>
    <n v="44899"/>
    <x v="279"/>
    <x v="24"/>
    <x v="0"/>
    <x v="0"/>
    <x v="572"/>
    <n v="85.96"/>
    <n v="7"/>
    <n v="40.4"/>
    <x v="11"/>
    <x v="1"/>
  </r>
  <r>
    <n v="44899"/>
    <x v="644"/>
    <x v="15"/>
    <x v="0"/>
    <x v="3"/>
    <x v="1391"/>
    <n v="1598.06"/>
    <n v="7"/>
    <n v="-1065.3699999999999"/>
    <x v="11"/>
    <x v="1"/>
  </r>
  <r>
    <n v="44899"/>
    <x v="644"/>
    <x v="15"/>
    <x v="0"/>
    <x v="4"/>
    <x v="489"/>
    <n v="36.96"/>
    <n v="4"/>
    <n v="12.01"/>
    <x v="11"/>
    <x v="1"/>
  </r>
  <r>
    <n v="44899"/>
    <x v="312"/>
    <x v="3"/>
    <x v="0"/>
    <x v="10"/>
    <x v="1329"/>
    <n v="271.44"/>
    <n v="3"/>
    <n v="122.15"/>
    <x v="11"/>
    <x v="1"/>
  </r>
  <r>
    <n v="44899"/>
    <x v="312"/>
    <x v="3"/>
    <x v="2"/>
    <x v="6"/>
    <x v="1585"/>
    <n v="110.35"/>
    <n v="3"/>
    <n v="8.2799999999999994"/>
    <x v="11"/>
    <x v="1"/>
  </r>
  <r>
    <n v="44899"/>
    <x v="312"/>
    <x v="3"/>
    <x v="1"/>
    <x v="8"/>
    <x v="91"/>
    <n v="36.4"/>
    <n v="5"/>
    <n v="13.83"/>
    <x v="11"/>
    <x v="1"/>
  </r>
  <r>
    <n v="44899"/>
    <x v="501"/>
    <x v="3"/>
    <x v="0"/>
    <x v="4"/>
    <x v="159"/>
    <n v="16.899999999999999"/>
    <n v="5"/>
    <n v="6.25"/>
    <x v="11"/>
    <x v="1"/>
  </r>
  <r>
    <n v="44899"/>
    <x v="501"/>
    <x v="3"/>
    <x v="1"/>
    <x v="8"/>
    <x v="1141"/>
    <n v="25.08"/>
    <n v="6"/>
    <n v="9.0299999999999994"/>
    <x v="11"/>
    <x v="1"/>
  </r>
  <r>
    <n v="44900"/>
    <x v="719"/>
    <x v="3"/>
    <x v="1"/>
    <x v="8"/>
    <x v="1150"/>
    <n v="44.46"/>
    <n v="2"/>
    <n v="14.67"/>
    <x v="11"/>
    <x v="1"/>
  </r>
  <r>
    <n v="44900"/>
    <x v="308"/>
    <x v="2"/>
    <x v="2"/>
    <x v="9"/>
    <x v="991"/>
    <n v="47.98"/>
    <n v="2"/>
    <n v="0.6"/>
    <x v="11"/>
    <x v="1"/>
  </r>
  <r>
    <n v="44900"/>
    <x v="308"/>
    <x v="2"/>
    <x v="0"/>
    <x v="3"/>
    <x v="1057"/>
    <n v="26.06"/>
    <n v="6"/>
    <n v="-19.98"/>
    <x v="11"/>
    <x v="1"/>
  </r>
  <r>
    <n v="44900"/>
    <x v="720"/>
    <x v="14"/>
    <x v="0"/>
    <x v="3"/>
    <x v="79"/>
    <n v="152.80000000000001"/>
    <n v="5"/>
    <n v="76.400000000000006"/>
    <x v="11"/>
    <x v="1"/>
  </r>
  <r>
    <n v="44900"/>
    <x v="394"/>
    <x v="0"/>
    <x v="0"/>
    <x v="4"/>
    <x v="1024"/>
    <n v="45.04"/>
    <n v="2"/>
    <n v="4.5"/>
    <x v="11"/>
    <x v="1"/>
  </r>
  <r>
    <n v="44900"/>
    <x v="449"/>
    <x v="20"/>
    <x v="0"/>
    <x v="3"/>
    <x v="396"/>
    <n v="232.4"/>
    <n v="5"/>
    <n v="78.44"/>
    <x v="11"/>
    <x v="1"/>
  </r>
  <r>
    <n v="44900"/>
    <x v="449"/>
    <x v="20"/>
    <x v="1"/>
    <x v="5"/>
    <x v="1331"/>
    <n v="164.65"/>
    <n v="3"/>
    <n v="12.81"/>
    <x v="11"/>
    <x v="1"/>
  </r>
  <r>
    <n v="44900"/>
    <x v="449"/>
    <x v="20"/>
    <x v="0"/>
    <x v="0"/>
    <x v="1383"/>
    <n v="22.68"/>
    <n v="2"/>
    <n v="11.11"/>
    <x v="11"/>
    <x v="1"/>
  </r>
  <r>
    <n v="44900"/>
    <x v="169"/>
    <x v="3"/>
    <x v="2"/>
    <x v="9"/>
    <x v="17"/>
    <n v="39"/>
    <n v="3"/>
    <n v="17.55"/>
    <x v="11"/>
    <x v="1"/>
  </r>
  <r>
    <n v="44900"/>
    <x v="169"/>
    <x v="3"/>
    <x v="0"/>
    <x v="1"/>
    <x v="348"/>
    <n v="12.6"/>
    <n v="4"/>
    <n v="6.05"/>
    <x v="11"/>
    <x v="1"/>
  </r>
  <r>
    <n v="44900"/>
    <x v="390"/>
    <x v="15"/>
    <x v="1"/>
    <x v="5"/>
    <x v="142"/>
    <n v="97.42"/>
    <n v="2"/>
    <n v="10.96"/>
    <x v="11"/>
    <x v="1"/>
  </r>
  <r>
    <n v="44900"/>
    <x v="560"/>
    <x v="1"/>
    <x v="0"/>
    <x v="10"/>
    <x v="464"/>
    <n v="12.22"/>
    <n v="2"/>
    <n v="4.43"/>
    <x v="11"/>
    <x v="1"/>
  </r>
  <r>
    <n v="44901"/>
    <x v="201"/>
    <x v="3"/>
    <x v="0"/>
    <x v="4"/>
    <x v="273"/>
    <n v="120.15"/>
    <n v="9"/>
    <n v="33.64"/>
    <x v="11"/>
    <x v="1"/>
  </r>
  <r>
    <n v="44901"/>
    <x v="201"/>
    <x v="3"/>
    <x v="2"/>
    <x v="6"/>
    <x v="308"/>
    <n v="219.18"/>
    <n v="2"/>
    <n v="19.18"/>
    <x v="11"/>
    <x v="1"/>
  </r>
  <r>
    <n v="44901"/>
    <x v="682"/>
    <x v="0"/>
    <x v="0"/>
    <x v="3"/>
    <x v="1508"/>
    <n v="2.77"/>
    <n v="7"/>
    <n v="-4.8499999999999996"/>
    <x v="11"/>
    <x v="1"/>
  </r>
  <r>
    <n v="44901"/>
    <x v="258"/>
    <x v="12"/>
    <x v="1"/>
    <x v="8"/>
    <x v="985"/>
    <n v="206.11"/>
    <n v="6"/>
    <n v="48.95"/>
    <x v="11"/>
    <x v="1"/>
  </r>
  <r>
    <n v="44901"/>
    <x v="258"/>
    <x v="12"/>
    <x v="0"/>
    <x v="0"/>
    <x v="1097"/>
    <n v="19.920000000000002"/>
    <n v="5"/>
    <n v="6.72"/>
    <x v="11"/>
    <x v="1"/>
  </r>
  <r>
    <n v="44901"/>
    <x v="258"/>
    <x v="12"/>
    <x v="0"/>
    <x v="0"/>
    <x v="842"/>
    <n v="198.27"/>
    <n v="8"/>
    <n v="61.96"/>
    <x v="11"/>
    <x v="1"/>
  </r>
  <r>
    <n v="44901"/>
    <x v="258"/>
    <x v="12"/>
    <x v="0"/>
    <x v="2"/>
    <x v="627"/>
    <n v="247.1"/>
    <n v="6"/>
    <n v="-58.69"/>
    <x v="11"/>
    <x v="1"/>
  </r>
  <r>
    <n v="44901"/>
    <x v="258"/>
    <x v="12"/>
    <x v="0"/>
    <x v="4"/>
    <x v="755"/>
    <n v="86.3"/>
    <n v="6"/>
    <n v="9.7100000000000009"/>
    <x v="11"/>
    <x v="1"/>
  </r>
  <r>
    <n v="44901"/>
    <x v="380"/>
    <x v="10"/>
    <x v="2"/>
    <x v="6"/>
    <x v="523"/>
    <n v="485.94"/>
    <n v="2"/>
    <n v="-89.09"/>
    <x v="11"/>
    <x v="1"/>
  </r>
  <r>
    <n v="44901"/>
    <x v="380"/>
    <x v="10"/>
    <x v="0"/>
    <x v="4"/>
    <x v="16"/>
    <n v="37.380000000000003"/>
    <n v="8"/>
    <n v="4.67"/>
    <x v="11"/>
    <x v="1"/>
  </r>
  <r>
    <n v="44901"/>
    <x v="380"/>
    <x v="10"/>
    <x v="1"/>
    <x v="5"/>
    <x v="1166"/>
    <n v="70.69"/>
    <n v="1"/>
    <n v="-24.24"/>
    <x v="11"/>
    <x v="1"/>
  </r>
  <r>
    <n v="44901"/>
    <x v="307"/>
    <x v="3"/>
    <x v="0"/>
    <x v="0"/>
    <x v="521"/>
    <n v="32.75"/>
    <n v="5"/>
    <n v="15.07"/>
    <x v="11"/>
    <x v="1"/>
  </r>
  <r>
    <n v="44901"/>
    <x v="25"/>
    <x v="20"/>
    <x v="0"/>
    <x v="0"/>
    <x v="1364"/>
    <n v="6.48"/>
    <n v="1"/>
    <n v="3.11"/>
    <x v="11"/>
    <x v="1"/>
  </r>
  <r>
    <n v="44901"/>
    <x v="25"/>
    <x v="20"/>
    <x v="0"/>
    <x v="0"/>
    <x v="938"/>
    <n v="41.86"/>
    <n v="7"/>
    <n v="20.51"/>
    <x v="11"/>
    <x v="1"/>
  </r>
  <r>
    <n v="44901"/>
    <x v="25"/>
    <x v="20"/>
    <x v="2"/>
    <x v="9"/>
    <x v="1542"/>
    <n v="1619.91"/>
    <n v="9"/>
    <n v="97.19"/>
    <x v="11"/>
    <x v="1"/>
  </r>
  <r>
    <n v="44901"/>
    <x v="25"/>
    <x v="20"/>
    <x v="1"/>
    <x v="8"/>
    <x v="467"/>
    <n v="113.92"/>
    <n v="4"/>
    <n v="42.15"/>
    <x v="11"/>
    <x v="1"/>
  </r>
  <r>
    <n v="44901"/>
    <x v="70"/>
    <x v="18"/>
    <x v="2"/>
    <x v="16"/>
    <x v="937"/>
    <n v="999.98"/>
    <n v="2"/>
    <n v="449.99"/>
    <x v="11"/>
    <x v="1"/>
  </r>
  <r>
    <n v="44901"/>
    <x v="325"/>
    <x v="17"/>
    <x v="0"/>
    <x v="0"/>
    <x v="1586"/>
    <n v="6.48"/>
    <n v="1"/>
    <n v="3.11"/>
    <x v="11"/>
    <x v="1"/>
  </r>
  <r>
    <n v="44901"/>
    <x v="325"/>
    <x v="17"/>
    <x v="0"/>
    <x v="2"/>
    <x v="27"/>
    <n v="1325.85"/>
    <n v="5"/>
    <n v="238.65"/>
    <x v="11"/>
    <x v="1"/>
  </r>
  <r>
    <n v="44901"/>
    <x v="325"/>
    <x v="17"/>
    <x v="0"/>
    <x v="1"/>
    <x v="95"/>
    <n v="14.94"/>
    <n v="3"/>
    <n v="6.87"/>
    <x v="11"/>
    <x v="1"/>
  </r>
  <r>
    <n v="44901"/>
    <x v="721"/>
    <x v="3"/>
    <x v="0"/>
    <x v="12"/>
    <x v="468"/>
    <n v="7.78"/>
    <n v="2"/>
    <n v="2.02"/>
    <x v="11"/>
    <x v="1"/>
  </r>
  <r>
    <n v="44901"/>
    <x v="644"/>
    <x v="6"/>
    <x v="2"/>
    <x v="6"/>
    <x v="87"/>
    <n v="173.94"/>
    <n v="6"/>
    <n v="50.44"/>
    <x v="11"/>
    <x v="1"/>
  </r>
  <r>
    <n v="44901"/>
    <x v="109"/>
    <x v="10"/>
    <x v="0"/>
    <x v="3"/>
    <x v="275"/>
    <n v="14.83"/>
    <n v="3"/>
    <n v="-10.38"/>
    <x v="11"/>
    <x v="1"/>
  </r>
  <r>
    <n v="44901"/>
    <x v="639"/>
    <x v="3"/>
    <x v="0"/>
    <x v="0"/>
    <x v="948"/>
    <n v="8.9600000000000009"/>
    <n v="2"/>
    <n v="4.3899999999999997"/>
    <x v="11"/>
    <x v="1"/>
  </r>
  <r>
    <n v="44902"/>
    <x v="536"/>
    <x v="5"/>
    <x v="0"/>
    <x v="12"/>
    <x v="661"/>
    <n v="152.94"/>
    <n v="3"/>
    <n v="41.29"/>
    <x v="11"/>
    <x v="1"/>
  </r>
  <r>
    <n v="44902"/>
    <x v="536"/>
    <x v="5"/>
    <x v="1"/>
    <x v="5"/>
    <x v="478"/>
    <n v="283.92"/>
    <n v="4"/>
    <n v="70.98"/>
    <x v="11"/>
    <x v="1"/>
  </r>
  <r>
    <n v="44902"/>
    <x v="467"/>
    <x v="22"/>
    <x v="0"/>
    <x v="7"/>
    <x v="60"/>
    <n v="3.96"/>
    <n v="2"/>
    <n v="0"/>
    <x v="11"/>
    <x v="1"/>
  </r>
  <r>
    <n v="44902"/>
    <x v="467"/>
    <x v="22"/>
    <x v="0"/>
    <x v="1"/>
    <x v="1116"/>
    <n v="2.61"/>
    <n v="1"/>
    <n v="1.2"/>
    <x v="11"/>
    <x v="1"/>
  </r>
  <r>
    <n v="44902"/>
    <x v="7"/>
    <x v="3"/>
    <x v="1"/>
    <x v="8"/>
    <x v="1113"/>
    <n v="79.92"/>
    <n v="4"/>
    <n v="28.77"/>
    <x v="11"/>
    <x v="1"/>
  </r>
  <r>
    <n v="44902"/>
    <x v="545"/>
    <x v="20"/>
    <x v="0"/>
    <x v="3"/>
    <x v="105"/>
    <n v="21.36"/>
    <n v="5"/>
    <n v="7.21"/>
    <x v="11"/>
    <x v="1"/>
  </r>
  <r>
    <n v="44902"/>
    <x v="545"/>
    <x v="20"/>
    <x v="0"/>
    <x v="3"/>
    <x v="950"/>
    <n v="6.69"/>
    <n v="2"/>
    <n v="2.34"/>
    <x v="11"/>
    <x v="1"/>
  </r>
  <r>
    <n v="44902"/>
    <x v="545"/>
    <x v="20"/>
    <x v="2"/>
    <x v="6"/>
    <x v="967"/>
    <n v="773.94"/>
    <n v="6"/>
    <n v="224.44"/>
    <x v="11"/>
    <x v="1"/>
  </r>
  <r>
    <n v="44902"/>
    <x v="94"/>
    <x v="3"/>
    <x v="0"/>
    <x v="0"/>
    <x v="1587"/>
    <n v="12.96"/>
    <n v="2"/>
    <n v="6.22"/>
    <x v="11"/>
    <x v="1"/>
  </r>
  <r>
    <n v="44903"/>
    <x v="722"/>
    <x v="0"/>
    <x v="0"/>
    <x v="0"/>
    <x v="290"/>
    <n v="360.71"/>
    <n v="11"/>
    <n v="130.76"/>
    <x v="11"/>
    <x v="1"/>
  </r>
  <r>
    <n v="44903"/>
    <x v="722"/>
    <x v="0"/>
    <x v="2"/>
    <x v="6"/>
    <x v="387"/>
    <n v="1718.4"/>
    <n v="6"/>
    <n v="150.36000000000001"/>
    <x v="11"/>
    <x v="1"/>
  </r>
  <r>
    <n v="44903"/>
    <x v="701"/>
    <x v="0"/>
    <x v="2"/>
    <x v="6"/>
    <x v="1064"/>
    <n v="119.96"/>
    <n v="5"/>
    <n v="12"/>
    <x v="11"/>
    <x v="1"/>
  </r>
  <r>
    <n v="44903"/>
    <x v="598"/>
    <x v="3"/>
    <x v="0"/>
    <x v="2"/>
    <x v="1020"/>
    <n v="221.96"/>
    <n v="2"/>
    <n v="4.4400000000000004"/>
    <x v="11"/>
    <x v="1"/>
  </r>
  <r>
    <n v="44903"/>
    <x v="598"/>
    <x v="3"/>
    <x v="2"/>
    <x v="9"/>
    <x v="818"/>
    <n v="236"/>
    <n v="4"/>
    <n v="40.119999999999997"/>
    <x v="11"/>
    <x v="1"/>
  </r>
  <r>
    <n v="44903"/>
    <x v="418"/>
    <x v="26"/>
    <x v="0"/>
    <x v="0"/>
    <x v="894"/>
    <n v="15.7"/>
    <n v="3"/>
    <n v="5.0999999999999996"/>
    <x v="11"/>
    <x v="1"/>
  </r>
  <r>
    <n v="44904"/>
    <x v="590"/>
    <x v="18"/>
    <x v="0"/>
    <x v="0"/>
    <x v="1383"/>
    <n v="34.020000000000003"/>
    <n v="3"/>
    <n v="16.670000000000002"/>
    <x v="11"/>
    <x v="1"/>
  </r>
  <r>
    <n v="44905"/>
    <x v="435"/>
    <x v="14"/>
    <x v="0"/>
    <x v="4"/>
    <x v="1016"/>
    <n v="3.9"/>
    <n v="2"/>
    <n v="1.52"/>
    <x v="11"/>
    <x v="1"/>
  </r>
  <r>
    <n v="44905"/>
    <x v="435"/>
    <x v="14"/>
    <x v="1"/>
    <x v="13"/>
    <x v="748"/>
    <n v="801.96"/>
    <n v="2"/>
    <n v="200.49"/>
    <x v="11"/>
    <x v="1"/>
  </r>
  <r>
    <n v="44905"/>
    <x v="435"/>
    <x v="14"/>
    <x v="1"/>
    <x v="5"/>
    <x v="796"/>
    <n v="191.96"/>
    <n v="2"/>
    <n v="32.630000000000003"/>
    <x v="11"/>
    <x v="1"/>
  </r>
  <r>
    <n v="44905"/>
    <x v="435"/>
    <x v="14"/>
    <x v="0"/>
    <x v="1"/>
    <x v="1046"/>
    <n v="2.61"/>
    <n v="1"/>
    <n v="1.2"/>
    <x v="11"/>
    <x v="1"/>
  </r>
  <r>
    <n v="44905"/>
    <x v="580"/>
    <x v="4"/>
    <x v="0"/>
    <x v="4"/>
    <x v="108"/>
    <n v="1.78"/>
    <n v="1"/>
    <n v="0.5"/>
    <x v="11"/>
    <x v="1"/>
  </r>
  <r>
    <n v="44905"/>
    <x v="580"/>
    <x v="4"/>
    <x v="0"/>
    <x v="0"/>
    <x v="1588"/>
    <n v="25.92"/>
    <n v="4"/>
    <n v="12.44"/>
    <x v="11"/>
    <x v="1"/>
  </r>
  <r>
    <n v="44905"/>
    <x v="580"/>
    <x v="4"/>
    <x v="2"/>
    <x v="9"/>
    <x v="963"/>
    <n v="101.94"/>
    <n v="6"/>
    <n v="21.41"/>
    <x v="11"/>
    <x v="1"/>
  </r>
  <r>
    <n v="44905"/>
    <x v="338"/>
    <x v="20"/>
    <x v="0"/>
    <x v="1"/>
    <x v="1323"/>
    <n v="7.31"/>
    <n v="1"/>
    <n v="3.44"/>
    <x v="11"/>
    <x v="1"/>
  </r>
  <r>
    <n v="44905"/>
    <x v="338"/>
    <x v="20"/>
    <x v="2"/>
    <x v="16"/>
    <x v="937"/>
    <n v="799.98"/>
    <n v="2"/>
    <n v="250"/>
    <x v="11"/>
    <x v="1"/>
  </r>
  <r>
    <n v="44905"/>
    <x v="338"/>
    <x v="20"/>
    <x v="0"/>
    <x v="0"/>
    <x v="1589"/>
    <n v="41.28"/>
    <n v="6"/>
    <n v="18.989999999999998"/>
    <x v="11"/>
    <x v="1"/>
  </r>
  <r>
    <n v="44905"/>
    <x v="338"/>
    <x v="20"/>
    <x v="0"/>
    <x v="0"/>
    <x v="1272"/>
    <n v="184.66"/>
    <n v="7"/>
    <n v="84.94"/>
    <x v="11"/>
    <x v="1"/>
  </r>
  <r>
    <n v="44905"/>
    <x v="666"/>
    <x v="36"/>
    <x v="0"/>
    <x v="4"/>
    <x v="1472"/>
    <n v="27.36"/>
    <n v="9"/>
    <n v="9.3000000000000007"/>
    <x v="11"/>
    <x v="1"/>
  </r>
  <r>
    <n v="44905"/>
    <x v="666"/>
    <x v="36"/>
    <x v="0"/>
    <x v="0"/>
    <x v="1010"/>
    <n v="44.75"/>
    <n v="5"/>
    <n v="20.59"/>
    <x v="11"/>
    <x v="1"/>
  </r>
  <r>
    <n v="44905"/>
    <x v="666"/>
    <x v="36"/>
    <x v="2"/>
    <x v="6"/>
    <x v="197"/>
    <n v="134.99"/>
    <n v="1"/>
    <n v="36.450000000000003"/>
    <x v="11"/>
    <x v="1"/>
  </r>
  <r>
    <n v="44905"/>
    <x v="666"/>
    <x v="36"/>
    <x v="0"/>
    <x v="0"/>
    <x v="1133"/>
    <n v="26.4"/>
    <n v="5"/>
    <n v="12.67"/>
    <x v="11"/>
    <x v="1"/>
  </r>
  <r>
    <n v="44905"/>
    <x v="666"/>
    <x v="36"/>
    <x v="1"/>
    <x v="5"/>
    <x v="1434"/>
    <n v="542.94000000000005"/>
    <n v="3"/>
    <n v="141.16"/>
    <x v="11"/>
    <x v="1"/>
  </r>
  <r>
    <n v="44905"/>
    <x v="658"/>
    <x v="3"/>
    <x v="0"/>
    <x v="4"/>
    <x v="1024"/>
    <n v="56.3"/>
    <n v="2"/>
    <n v="15.76"/>
    <x v="11"/>
    <x v="1"/>
  </r>
  <r>
    <n v="44905"/>
    <x v="621"/>
    <x v="1"/>
    <x v="0"/>
    <x v="12"/>
    <x v="1311"/>
    <n v="53.09"/>
    <n v="7"/>
    <n v="-108.83"/>
    <x v="11"/>
    <x v="1"/>
  </r>
  <r>
    <n v="44905"/>
    <x v="711"/>
    <x v="3"/>
    <x v="0"/>
    <x v="1"/>
    <x v="349"/>
    <n v="5.76"/>
    <n v="2"/>
    <n v="2.82"/>
    <x v="11"/>
    <x v="1"/>
  </r>
  <r>
    <n v="44905"/>
    <x v="371"/>
    <x v="10"/>
    <x v="2"/>
    <x v="9"/>
    <x v="357"/>
    <n v="25.49"/>
    <n v="2"/>
    <n v="4.46"/>
    <x v="11"/>
    <x v="1"/>
  </r>
  <r>
    <n v="44906"/>
    <x v="661"/>
    <x v="6"/>
    <x v="0"/>
    <x v="1"/>
    <x v="493"/>
    <n v="196.62"/>
    <n v="2"/>
    <n v="96.34"/>
    <x v="11"/>
    <x v="1"/>
  </r>
  <r>
    <n v="44906"/>
    <x v="723"/>
    <x v="0"/>
    <x v="2"/>
    <x v="9"/>
    <x v="439"/>
    <n v="159.97999999999999"/>
    <n v="2"/>
    <n v="36"/>
    <x v="11"/>
    <x v="1"/>
  </r>
  <r>
    <n v="44906"/>
    <x v="723"/>
    <x v="0"/>
    <x v="0"/>
    <x v="2"/>
    <x v="836"/>
    <n v="46.34"/>
    <n v="3"/>
    <n v="4.63"/>
    <x v="11"/>
    <x v="1"/>
  </r>
  <r>
    <n v="44906"/>
    <x v="258"/>
    <x v="16"/>
    <x v="0"/>
    <x v="3"/>
    <x v="583"/>
    <n v="12.83"/>
    <n v="2"/>
    <n v="-8.98"/>
    <x v="11"/>
    <x v="1"/>
  </r>
  <r>
    <n v="44906"/>
    <x v="576"/>
    <x v="26"/>
    <x v="0"/>
    <x v="4"/>
    <x v="839"/>
    <n v="13.12"/>
    <n v="5"/>
    <n v="1.1499999999999999"/>
    <x v="11"/>
    <x v="1"/>
  </r>
  <r>
    <n v="44906"/>
    <x v="576"/>
    <x v="26"/>
    <x v="1"/>
    <x v="11"/>
    <x v="1590"/>
    <n v="69.58"/>
    <n v="4"/>
    <n v="-143.79"/>
    <x v="11"/>
    <x v="1"/>
  </r>
  <r>
    <n v="44906"/>
    <x v="576"/>
    <x v="26"/>
    <x v="0"/>
    <x v="4"/>
    <x v="1591"/>
    <n v="4.22"/>
    <n v="3"/>
    <n v="0.48"/>
    <x v="11"/>
    <x v="1"/>
  </r>
  <r>
    <n v="44906"/>
    <x v="576"/>
    <x v="26"/>
    <x v="2"/>
    <x v="9"/>
    <x v="1316"/>
    <n v="58.08"/>
    <n v="4"/>
    <n v="-6.53"/>
    <x v="11"/>
    <x v="1"/>
  </r>
  <r>
    <n v="44906"/>
    <x v="576"/>
    <x v="26"/>
    <x v="1"/>
    <x v="8"/>
    <x v="747"/>
    <n v="52.42"/>
    <n v="9"/>
    <n v="15.07"/>
    <x v="11"/>
    <x v="1"/>
  </r>
  <r>
    <n v="44906"/>
    <x v="576"/>
    <x v="26"/>
    <x v="1"/>
    <x v="8"/>
    <x v="211"/>
    <n v="54.92"/>
    <n v="5"/>
    <n v="10.98"/>
    <x v="11"/>
    <x v="1"/>
  </r>
  <r>
    <n v="44906"/>
    <x v="576"/>
    <x v="26"/>
    <x v="1"/>
    <x v="13"/>
    <x v="1053"/>
    <n v="364.95"/>
    <n v="5"/>
    <n v="-248.17"/>
    <x v="11"/>
    <x v="1"/>
  </r>
  <r>
    <n v="44906"/>
    <x v="576"/>
    <x v="26"/>
    <x v="0"/>
    <x v="0"/>
    <x v="1592"/>
    <n v="85.06"/>
    <n v="3"/>
    <n v="28.71"/>
    <x v="11"/>
    <x v="1"/>
  </r>
  <r>
    <n v="44906"/>
    <x v="576"/>
    <x v="26"/>
    <x v="0"/>
    <x v="0"/>
    <x v="1593"/>
    <n v="27.7"/>
    <n v="3"/>
    <n v="9.69"/>
    <x v="11"/>
    <x v="1"/>
  </r>
  <r>
    <n v="44906"/>
    <x v="164"/>
    <x v="10"/>
    <x v="0"/>
    <x v="3"/>
    <x v="1467"/>
    <n v="10.33"/>
    <n v="3"/>
    <n v="-7.58"/>
    <x v="11"/>
    <x v="1"/>
  </r>
  <r>
    <n v="44906"/>
    <x v="412"/>
    <x v="3"/>
    <x v="0"/>
    <x v="3"/>
    <x v="83"/>
    <n v="110.53"/>
    <n v="4"/>
    <n v="38.68"/>
    <x v="11"/>
    <x v="1"/>
  </r>
  <r>
    <n v="44906"/>
    <x v="273"/>
    <x v="14"/>
    <x v="2"/>
    <x v="9"/>
    <x v="1594"/>
    <n v="175.23"/>
    <n v="11"/>
    <n v="61.33"/>
    <x v="11"/>
    <x v="1"/>
  </r>
  <r>
    <n v="44906"/>
    <x v="273"/>
    <x v="14"/>
    <x v="2"/>
    <x v="6"/>
    <x v="696"/>
    <n v="125.99"/>
    <n v="1"/>
    <n v="31.5"/>
    <x v="11"/>
    <x v="1"/>
  </r>
  <r>
    <n v="44906"/>
    <x v="273"/>
    <x v="14"/>
    <x v="0"/>
    <x v="3"/>
    <x v="873"/>
    <n v="23"/>
    <n v="2"/>
    <n v="10.35"/>
    <x v="11"/>
    <x v="1"/>
  </r>
  <r>
    <n v="44907"/>
    <x v="235"/>
    <x v="3"/>
    <x v="1"/>
    <x v="5"/>
    <x v="376"/>
    <n v="348.93"/>
    <n v="2"/>
    <n v="34.89"/>
    <x v="11"/>
    <x v="1"/>
  </r>
  <r>
    <n v="44907"/>
    <x v="380"/>
    <x v="3"/>
    <x v="0"/>
    <x v="7"/>
    <x v="78"/>
    <n v="7.86"/>
    <n v="2"/>
    <n v="3.62"/>
    <x v="11"/>
    <x v="1"/>
  </r>
  <r>
    <n v="44907"/>
    <x v="380"/>
    <x v="3"/>
    <x v="0"/>
    <x v="3"/>
    <x v="1489"/>
    <n v="24.45"/>
    <n v="2"/>
    <n v="8.86"/>
    <x v="11"/>
    <x v="1"/>
  </r>
  <r>
    <n v="44907"/>
    <x v="699"/>
    <x v="36"/>
    <x v="0"/>
    <x v="4"/>
    <x v="9"/>
    <n v="8.2200000000000006"/>
    <n v="3"/>
    <n v="2.2200000000000002"/>
    <x v="11"/>
    <x v="1"/>
  </r>
  <r>
    <n v="44907"/>
    <x v="557"/>
    <x v="0"/>
    <x v="2"/>
    <x v="9"/>
    <x v="1541"/>
    <n v="22.37"/>
    <n v="4"/>
    <n v="6.43"/>
    <x v="11"/>
    <x v="1"/>
  </r>
  <r>
    <n v="44907"/>
    <x v="21"/>
    <x v="3"/>
    <x v="0"/>
    <x v="4"/>
    <x v="1363"/>
    <n v="2.21"/>
    <n v="1"/>
    <n v="0.6"/>
    <x v="11"/>
    <x v="1"/>
  </r>
  <r>
    <n v="44907"/>
    <x v="21"/>
    <x v="3"/>
    <x v="0"/>
    <x v="10"/>
    <x v="807"/>
    <n v="15.52"/>
    <n v="4"/>
    <n v="7.45"/>
    <x v="11"/>
    <x v="1"/>
  </r>
  <r>
    <n v="44907"/>
    <x v="21"/>
    <x v="3"/>
    <x v="0"/>
    <x v="0"/>
    <x v="1545"/>
    <n v="36.44"/>
    <n v="4"/>
    <n v="16.399999999999999"/>
    <x v="11"/>
    <x v="1"/>
  </r>
  <r>
    <n v="44907"/>
    <x v="276"/>
    <x v="3"/>
    <x v="1"/>
    <x v="8"/>
    <x v="195"/>
    <n v="166.5"/>
    <n v="3"/>
    <n v="21.65"/>
    <x v="11"/>
    <x v="1"/>
  </r>
  <r>
    <n v="44907"/>
    <x v="276"/>
    <x v="3"/>
    <x v="0"/>
    <x v="2"/>
    <x v="1126"/>
    <n v="360.38"/>
    <n v="2"/>
    <n v="93.7"/>
    <x v="11"/>
    <x v="1"/>
  </r>
  <r>
    <n v="44907"/>
    <x v="104"/>
    <x v="17"/>
    <x v="0"/>
    <x v="0"/>
    <x v="1595"/>
    <n v="32.4"/>
    <n v="5"/>
    <n v="15.88"/>
    <x v="11"/>
    <x v="1"/>
  </r>
  <r>
    <n v="44907"/>
    <x v="104"/>
    <x v="17"/>
    <x v="0"/>
    <x v="0"/>
    <x v="646"/>
    <n v="97.88"/>
    <n v="2"/>
    <n v="48.94"/>
    <x v="11"/>
    <x v="1"/>
  </r>
  <r>
    <n v="44907"/>
    <x v="502"/>
    <x v="3"/>
    <x v="2"/>
    <x v="9"/>
    <x v="265"/>
    <n v="299.94"/>
    <n v="6"/>
    <n v="128.97"/>
    <x v="11"/>
    <x v="1"/>
  </r>
  <r>
    <n v="44907"/>
    <x v="502"/>
    <x v="3"/>
    <x v="0"/>
    <x v="14"/>
    <x v="488"/>
    <n v="25.76"/>
    <n v="7"/>
    <n v="0.52"/>
    <x v="11"/>
    <x v="1"/>
  </r>
  <r>
    <n v="44908"/>
    <x v="468"/>
    <x v="3"/>
    <x v="0"/>
    <x v="0"/>
    <x v="310"/>
    <n v="12.96"/>
    <n v="2"/>
    <n v="6.22"/>
    <x v="11"/>
    <x v="1"/>
  </r>
  <r>
    <n v="44908"/>
    <x v="468"/>
    <x v="3"/>
    <x v="0"/>
    <x v="12"/>
    <x v="1596"/>
    <n v="134.47999999999999"/>
    <n v="4"/>
    <n v="34.96"/>
    <x v="11"/>
    <x v="1"/>
  </r>
  <r>
    <n v="44908"/>
    <x v="550"/>
    <x v="3"/>
    <x v="0"/>
    <x v="1"/>
    <x v="465"/>
    <n v="9.9600000000000009"/>
    <n v="2"/>
    <n v="4.58"/>
    <x v="11"/>
    <x v="1"/>
  </r>
  <r>
    <n v="44908"/>
    <x v="122"/>
    <x v="3"/>
    <x v="2"/>
    <x v="6"/>
    <x v="412"/>
    <n v="494.38"/>
    <n v="3"/>
    <n v="49.44"/>
    <x v="11"/>
    <x v="1"/>
  </r>
  <r>
    <n v="44908"/>
    <x v="122"/>
    <x v="3"/>
    <x v="0"/>
    <x v="3"/>
    <x v="772"/>
    <n v="29.2"/>
    <n v="5"/>
    <n v="9.86"/>
    <x v="11"/>
    <x v="1"/>
  </r>
  <r>
    <n v="44908"/>
    <x v="122"/>
    <x v="3"/>
    <x v="2"/>
    <x v="9"/>
    <x v="1526"/>
    <n v="248.85"/>
    <n v="5"/>
    <n v="27.37"/>
    <x v="11"/>
    <x v="1"/>
  </r>
  <r>
    <n v="44908"/>
    <x v="122"/>
    <x v="3"/>
    <x v="2"/>
    <x v="9"/>
    <x v="306"/>
    <n v="36.24"/>
    <n v="1"/>
    <n v="15.22"/>
    <x v="11"/>
    <x v="1"/>
  </r>
  <r>
    <n v="44908"/>
    <x v="222"/>
    <x v="32"/>
    <x v="0"/>
    <x v="0"/>
    <x v="1378"/>
    <n v="19.440000000000001"/>
    <n v="3"/>
    <n v="9.33"/>
    <x v="11"/>
    <x v="1"/>
  </r>
  <r>
    <n v="44908"/>
    <x v="222"/>
    <x v="32"/>
    <x v="0"/>
    <x v="3"/>
    <x v="933"/>
    <n v="37.880000000000003"/>
    <n v="2"/>
    <n v="18.940000000000001"/>
    <x v="11"/>
    <x v="1"/>
  </r>
  <r>
    <n v="44909"/>
    <x v="22"/>
    <x v="4"/>
    <x v="0"/>
    <x v="3"/>
    <x v="24"/>
    <n v="3.76"/>
    <n v="2"/>
    <n v="1.8"/>
    <x v="11"/>
    <x v="1"/>
  </r>
  <r>
    <n v="44909"/>
    <x v="724"/>
    <x v="11"/>
    <x v="2"/>
    <x v="6"/>
    <x v="1202"/>
    <n v="319.97000000000003"/>
    <n v="4"/>
    <n v="36"/>
    <x v="11"/>
    <x v="1"/>
  </r>
  <r>
    <n v="44909"/>
    <x v="247"/>
    <x v="3"/>
    <x v="0"/>
    <x v="3"/>
    <x v="753"/>
    <n v="8.1"/>
    <n v="2"/>
    <n v="2.73"/>
    <x v="11"/>
    <x v="1"/>
  </r>
  <r>
    <n v="44909"/>
    <x v="435"/>
    <x v="29"/>
    <x v="1"/>
    <x v="8"/>
    <x v="1148"/>
    <n v="6.16"/>
    <n v="2"/>
    <n v="1.97"/>
    <x v="11"/>
    <x v="1"/>
  </r>
  <r>
    <n v="44909"/>
    <x v="435"/>
    <x v="29"/>
    <x v="0"/>
    <x v="4"/>
    <x v="1024"/>
    <n v="56.3"/>
    <n v="2"/>
    <n v="15.76"/>
    <x v="11"/>
    <x v="1"/>
  </r>
  <r>
    <n v="44909"/>
    <x v="367"/>
    <x v="3"/>
    <x v="1"/>
    <x v="8"/>
    <x v="1597"/>
    <n v="15.24"/>
    <n v="3"/>
    <n v="5.18"/>
    <x v="11"/>
    <x v="1"/>
  </r>
  <r>
    <n v="44909"/>
    <x v="281"/>
    <x v="3"/>
    <x v="1"/>
    <x v="8"/>
    <x v="626"/>
    <n v="29.22"/>
    <n v="3"/>
    <n v="12.86"/>
    <x v="11"/>
    <x v="1"/>
  </r>
  <r>
    <n v="44909"/>
    <x v="63"/>
    <x v="3"/>
    <x v="2"/>
    <x v="9"/>
    <x v="1598"/>
    <n v="50"/>
    <n v="2"/>
    <n v="10.5"/>
    <x v="11"/>
    <x v="1"/>
  </r>
  <r>
    <n v="44909"/>
    <x v="504"/>
    <x v="3"/>
    <x v="0"/>
    <x v="3"/>
    <x v="1599"/>
    <n v="55.26"/>
    <n v="2"/>
    <n v="20.72"/>
    <x v="11"/>
    <x v="1"/>
  </r>
  <r>
    <n v="44909"/>
    <x v="504"/>
    <x v="3"/>
    <x v="0"/>
    <x v="0"/>
    <x v="736"/>
    <n v="6.48"/>
    <n v="1"/>
    <n v="3.11"/>
    <x v="11"/>
    <x v="1"/>
  </r>
  <r>
    <n v="44909"/>
    <x v="504"/>
    <x v="3"/>
    <x v="0"/>
    <x v="3"/>
    <x v="767"/>
    <n v="34.25"/>
    <n v="3"/>
    <n v="11.56"/>
    <x v="11"/>
    <x v="1"/>
  </r>
  <r>
    <n v="44909"/>
    <x v="504"/>
    <x v="3"/>
    <x v="1"/>
    <x v="13"/>
    <x v="1600"/>
    <n v="273.57"/>
    <n v="2"/>
    <n v="10.26"/>
    <x v="11"/>
    <x v="1"/>
  </r>
  <r>
    <n v="44910"/>
    <x v="412"/>
    <x v="20"/>
    <x v="0"/>
    <x v="4"/>
    <x v="1565"/>
    <n v="3.28"/>
    <n v="1"/>
    <n v="1.41"/>
    <x v="11"/>
    <x v="1"/>
  </r>
  <r>
    <n v="44910"/>
    <x v="343"/>
    <x v="22"/>
    <x v="0"/>
    <x v="12"/>
    <x v="1601"/>
    <n v="103.92"/>
    <n v="4"/>
    <n v="36.369999999999997"/>
    <x v="11"/>
    <x v="1"/>
  </r>
  <r>
    <n v="44910"/>
    <x v="343"/>
    <x v="22"/>
    <x v="2"/>
    <x v="9"/>
    <x v="671"/>
    <n v="899.91"/>
    <n v="9"/>
    <n v="377.96"/>
    <x v="11"/>
    <x v="1"/>
  </r>
  <r>
    <n v="44910"/>
    <x v="343"/>
    <x v="22"/>
    <x v="0"/>
    <x v="3"/>
    <x v="583"/>
    <n v="51.31"/>
    <n v="3"/>
    <n v="18.600000000000001"/>
    <x v="11"/>
    <x v="1"/>
  </r>
  <r>
    <n v="44910"/>
    <x v="40"/>
    <x v="10"/>
    <x v="2"/>
    <x v="9"/>
    <x v="1208"/>
    <n v="2025.36"/>
    <n v="6"/>
    <n v="607.61"/>
    <x v="11"/>
    <x v="1"/>
  </r>
  <r>
    <n v="44910"/>
    <x v="40"/>
    <x v="10"/>
    <x v="2"/>
    <x v="15"/>
    <x v="1602"/>
    <n v="1799.99"/>
    <n v="2"/>
    <n v="-2639.99"/>
    <x v="11"/>
    <x v="1"/>
  </r>
  <r>
    <n v="44910"/>
    <x v="40"/>
    <x v="10"/>
    <x v="2"/>
    <x v="6"/>
    <x v="1210"/>
    <n v="101.99"/>
    <n v="2"/>
    <n v="-17"/>
    <x v="11"/>
    <x v="1"/>
  </r>
  <r>
    <n v="44910"/>
    <x v="40"/>
    <x v="10"/>
    <x v="1"/>
    <x v="8"/>
    <x v="317"/>
    <n v="262.86"/>
    <n v="7"/>
    <n v="69"/>
    <x v="11"/>
    <x v="1"/>
  </r>
  <r>
    <n v="44910"/>
    <x v="390"/>
    <x v="25"/>
    <x v="2"/>
    <x v="6"/>
    <x v="1603"/>
    <n v="246.17"/>
    <n v="3"/>
    <n v="21.54"/>
    <x v="11"/>
    <x v="1"/>
  </r>
  <r>
    <n v="44911"/>
    <x v="707"/>
    <x v="22"/>
    <x v="0"/>
    <x v="0"/>
    <x v="219"/>
    <n v="4.9800000000000004"/>
    <n v="1"/>
    <n v="2.34"/>
    <x v="11"/>
    <x v="1"/>
  </r>
  <r>
    <n v="44912"/>
    <x v="154"/>
    <x v="14"/>
    <x v="0"/>
    <x v="3"/>
    <x v="116"/>
    <n v="29.52"/>
    <n v="4"/>
    <n v="14.46"/>
    <x v="11"/>
    <x v="1"/>
  </r>
  <r>
    <n v="44912"/>
    <x v="154"/>
    <x v="14"/>
    <x v="1"/>
    <x v="5"/>
    <x v="1604"/>
    <n v="302.94"/>
    <n v="3"/>
    <n v="48.47"/>
    <x v="11"/>
    <x v="1"/>
  </r>
  <r>
    <n v="44912"/>
    <x v="154"/>
    <x v="14"/>
    <x v="1"/>
    <x v="5"/>
    <x v="1168"/>
    <n v="142.36000000000001"/>
    <n v="2"/>
    <n v="38.44"/>
    <x v="11"/>
    <x v="1"/>
  </r>
  <r>
    <n v="44912"/>
    <x v="154"/>
    <x v="14"/>
    <x v="1"/>
    <x v="5"/>
    <x v="664"/>
    <n v="546.66"/>
    <n v="9"/>
    <n v="136.66999999999999"/>
    <x v="11"/>
    <x v="1"/>
  </r>
  <r>
    <n v="44912"/>
    <x v="154"/>
    <x v="14"/>
    <x v="1"/>
    <x v="8"/>
    <x v="759"/>
    <n v="212.13"/>
    <n v="3"/>
    <n v="14.85"/>
    <x v="11"/>
    <x v="1"/>
  </r>
  <r>
    <n v="44912"/>
    <x v="260"/>
    <x v="1"/>
    <x v="0"/>
    <x v="2"/>
    <x v="1002"/>
    <n v="180.02"/>
    <n v="1"/>
    <n v="-15.75"/>
    <x v="11"/>
    <x v="1"/>
  </r>
  <r>
    <n v="44912"/>
    <x v="260"/>
    <x v="1"/>
    <x v="1"/>
    <x v="8"/>
    <x v="19"/>
    <n v="41.55"/>
    <n v="2"/>
    <n v="-19.739999999999998"/>
    <x v="11"/>
    <x v="1"/>
  </r>
  <r>
    <n v="44912"/>
    <x v="260"/>
    <x v="1"/>
    <x v="0"/>
    <x v="4"/>
    <x v="175"/>
    <n v="13.12"/>
    <n v="5"/>
    <n v="1.48"/>
    <x v="11"/>
    <x v="1"/>
  </r>
  <r>
    <n v="44912"/>
    <x v="194"/>
    <x v="3"/>
    <x v="0"/>
    <x v="4"/>
    <x v="692"/>
    <n v="204.85"/>
    <n v="5"/>
    <n v="53.26"/>
    <x v="11"/>
    <x v="1"/>
  </r>
  <r>
    <n v="44912"/>
    <x v="194"/>
    <x v="3"/>
    <x v="2"/>
    <x v="6"/>
    <x v="1210"/>
    <n v="135.97999999999999"/>
    <n v="2"/>
    <n v="17"/>
    <x v="11"/>
    <x v="1"/>
  </r>
  <r>
    <n v="44912"/>
    <x v="194"/>
    <x v="3"/>
    <x v="0"/>
    <x v="4"/>
    <x v="1565"/>
    <n v="16.399999999999999"/>
    <n v="5"/>
    <n v="7.05"/>
    <x v="11"/>
    <x v="1"/>
  </r>
  <r>
    <n v="44912"/>
    <x v="194"/>
    <x v="3"/>
    <x v="0"/>
    <x v="3"/>
    <x v="396"/>
    <n v="92.96"/>
    <n v="2"/>
    <n v="31.37"/>
    <x v="11"/>
    <x v="1"/>
  </r>
  <r>
    <n v="44913"/>
    <x v="272"/>
    <x v="10"/>
    <x v="0"/>
    <x v="2"/>
    <x v="437"/>
    <n v="646.78"/>
    <n v="9"/>
    <n v="-145.52000000000001"/>
    <x v="11"/>
    <x v="1"/>
  </r>
  <r>
    <n v="44913"/>
    <x v="363"/>
    <x v="20"/>
    <x v="2"/>
    <x v="9"/>
    <x v="1281"/>
    <n v="166.24"/>
    <n v="1"/>
    <n v="24.94"/>
    <x v="11"/>
    <x v="1"/>
  </r>
  <r>
    <n v="44913"/>
    <x v="521"/>
    <x v="26"/>
    <x v="0"/>
    <x v="4"/>
    <x v="806"/>
    <n v="6.85"/>
    <n v="2"/>
    <n v="0.6"/>
    <x v="11"/>
    <x v="1"/>
  </r>
  <r>
    <n v="44913"/>
    <x v="357"/>
    <x v="15"/>
    <x v="0"/>
    <x v="10"/>
    <x v="474"/>
    <n v="55.94"/>
    <n v="8"/>
    <n v="18.88"/>
    <x v="11"/>
    <x v="1"/>
  </r>
  <r>
    <n v="44913"/>
    <x v="357"/>
    <x v="15"/>
    <x v="0"/>
    <x v="1"/>
    <x v="1518"/>
    <n v="18.43"/>
    <n v="8"/>
    <n v="5.99"/>
    <x v="11"/>
    <x v="1"/>
  </r>
  <r>
    <n v="44913"/>
    <x v="357"/>
    <x v="15"/>
    <x v="1"/>
    <x v="8"/>
    <x v="112"/>
    <n v="20.32"/>
    <n v="5"/>
    <n v="3.56"/>
    <x v="11"/>
    <x v="1"/>
  </r>
  <r>
    <n v="44913"/>
    <x v="412"/>
    <x v="10"/>
    <x v="0"/>
    <x v="0"/>
    <x v="291"/>
    <n v="20.74"/>
    <n v="4"/>
    <n v="7.26"/>
    <x v="11"/>
    <x v="1"/>
  </r>
  <r>
    <n v="44914"/>
    <x v="229"/>
    <x v="3"/>
    <x v="2"/>
    <x v="6"/>
    <x v="1347"/>
    <n v="675.96"/>
    <n v="5"/>
    <n v="84.5"/>
    <x v="11"/>
    <x v="1"/>
  </r>
  <r>
    <n v="44914"/>
    <x v="229"/>
    <x v="3"/>
    <x v="2"/>
    <x v="9"/>
    <x v="1208"/>
    <n v="1265.8499999999999"/>
    <n v="3"/>
    <n v="556.97"/>
    <x v="11"/>
    <x v="1"/>
  </r>
  <r>
    <n v="44914"/>
    <x v="144"/>
    <x v="2"/>
    <x v="0"/>
    <x v="12"/>
    <x v="1178"/>
    <n v="434.35"/>
    <n v="3"/>
    <n v="43.44"/>
    <x v="11"/>
    <x v="1"/>
  </r>
  <r>
    <n v="44914"/>
    <x v="144"/>
    <x v="2"/>
    <x v="0"/>
    <x v="12"/>
    <x v="1246"/>
    <n v="3.55"/>
    <n v="2"/>
    <n v="0.44"/>
    <x v="11"/>
    <x v="1"/>
  </r>
  <r>
    <n v="44914"/>
    <x v="144"/>
    <x v="2"/>
    <x v="0"/>
    <x v="12"/>
    <x v="519"/>
    <n v="88.83"/>
    <n v="4"/>
    <n v="7.77"/>
    <x v="11"/>
    <x v="1"/>
  </r>
  <r>
    <n v="44914"/>
    <x v="436"/>
    <x v="40"/>
    <x v="0"/>
    <x v="3"/>
    <x v="538"/>
    <n v="7.04"/>
    <n v="2"/>
    <n v="3.31"/>
    <x v="11"/>
    <x v="1"/>
  </r>
  <r>
    <n v="44914"/>
    <x v="436"/>
    <x v="40"/>
    <x v="0"/>
    <x v="7"/>
    <x v="1371"/>
    <n v="5.04"/>
    <n v="4"/>
    <n v="0.2"/>
    <x v="11"/>
    <x v="1"/>
  </r>
  <r>
    <n v="44914"/>
    <x v="436"/>
    <x v="40"/>
    <x v="0"/>
    <x v="0"/>
    <x v="655"/>
    <n v="116.28"/>
    <n v="3"/>
    <n v="56.98"/>
    <x v="11"/>
    <x v="1"/>
  </r>
  <r>
    <n v="44914"/>
    <x v="378"/>
    <x v="1"/>
    <x v="2"/>
    <x v="6"/>
    <x v="987"/>
    <n v="158.38"/>
    <n v="3"/>
    <n v="13.86"/>
    <x v="11"/>
    <x v="1"/>
  </r>
  <r>
    <n v="44914"/>
    <x v="725"/>
    <x v="38"/>
    <x v="0"/>
    <x v="0"/>
    <x v="938"/>
    <n v="29.9"/>
    <n v="5"/>
    <n v="14.65"/>
    <x v="11"/>
    <x v="1"/>
  </r>
  <r>
    <n v="44914"/>
    <x v="725"/>
    <x v="38"/>
    <x v="2"/>
    <x v="9"/>
    <x v="1552"/>
    <n v="2249.91"/>
    <n v="9"/>
    <n v="517.48"/>
    <x v="11"/>
    <x v="1"/>
  </r>
  <r>
    <n v="44914"/>
    <x v="725"/>
    <x v="38"/>
    <x v="1"/>
    <x v="13"/>
    <x v="177"/>
    <n v="1053.1600000000001"/>
    <n v="4"/>
    <n v="-105.32"/>
    <x v="11"/>
    <x v="1"/>
  </r>
  <r>
    <n v="44914"/>
    <x v="89"/>
    <x v="1"/>
    <x v="2"/>
    <x v="9"/>
    <x v="1594"/>
    <n v="25.49"/>
    <n v="2"/>
    <n v="4.78"/>
    <x v="11"/>
    <x v="1"/>
  </r>
  <r>
    <n v="44914"/>
    <x v="316"/>
    <x v="2"/>
    <x v="0"/>
    <x v="1"/>
    <x v="1454"/>
    <n v="6.91"/>
    <n v="3"/>
    <n v="2.5099999999999998"/>
    <x v="11"/>
    <x v="1"/>
  </r>
  <r>
    <n v="44915"/>
    <x v="330"/>
    <x v="0"/>
    <x v="0"/>
    <x v="2"/>
    <x v="379"/>
    <n v="88.8"/>
    <n v="4"/>
    <n v="-2.2200000000000002"/>
    <x v="11"/>
    <x v="1"/>
  </r>
  <r>
    <n v="44915"/>
    <x v="223"/>
    <x v="20"/>
    <x v="0"/>
    <x v="0"/>
    <x v="267"/>
    <n v="55.48"/>
    <n v="1"/>
    <n v="26.63"/>
    <x v="11"/>
    <x v="1"/>
  </r>
  <r>
    <n v="44915"/>
    <x v="375"/>
    <x v="1"/>
    <x v="2"/>
    <x v="6"/>
    <x v="43"/>
    <n v="159.97999999999999"/>
    <n v="2"/>
    <n v="12"/>
    <x v="11"/>
    <x v="1"/>
  </r>
  <r>
    <n v="44915"/>
    <x v="375"/>
    <x v="1"/>
    <x v="2"/>
    <x v="9"/>
    <x v="102"/>
    <n v="255.97"/>
    <n v="4"/>
    <n v="51.19"/>
    <x v="11"/>
    <x v="1"/>
  </r>
  <r>
    <n v="44915"/>
    <x v="375"/>
    <x v="1"/>
    <x v="1"/>
    <x v="11"/>
    <x v="76"/>
    <n v="359.06"/>
    <n v="3"/>
    <n v="-71.81"/>
    <x v="11"/>
    <x v="1"/>
  </r>
  <r>
    <n v="44915"/>
    <x v="333"/>
    <x v="12"/>
    <x v="0"/>
    <x v="10"/>
    <x v="1493"/>
    <n v="7.92"/>
    <n v="1"/>
    <n v="2.77"/>
    <x v="11"/>
    <x v="1"/>
  </r>
  <r>
    <n v="44915"/>
    <x v="333"/>
    <x v="12"/>
    <x v="1"/>
    <x v="8"/>
    <x v="682"/>
    <n v="14.37"/>
    <n v="2"/>
    <n v="3.95"/>
    <x v="11"/>
    <x v="1"/>
  </r>
  <r>
    <n v="44915"/>
    <x v="726"/>
    <x v="16"/>
    <x v="0"/>
    <x v="1"/>
    <x v="1323"/>
    <n v="11.7"/>
    <n v="2"/>
    <n v="3.95"/>
    <x v="11"/>
    <x v="1"/>
  </r>
  <r>
    <n v="44915"/>
    <x v="170"/>
    <x v="3"/>
    <x v="0"/>
    <x v="0"/>
    <x v="371"/>
    <n v="17.12"/>
    <n v="4"/>
    <n v="7.7"/>
    <x v="11"/>
    <x v="1"/>
  </r>
  <r>
    <n v="44915"/>
    <x v="522"/>
    <x v="6"/>
    <x v="0"/>
    <x v="12"/>
    <x v="639"/>
    <n v="36.270000000000003"/>
    <n v="3"/>
    <n v="10.88"/>
    <x v="11"/>
    <x v="1"/>
  </r>
  <r>
    <n v="44915"/>
    <x v="341"/>
    <x v="0"/>
    <x v="2"/>
    <x v="9"/>
    <x v="128"/>
    <n v="100.8"/>
    <n v="2"/>
    <n v="21.42"/>
    <x v="11"/>
    <x v="1"/>
  </r>
  <r>
    <n v="44916"/>
    <x v="143"/>
    <x v="22"/>
    <x v="1"/>
    <x v="13"/>
    <x v="296"/>
    <n v="1618.37"/>
    <n v="13"/>
    <n v="356.04"/>
    <x v="11"/>
    <x v="1"/>
  </r>
  <r>
    <n v="44916"/>
    <x v="143"/>
    <x v="22"/>
    <x v="2"/>
    <x v="9"/>
    <x v="1189"/>
    <n v="99.6"/>
    <n v="1"/>
    <n v="36.85"/>
    <x v="11"/>
    <x v="1"/>
  </r>
  <r>
    <n v="44916"/>
    <x v="727"/>
    <x v="26"/>
    <x v="0"/>
    <x v="12"/>
    <x v="188"/>
    <n v="60.98"/>
    <n v="7"/>
    <n v="4.57"/>
    <x v="11"/>
    <x v="1"/>
  </r>
  <r>
    <n v="44916"/>
    <x v="462"/>
    <x v="25"/>
    <x v="2"/>
    <x v="6"/>
    <x v="1605"/>
    <n v="47.98"/>
    <n v="3"/>
    <n v="4.8"/>
    <x v="11"/>
    <x v="1"/>
  </r>
  <r>
    <n v="44916"/>
    <x v="310"/>
    <x v="16"/>
    <x v="2"/>
    <x v="9"/>
    <x v="649"/>
    <n v="50.88"/>
    <n v="6"/>
    <n v="14.63"/>
    <x v="11"/>
    <x v="1"/>
  </r>
  <r>
    <n v="44916"/>
    <x v="310"/>
    <x v="16"/>
    <x v="0"/>
    <x v="10"/>
    <x v="1606"/>
    <n v="27.31"/>
    <n v="2"/>
    <n v="9.2200000000000006"/>
    <x v="11"/>
    <x v="1"/>
  </r>
  <r>
    <n v="44916"/>
    <x v="512"/>
    <x v="10"/>
    <x v="0"/>
    <x v="4"/>
    <x v="513"/>
    <n v="3.01"/>
    <n v="2"/>
    <n v="0.34"/>
    <x v="11"/>
    <x v="1"/>
  </r>
  <r>
    <n v="44916"/>
    <x v="381"/>
    <x v="1"/>
    <x v="2"/>
    <x v="15"/>
    <x v="891"/>
    <n v="600.53"/>
    <n v="2"/>
    <n v="137.26"/>
    <x v="11"/>
    <x v="1"/>
  </r>
  <r>
    <n v="44916"/>
    <x v="381"/>
    <x v="1"/>
    <x v="0"/>
    <x v="4"/>
    <x v="1343"/>
    <n v="59.9"/>
    <n v="2"/>
    <n v="14.23"/>
    <x v="11"/>
    <x v="1"/>
  </r>
  <r>
    <n v="44916"/>
    <x v="381"/>
    <x v="1"/>
    <x v="2"/>
    <x v="9"/>
    <x v="1189"/>
    <n v="637.44000000000005"/>
    <n v="8"/>
    <n v="135.46"/>
    <x v="11"/>
    <x v="1"/>
  </r>
  <r>
    <n v="44916"/>
    <x v="381"/>
    <x v="1"/>
    <x v="1"/>
    <x v="8"/>
    <x v="562"/>
    <n v="51.76"/>
    <n v="3"/>
    <n v="-33.64"/>
    <x v="11"/>
    <x v="1"/>
  </r>
  <r>
    <n v="44917"/>
    <x v="165"/>
    <x v="21"/>
    <x v="0"/>
    <x v="4"/>
    <x v="1448"/>
    <n v="17.12"/>
    <n v="4"/>
    <n v="4.96"/>
    <x v="11"/>
    <x v="1"/>
  </r>
  <r>
    <n v="44917"/>
    <x v="535"/>
    <x v="2"/>
    <x v="0"/>
    <x v="2"/>
    <x v="1271"/>
    <n v="33.57"/>
    <n v="2"/>
    <n v="1.68"/>
    <x v="11"/>
    <x v="1"/>
  </r>
  <r>
    <n v="44917"/>
    <x v="535"/>
    <x v="2"/>
    <x v="1"/>
    <x v="5"/>
    <x v="123"/>
    <n v="422.63"/>
    <n v="7"/>
    <n v="0"/>
    <x v="11"/>
    <x v="1"/>
  </r>
  <r>
    <n v="44918"/>
    <x v="32"/>
    <x v="6"/>
    <x v="0"/>
    <x v="12"/>
    <x v="1167"/>
    <n v="194.32"/>
    <n v="4"/>
    <n v="56.35"/>
    <x v="11"/>
    <x v="1"/>
  </r>
  <r>
    <n v="44919"/>
    <x v="557"/>
    <x v="10"/>
    <x v="0"/>
    <x v="7"/>
    <x v="995"/>
    <n v="5.58"/>
    <n v="2"/>
    <n v="1.81"/>
    <x v="11"/>
    <x v="1"/>
  </r>
  <r>
    <n v="44919"/>
    <x v="557"/>
    <x v="10"/>
    <x v="0"/>
    <x v="0"/>
    <x v="862"/>
    <n v="22.7"/>
    <n v="6"/>
    <n v="8.23"/>
    <x v="11"/>
    <x v="1"/>
  </r>
  <r>
    <n v="44919"/>
    <x v="557"/>
    <x v="10"/>
    <x v="0"/>
    <x v="3"/>
    <x v="275"/>
    <n v="19.78"/>
    <n v="4"/>
    <n v="-13.84"/>
    <x v="11"/>
    <x v="1"/>
  </r>
  <r>
    <n v="44919"/>
    <x v="557"/>
    <x v="10"/>
    <x v="1"/>
    <x v="8"/>
    <x v="1307"/>
    <n v="72.7"/>
    <n v="4"/>
    <n v="19.079999999999998"/>
    <x v="11"/>
    <x v="1"/>
  </r>
  <r>
    <n v="44919"/>
    <x v="557"/>
    <x v="10"/>
    <x v="2"/>
    <x v="15"/>
    <x v="196"/>
    <n v="479.99"/>
    <n v="4"/>
    <n v="-383.99"/>
    <x v="11"/>
    <x v="1"/>
  </r>
  <r>
    <n v="44919"/>
    <x v="557"/>
    <x v="10"/>
    <x v="0"/>
    <x v="4"/>
    <x v="1607"/>
    <n v="27.17"/>
    <n v="2"/>
    <n v="2.72"/>
    <x v="11"/>
    <x v="1"/>
  </r>
  <r>
    <n v="44919"/>
    <x v="639"/>
    <x v="20"/>
    <x v="0"/>
    <x v="0"/>
    <x v="167"/>
    <n v="132.79"/>
    <n v="7"/>
    <n v="63.74"/>
    <x v="11"/>
    <x v="1"/>
  </r>
  <r>
    <n v="44919"/>
    <x v="639"/>
    <x v="20"/>
    <x v="0"/>
    <x v="0"/>
    <x v="184"/>
    <n v="12.96"/>
    <n v="2"/>
    <n v="6.22"/>
    <x v="11"/>
    <x v="1"/>
  </r>
  <r>
    <n v="44919"/>
    <x v="639"/>
    <x v="20"/>
    <x v="0"/>
    <x v="1"/>
    <x v="911"/>
    <n v="21.56"/>
    <n v="7"/>
    <n v="10.35"/>
    <x v="11"/>
    <x v="1"/>
  </r>
  <r>
    <n v="44919"/>
    <x v="728"/>
    <x v="26"/>
    <x v="1"/>
    <x v="11"/>
    <x v="1205"/>
    <n v="590.05999999999995"/>
    <n v="7"/>
    <n v="-786.74"/>
    <x v="11"/>
    <x v="1"/>
  </r>
  <r>
    <n v="44919"/>
    <x v="728"/>
    <x v="26"/>
    <x v="0"/>
    <x v="4"/>
    <x v="540"/>
    <n v="14.04"/>
    <n v="3"/>
    <n v="1.58"/>
    <x v="11"/>
    <x v="1"/>
  </r>
  <r>
    <n v="44919"/>
    <x v="389"/>
    <x v="12"/>
    <x v="0"/>
    <x v="0"/>
    <x v="1175"/>
    <n v="106.23"/>
    <n v="7"/>
    <n v="37.18"/>
    <x v="11"/>
    <x v="1"/>
  </r>
  <r>
    <n v="44919"/>
    <x v="389"/>
    <x v="12"/>
    <x v="2"/>
    <x v="6"/>
    <x v="1095"/>
    <n v="111.98"/>
    <n v="2"/>
    <n v="11.2"/>
    <x v="11"/>
    <x v="1"/>
  </r>
  <r>
    <n v="44919"/>
    <x v="389"/>
    <x v="12"/>
    <x v="1"/>
    <x v="8"/>
    <x v="1521"/>
    <n v="7.71"/>
    <n v="2"/>
    <n v="1.74"/>
    <x v="11"/>
    <x v="1"/>
  </r>
  <r>
    <n v="44919"/>
    <x v="535"/>
    <x v="12"/>
    <x v="1"/>
    <x v="5"/>
    <x v="782"/>
    <n v="883.84"/>
    <n v="4"/>
    <n v="99.43"/>
    <x v="11"/>
    <x v="1"/>
  </r>
  <r>
    <n v="44919"/>
    <x v="388"/>
    <x v="3"/>
    <x v="0"/>
    <x v="3"/>
    <x v="248"/>
    <n v="19.940000000000001"/>
    <n v="4"/>
    <n v="7.23"/>
    <x v="11"/>
    <x v="1"/>
  </r>
  <r>
    <n v="44919"/>
    <x v="388"/>
    <x v="3"/>
    <x v="0"/>
    <x v="7"/>
    <x v="693"/>
    <n v="45.92"/>
    <n v="4"/>
    <n v="21.58"/>
    <x v="11"/>
    <x v="1"/>
  </r>
  <r>
    <n v="44919"/>
    <x v="312"/>
    <x v="24"/>
    <x v="1"/>
    <x v="8"/>
    <x v="1522"/>
    <n v="9.68"/>
    <n v="2"/>
    <n v="3.78"/>
    <x v="11"/>
    <x v="1"/>
  </r>
  <r>
    <n v="44919"/>
    <x v="312"/>
    <x v="24"/>
    <x v="2"/>
    <x v="16"/>
    <x v="1252"/>
    <n v="4899.93"/>
    <n v="7"/>
    <n v="2302.9699999999998"/>
    <x v="11"/>
    <x v="1"/>
  </r>
  <r>
    <n v="44920"/>
    <x v="514"/>
    <x v="2"/>
    <x v="1"/>
    <x v="8"/>
    <x v="990"/>
    <n v="547.14"/>
    <n v="4"/>
    <n v="-68.39"/>
    <x v="11"/>
    <x v="1"/>
  </r>
  <r>
    <n v="44920"/>
    <x v="337"/>
    <x v="15"/>
    <x v="0"/>
    <x v="1"/>
    <x v="1454"/>
    <n v="9.2200000000000006"/>
    <n v="4"/>
    <n v="3.34"/>
    <x v="11"/>
    <x v="1"/>
  </r>
  <r>
    <n v="44920"/>
    <x v="337"/>
    <x v="15"/>
    <x v="0"/>
    <x v="0"/>
    <x v="1444"/>
    <n v="10.37"/>
    <n v="2"/>
    <n v="3.63"/>
    <x v="11"/>
    <x v="1"/>
  </r>
  <r>
    <n v="44920"/>
    <x v="729"/>
    <x v="14"/>
    <x v="2"/>
    <x v="6"/>
    <x v="550"/>
    <n v="73.98"/>
    <n v="2"/>
    <n v="19.97"/>
    <x v="11"/>
    <x v="1"/>
  </r>
  <r>
    <n v="44920"/>
    <x v="729"/>
    <x v="14"/>
    <x v="1"/>
    <x v="11"/>
    <x v="1608"/>
    <n v="160.97999999999999"/>
    <n v="1"/>
    <n v="20.93"/>
    <x v="11"/>
    <x v="1"/>
  </r>
  <r>
    <n v="44920"/>
    <x v="729"/>
    <x v="14"/>
    <x v="0"/>
    <x v="0"/>
    <x v="741"/>
    <n v="17.34"/>
    <n v="3"/>
    <n v="8.5"/>
    <x v="11"/>
    <x v="1"/>
  </r>
  <r>
    <n v="44920"/>
    <x v="729"/>
    <x v="14"/>
    <x v="0"/>
    <x v="4"/>
    <x v="44"/>
    <n v="3.28"/>
    <n v="1"/>
    <n v="0.95"/>
    <x v="11"/>
    <x v="1"/>
  </r>
  <r>
    <n v="44920"/>
    <x v="412"/>
    <x v="20"/>
    <x v="0"/>
    <x v="12"/>
    <x v="1335"/>
    <n v="414.96"/>
    <n v="2"/>
    <n v="124.49"/>
    <x v="11"/>
    <x v="1"/>
  </r>
  <r>
    <n v="44920"/>
    <x v="565"/>
    <x v="3"/>
    <x v="2"/>
    <x v="16"/>
    <x v="359"/>
    <n v="1199.96"/>
    <n v="5"/>
    <n v="224.99"/>
    <x v="11"/>
    <x v="1"/>
  </r>
  <r>
    <n v="44920"/>
    <x v="565"/>
    <x v="3"/>
    <x v="0"/>
    <x v="0"/>
    <x v="1402"/>
    <n v="12.6"/>
    <n v="3"/>
    <n v="6.17"/>
    <x v="11"/>
    <x v="1"/>
  </r>
  <r>
    <n v="44920"/>
    <x v="565"/>
    <x v="3"/>
    <x v="0"/>
    <x v="0"/>
    <x v="689"/>
    <n v="17.940000000000001"/>
    <n v="3"/>
    <n v="8.07"/>
    <x v="11"/>
    <x v="1"/>
  </r>
  <r>
    <n v="44920"/>
    <x v="352"/>
    <x v="4"/>
    <x v="1"/>
    <x v="8"/>
    <x v="282"/>
    <n v="275.88"/>
    <n v="6"/>
    <n v="46.9"/>
    <x v="11"/>
    <x v="1"/>
  </r>
  <r>
    <n v="44920"/>
    <x v="352"/>
    <x v="4"/>
    <x v="0"/>
    <x v="3"/>
    <x v="1414"/>
    <n v="157.9"/>
    <n v="5"/>
    <n v="74.209999999999994"/>
    <x v="11"/>
    <x v="1"/>
  </r>
  <r>
    <n v="44920"/>
    <x v="232"/>
    <x v="20"/>
    <x v="2"/>
    <x v="9"/>
    <x v="1208"/>
    <n v="843.9"/>
    <n v="2"/>
    <n v="371.32"/>
    <x v="11"/>
    <x v="1"/>
  </r>
  <r>
    <n v="44920"/>
    <x v="232"/>
    <x v="20"/>
    <x v="1"/>
    <x v="11"/>
    <x v="1205"/>
    <n v="449.57"/>
    <n v="2"/>
    <n v="56.2"/>
    <x v="11"/>
    <x v="1"/>
  </r>
  <r>
    <n v="44920"/>
    <x v="88"/>
    <x v="3"/>
    <x v="0"/>
    <x v="0"/>
    <x v="404"/>
    <n v="9.9600000000000009"/>
    <n v="2"/>
    <n v="4.88"/>
    <x v="11"/>
    <x v="1"/>
  </r>
  <r>
    <n v="44921"/>
    <x v="12"/>
    <x v="32"/>
    <x v="0"/>
    <x v="7"/>
    <x v="78"/>
    <n v="22.2"/>
    <n v="5"/>
    <n v="10.43"/>
    <x v="11"/>
    <x v="1"/>
  </r>
  <r>
    <n v="44921"/>
    <x v="260"/>
    <x v="10"/>
    <x v="1"/>
    <x v="13"/>
    <x v="278"/>
    <n v="51.59"/>
    <n v="1"/>
    <n v="-15.48"/>
    <x v="11"/>
    <x v="1"/>
  </r>
  <r>
    <n v="44921"/>
    <x v="680"/>
    <x v="0"/>
    <x v="1"/>
    <x v="5"/>
    <x v="1609"/>
    <n v="275.06"/>
    <n v="3"/>
    <n v="-90.38"/>
    <x v="11"/>
    <x v="1"/>
  </r>
  <r>
    <n v="44921"/>
    <x v="447"/>
    <x v="20"/>
    <x v="0"/>
    <x v="0"/>
    <x v="1195"/>
    <n v="212.64"/>
    <n v="6"/>
    <n v="99.94"/>
    <x v="11"/>
    <x v="1"/>
  </r>
  <r>
    <n v="44922"/>
    <x v="188"/>
    <x v="0"/>
    <x v="0"/>
    <x v="10"/>
    <x v="1610"/>
    <n v="113.33"/>
    <n v="9"/>
    <n v="35.42"/>
    <x v="11"/>
    <x v="1"/>
  </r>
  <r>
    <n v="44922"/>
    <x v="188"/>
    <x v="0"/>
    <x v="1"/>
    <x v="11"/>
    <x v="1028"/>
    <n v="532.4"/>
    <n v="3"/>
    <n v="-46.98"/>
    <x v="11"/>
    <x v="1"/>
  </r>
  <r>
    <n v="44922"/>
    <x v="188"/>
    <x v="0"/>
    <x v="1"/>
    <x v="5"/>
    <x v="1209"/>
    <n v="212.06"/>
    <n v="3"/>
    <n v="-15.15"/>
    <x v="11"/>
    <x v="1"/>
  </r>
  <r>
    <n v="44922"/>
    <x v="188"/>
    <x v="0"/>
    <x v="2"/>
    <x v="6"/>
    <x v="438"/>
    <n v="371.17"/>
    <n v="4"/>
    <n v="41.76"/>
    <x v="11"/>
    <x v="1"/>
  </r>
  <r>
    <n v="44922"/>
    <x v="496"/>
    <x v="13"/>
    <x v="0"/>
    <x v="10"/>
    <x v="382"/>
    <n v="105.42"/>
    <n v="2"/>
    <n v="51.66"/>
    <x v="11"/>
    <x v="1"/>
  </r>
  <r>
    <n v="44922"/>
    <x v="730"/>
    <x v="36"/>
    <x v="0"/>
    <x v="0"/>
    <x v="1611"/>
    <n v="28.9"/>
    <n v="5"/>
    <n v="14.16"/>
    <x v="11"/>
    <x v="1"/>
  </r>
  <r>
    <n v="44922"/>
    <x v="730"/>
    <x v="36"/>
    <x v="0"/>
    <x v="12"/>
    <x v="783"/>
    <n v="355.96"/>
    <n v="2"/>
    <n v="103.23"/>
    <x v="11"/>
    <x v="1"/>
  </r>
  <r>
    <n v="44922"/>
    <x v="316"/>
    <x v="3"/>
    <x v="0"/>
    <x v="12"/>
    <x v="316"/>
    <n v="106.96"/>
    <n v="2"/>
    <n v="31.02"/>
    <x v="11"/>
    <x v="1"/>
  </r>
  <r>
    <n v="44922"/>
    <x v="316"/>
    <x v="3"/>
    <x v="0"/>
    <x v="1"/>
    <x v="1612"/>
    <n v="21.56"/>
    <n v="7"/>
    <n v="10.35"/>
    <x v="11"/>
    <x v="1"/>
  </r>
  <r>
    <n v="44922"/>
    <x v="108"/>
    <x v="1"/>
    <x v="0"/>
    <x v="2"/>
    <x v="235"/>
    <n v="12.67"/>
    <n v="3"/>
    <n v="-3.17"/>
    <x v="11"/>
    <x v="1"/>
  </r>
  <r>
    <n v="44922"/>
    <x v="148"/>
    <x v="3"/>
    <x v="2"/>
    <x v="9"/>
    <x v="589"/>
    <n v="7.92"/>
    <n v="8"/>
    <n v="3.48"/>
    <x v="11"/>
    <x v="1"/>
  </r>
  <r>
    <n v="44922"/>
    <x v="238"/>
    <x v="21"/>
    <x v="0"/>
    <x v="0"/>
    <x v="951"/>
    <n v="195.64"/>
    <n v="4"/>
    <n v="91.95"/>
    <x v="11"/>
    <x v="1"/>
  </r>
  <r>
    <n v="44922"/>
    <x v="238"/>
    <x v="21"/>
    <x v="2"/>
    <x v="6"/>
    <x v="1613"/>
    <n v="239.9"/>
    <n v="2"/>
    <n v="71.97"/>
    <x v="11"/>
    <x v="1"/>
  </r>
  <r>
    <n v="44922"/>
    <x v="639"/>
    <x v="10"/>
    <x v="1"/>
    <x v="13"/>
    <x v="773"/>
    <n v="1548.99"/>
    <n v="9"/>
    <n v="-464.7"/>
    <x v="11"/>
    <x v="1"/>
  </r>
  <r>
    <n v="44922"/>
    <x v="639"/>
    <x v="10"/>
    <x v="0"/>
    <x v="10"/>
    <x v="21"/>
    <n v="19.87"/>
    <n v="3"/>
    <n v="6.71"/>
    <x v="11"/>
    <x v="1"/>
  </r>
  <r>
    <n v="44922"/>
    <x v="569"/>
    <x v="15"/>
    <x v="2"/>
    <x v="9"/>
    <x v="884"/>
    <n v="4.7300000000000004"/>
    <n v="3"/>
    <n v="0.71"/>
    <x v="11"/>
    <x v="1"/>
  </r>
  <r>
    <n v="44922"/>
    <x v="569"/>
    <x v="15"/>
    <x v="1"/>
    <x v="8"/>
    <x v="1614"/>
    <n v="53.35"/>
    <n v="3"/>
    <n v="16.010000000000002"/>
    <x v="11"/>
    <x v="1"/>
  </r>
  <r>
    <n v="44922"/>
    <x v="569"/>
    <x v="15"/>
    <x v="1"/>
    <x v="11"/>
    <x v="1615"/>
    <n v="131.1"/>
    <n v="2"/>
    <n v="8.19"/>
    <x v="11"/>
    <x v="1"/>
  </r>
  <r>
    <n v="44922"/>
    <x v="569"/>
    <x v="15"/>
    <x v="0"/>
    <x v="2"/>
    <x v="163"/>
    <n v="22.51"/>
    <n v="3"/>
    <n v="2.25"/>
    <x v="11"/>
    <x v="1"/>
  </r>
  <r>
    <n v="44922"/>
    <x v="569"/>
    <x v="15"/>
    <x v="2"/>
    <x v="9"/>
    <x v="410"/>
    <n v="72.739999999999995"/>
    <n v="7"/>
    <n v="-12.73"/>
    <x v="11"/>
    <x v="1"/>
  </r>
  <r>
    <n v="44922"/>
    <x v="160"/>
    <x v="3"/>
    <x v="0"/>
    <x v="2"/>
    <x v="899"/>
    <n v="323.10000000000002"/>
    <n v="2"/>
    <n v="61.39"/>
    <x v="11"/>
    <x v="1"/>
  </r>
  <r>
    <n v="44922"/>
    <x v="160"/>
    <x v="3"/>
    <x v="2"/>
    <x v="6"/>
    <x v="446"/>
    <n v="668.16"/>
    <n v="9"/>
    <n v="75.17"/>
    <x v="11"/>
    <x v="1"/>
  </r>
  <r>
    <n v="44923"/>
    <x v="699"/>
    <x v="2"/>
    <x v="2"/>
    <x v="9"/>
    <x v="1381"/>
    <n v="54.38"/>
    <n v="2"/>
    <n v="1.36"/>
    <x v="11"/>
    <x v="1"/>
  </r>
  <r>
    <n v="44923"/>
    <x v="681"/>
    <x v="1"/>
    <x v="0"/>
    <x v="2"/>
    <x v="1616"/>
    <n v="24.82"/>
    <n v="2"/>
    <n v="1.55"/>
    <x v="11"/>
    <x v="1"/>
  </r>
  <r>
    <n v="44924"/>
    <x v="503"/>
    <x v="20"/>
    <x v="0"/>
    <x v="14"/>
    <x v="719"/>
    <n v="6.36"/>
    <n v="2"/>
    <n v="0.06"/>
    <x v="11"/>
    <x v="1"/>
  </r>
  <r>
    <n v="44925"/>
    <x v="68"/>
    <x v="3"/>
    <x v="0"/>
    <x v="0"/>
    <x v="709"/>
    <n v="68.52"/>
    <n v="3"/>
    <n v="31.52"/>
    <x v="11"/>
    <x v="1"/>
  </r>
  <r>
    <n v="44925"/>
    <x v="68"/>
    <x v="3"/>
    <x v="0"/>
    <x v="2"/>
    <x v="355"/>
    <n v="74.94"/>
    <n v="3"/>
    <n v="14.24"/>
    <x v="11"/>
    <x v="1"/>
  </r>
  <r>
    <n v="44925"/>
    <x v="68"/>
    <x v="3"/>
    <x v="2"/>
    <x v="15"/>
    <x v="1359"/>
    <n v="2548.56"/>
    <n v="6"/>
    <n v="286.70999999999998"/>
    <x v="11"/>
    <x v="1"/>
  </r>
  <r>
    <n v="44925"/>
    <x v="68"/>
    <x v="3"/>
    <x v="0"/>
    <x v="10"/>
    <x v="1329"/>
    <n v="271.44"/>
    <n v="3"/>
    <n v="122.15"/>
    <x v="11"/>
    <x v="1"/>
  </r>
  <r>
    <n v="44925"/>
    <x v="68"/>
    <x v="3"/>
    <x v="2"/>
    <x v="6"/>
    <x v="1613"/>
    <n v="287.88"/>
    <n v="3"/>
    <n v="35.99"/>
    <x v="11"/>
    <x v="1"/>
  </r>
  <r>
    <n v="44926"/>
    <x v="117"/>
    <x v="35"/>
    <x v="0"/>
    <x v="3"/>
    <x v="8"/>
    <n v="487.98"/>
    <n v="2"/>
    <n v="152.5"/>
    <x v="11"/>
    <x v="1"/>
  </r>
  <r>
    <n v="44926"/>
    <x v="335"/>
    <x v="0"/>
    <x v="1"/>
    <x v="8"/>
    <x v="977"/>
    <n v="14.76"/>
    <n v="5"/>
    <n v="-11.44"/>
    <x v="11"/>
    <x v="1"/>
  </r>
  <r>
    <n v="44926"/>
    <x v="335"/>
    <x v="0"/>
    <x v="0"/>
    <x v="3"/>
    <x v="573"/>
    <n v="3.66"/>
    <n v="4"/>
    <n v="-5.85"/>
    <x v="11"/>
    <x v="1"/>
  </r>
  <r>
    <n v="44926"/>
    <x v="385"/>
    <x v="5"/>
    <x v="0"/>
    <x v="3"/>
    <x v="1414"/>
    <n v="94.74"/>
    <n v="3"/>
    <n v="44.53"/>
    <x v="11"/>
    <x v="1"/>
  </r>
  <r>
    <n v="44926"/>
    <x v="385"/>
    <x v="5"/>
    <x v="0"/>
    <x v="3"/>
    <x v="455"/>
    <n v="60.64"/>
    <n v="4"/>
    <n v="27.89"/>
    <x v="11"/>
    <x v="1"/>
  </r>
  <r>
    <n v="44926"/>
    <x v="385"/>
    <x v="5"/>
    <x v="0"/>
    <x v="3"/>
    <x v="1292"/>
    <n v="76.3"/>
    <n v="5"/>
    <n v="38.15"/>
    <x v="11"/>
    <x v="1"/>
  </r>
  <r>
    <n v="44926"/>
    <x v="385"/>
    <x v="5"/>
    <x v="0"/>
    <x v="3"/>
    <x v="417"/>
    <n v="364.8"/>
    <n v="12"/>
    <n v="167.81"/>
    <x v="11"/>
    <x v="1"/>
  </r>
  <r>
    <n v="44926"/>
    <x v="497"/>
    <x v="0"/>
    <x v="0"/>
    <x v="2"/>
    <x v="25"/>
    <n v="152.69"/>
    <n v="2"/>
    <n v="-26.72"/>
    <x v="11"/>
    <x v="1"/>
  </r>
  <r>
    <n v="44926"/>
    <x v="497"/>
    <x v="0"/>
    <x v="0"/>
    <x v="7"/>
    <x v="153"/>
    <n v="3.49"/>
    <n v="2"/>
    <n v="0.56999999999999995"/>
    <x v="11"/>
    <x v="1"/>
  </r>
  <r>
    <n v="44926"/>
    <x v="497"/>
    <x v="0"/>
    <x v="0"/>
    <x v="14"/>
    <x v="488"/>
    <n v="5.89"/>
    <n v="2"/>
    <n v="-1.32"/>
    <x v="11"/>
    <x v="1"/>
  </r>
  <r>
    <n v="44926"/>
    <x v="123"/>
    <x v="14"/>
    <x v="0"/>
    <x v="3"/>
    <x v="440"/>
    <n v="116.4"/>
    <n v="8"/>
    <n v="52.38"/>
    <x v="11"/>
    <x v="1"/>
  </r>
  <r>
    <n v="44928"/>
    <x v="688"/>
    <x v="36"/>
    <x v="1"/>
    <x v="11"/>
    <x v="1419"/>
    <n v="173.94"/>
    <n v="3"/>
    <n v="38.270000000000003"/>
    <x v="0"/>
    <x v="2"/>
  </r>
  <r>
    <n v="44928"/>
    <x v="688"/>
    <x v="36"/>
    <x v="2"/>
    <x v="6"/>
    <x v="746"/>
    <n v="231.98"/>
    <n v="2"/>
    <n v="67.27"/>
    <x v="0"/>
    <x v="2"/>
  </r>
  <r>
    <n v="44929"/>
    <x v="336"/>
    <x v="3"/>
    <x v="0"/>
    <x v="2"/>
    <x v="70"/>
    <n v="114.46"/>
    <n v="2"/>
    <n v="28.62"/>
    <x v="0"/>
    <x v="2"/>
  </r>
  <r>
    <n v="44929"/>
    <x v="305"/>
    <x v="0"/>
    <x v="2"/>
    <x v="9"/>
    <x v="401"/>
    <n v="30.08"/>
    <n v="2"/>
    <n v="-5.26"/>
    <x v="0"/>
    <x v="2"/>
  </r>
  <r>
    <n v="44929"/>
    <x v="305"/>
    <x v="0"/>
    <x v="2"/>
    <x v="9"/>
    <x v="925"/>
    <n v="165.6"/>
    <n v="3"/>
    <n v="-6.21"/>
    <x v="0"/>
    <x v="2"/>
  </r>
  <r>
    <n v="44929"/>
    <x v="305"/>
    <x v="0"/>
    <x v="2"/>
    <x v="6"/>
    <x v="80"/>
    <n v="180.96"/>
    <n v="5"/>
    <n v="13.57"/>
    <x v="0"/>
    <x v="2"/>
  </r>
  <r>
    <n v="44929"/>
    <x v="731"/>
    <x v="39"/>
    <x v="1"/>
    <x v="13"/>
    <x v="957"/>
    <n v="1592.85"/>
    <n v="7"/>
    <n v="350.43"/>
    <x v="0"/>
    <x v="2"/>
  </r>
  <r>
    <n v="44929"/>
    <x v="731"/>
    <x v="39"/>
    <x v="0"/>
    <x v="3"/>
    <x v="56"/>
    <n v="11.88"/>
    <n v="2"/>
    <n v="5.35"/>
    <x v="0"/>
    <x v="2"/>
  </r>
  <r>
    <n v="44930"/>
    <x v="732"/>
    <x v="25"/>
    <x v="2"/>
    <x v="16"/>
    <x v="1478"/>
    <n v="959.97"/>
    <n v="4"/>
    <n v="120"/>
    <x v="0"/>
    <x v="2"/>
  </r>
  <r>
    <n v="44930"/>
    <x v="624"/>
    <x v="2"/>
    <x v="0"/>
    <x v="4"/>
    <x v="16"/>
    <n v="4.67"/>
    <n v="1"/>
    <n v="0.57999999999999996"/>
    <x v="0"/>
    <x v="2"/>
  </r>
  <r>
    <n v="44930"/>
    <x v="624"/>
    <x v="2"/>
    <x v="0"/>
    <x v="3"/>
    <x v="396"/>
    <n v="104.58"/>
    <n v="6"/>
    <n v="-80.180000000000007"/>
    <x v="0"/>
    <x v="2"/>
  </r>
  <r>
    <n v="44931"/>
    <x v="202"/>
    <x v="16"/>
    <x v="2"/>
    <x v="9"/>
    <x v="1617"/>
    <n v="191.47"/>
    <n v="6"/>
    <n v="40.69"/>
    <x v="0"/>
    <x v="2"/>
  </r>
  <r>
    <n v="44931"/>
    <x v="202"/>
    <x v="16"/>
    <x v="0"/>
    <x v="4"/>
    <x v="1618"/>
    <n v="5.25"/>
    <n v="2"/>
    <n v="0.59"/>
    <x v="0"/>
    <x v="2"/>
  </r>
  <r>
    <n v="44931"/>
    <x v="202"/>
    <x v="16"/>
    <x v="2"/>
    <x v="6"/>
    <x v="550"/>
    <n v="59.18"/>
    <n v="2"/>
    <n v="5.18"/>
    <x v="0"/>
    <x v="2"/>
  </r>
  <r>
    <n v="44933"/>
    <x v="233"/>
    <x v="3"/>
    <x v="0"/>
    <x v="4"/>
    <x v="1247"/>
    <n v="34.58"/>
    <n v="1"/>
    <n v="10.029999999999999"/>
    <x v="0"/>
    <x v="2"/>
  </r>
  <r>
    <n v="44933"/>
    <x v="685"/>
    <x v="0"/>
    <x v="1"/>
    <x v="8"/>
    <x v="192"/>
    <n v="23.08"/>
    <n v="3"/>
    <n v="-10.96"/>
    <x v="0"/>
    <x v="2"/>
  </r>
  <r>
    <n v="44933"/>
    <x v="685"/>
    <x v="0"/>
    <x v="0"/>
    <x v="0"/>
    <x v="1427"/>
    <n v="25.92"/>
    <n v="5"/>
    <n v="9.07"/>
    <x v="0"/>
    <x v="2"/>
  </r>
  <r>
    <n v="44934"/>
    <x v="4"/>
    <x v="21"/>
    <x v="1"/>
    <x v="11"/>
    <x v="1028"/>
    <n v="1565.88"/>
    <n v="6"/>
    <n v="407.13"/>
    <x v="0"/>
    <x v="2"/>
  </r>
  <r>
    <n v="44934"/>
    <x v="4"/>
    <x v="21"/>
    <x v="0"/>
    <x v="3"/>
    <x v="958"/>
    <n v="106.05"/>
    <n v="7"/>
    <n v="49.84"/>
    <x v="0"/>
    <x v="2"/>
  </r>
  <r>
    <n v="44934"/>
    <x v="6"/>
    <x v="25"/>
    <x v="0"/>
    <x v="3"/>
    <x v="1245"/>
    <n v="30.83"/>
    <n v="7"/>
    <n v="-24.66"/>
    <x v="0"/>
    <x v="2"/>
  </r>
  <r>
    <n v="44934"/>
    <x v="6"/>
    <x v="25"/>
    <x v="0"/>
    <x v="4"/>
    <x v="262"/>
    <n v="47.62"/>
    <n v="3"/>
    <n v="5.95"/>
    <x v="0"/>
    <x v="2"/>
  </r>
  <r>
    <n v="44934"/>
    <x v="6"/>
    <x v="25"/>
    <x v="2"/>
    <x v="6"/>
    <x v="1619"/>
    <n v="108.78"/>
    <n v="2"/>
    <n v="10.88"/>
    <x v="0"/>
    <x v="2"/>
  </r>
  <r>
    <n v="44935"/>
    <x v="174"/>
    <x v="3"/>
    <x v="2"/>
    <x v="9"/>
    <x v="1620"/>
    <n v="349.95"/>
    <n v="5"/>
    <n v="118.98"/>
    <x v="0"/>
    <x v="2"/>
  </r>
  <r>
    <n v="44935"/>
    <x v="174"/>
    <x v="3"/>
    <x v="2"/>
    <x v="6"/>
    <x v="432"/>
    <n v="377.93"/>
    <n v="9"/>
    <n v="141.72"/>
    <x v="0"/>
    <x v="2"/>
  </r>
  <r>
    <n v="44935"/>
    <x v="591"/>
    <x v="10"/>
    <x v="1"/>
    <x v="8"/>
    <x v="1336"/>
    <n v="15.17"/>
    <n v="2"/>
    <n v="3.79"/>
    <x v="0"/>
    <x v="2"/>
  </r>
  <r>
    <n v="44936"/>
    <x v="127"/>
    <x v="22"/>
    <x v="1"/>
    <x v="8"/>
    <x v="408"/>
    <n v="79.92"/>
    <n v="4"/>
    <n v="34.369999999999997"/>
    <x v="0"/>
    <x v="2"/>
  </r>
  <r>
    <n v="44936"/>
    <x v="127"/>
    <x v="22"/>
    <x v="2"/>
    <x v="9"/>
    <x v="1569"/>
    <n v="69.98"/>
    <n v="2"/>
    <n v="13.3"/>
    <x v="0"/>
    <x v="2"/>
  </r>
  <r>
    <n v="44936"/>
    <x v="733"/>
    <x v="22"/>
    <x v="1"/>
    <x v="8"/>
    <x v="20"/>
    <n v="24.85"/>
    <n v="5"/>
    <n v="7.7"/>
    <x v="0"/>
    <x v="2"/>
  </r>
  <r>
    <n v="44937"/>
    <x v="354"/>
    <x v="10"/>
    <x v="0"/>
    <x v="0"/>
    <x v="507"/>
    <n v="15.55"/>
    <n v="3"/>
    <n v="5.44"/>
    <x v="0"/>
    <x v="2"/>
  </r>
  <r>
    <n v="44937"/>
    <x v="354"/>
    <x v="10"/>
    <x v="0"/>
    <x v="0"/>
    <x v="1584"/>
    <n v="63.31"/>
    <n v="3"/>
    <n v="20.58"/>
    <x v="0"/>
    <x v="2"/>
  </r>
  <r>
    <n v="44937"/>
    <x v="354"/>
    <x v="10"/>
    <x v="2"/>
    <x v="6"/>
    <x v="1621"/>
    <n v="15.59"/>
    <n v="2"/>
    <n v="-9.8699999999999992"/>
    <x v="0"/>
    <x v="2"/>
  </r>
  <r>
    <n v="44937"/>
    <x v="114"/>
    <x v="10"/>
    <x v="1"/>
    <x v="8"/>
    <x v="55"/>
    <n v="54.99"/>
    <n v="14"/>
    <n v="8.94"/>
    <x v="0"/>
    <x v="2"/>
  </r>
  <r>
    <n v="44940"/>
    <x v="643"/>
    <x v="25"/>
    <x v="0"/>
    <x v="0"/>
    <x v="1033"/>
    <n v="89.57"/>
    <n v="2"/>
    <n v="32.47"/>
    <x v="0"/>
    <x v="2"/>
  </r>
  <r>
    <n v="44940"/>
    <x v="643"/>
    <x v="25"/>
    <x v="1"/>
    <x v="8"/>
    <x v="1622"/>
    <n v="315.77999999999997"/>
    <n v="8"/>
    <n v="31.58"/>
    <x v="0"/>
    <x v="2"/>
  </r>
  <r>
    <n v="44941"/>
    <x v="222"/>
    <x v="23"/>
    <x v="0"/>
    <x v="10"/>
    <x v="1077"/>
    <n v="52.34"/>
    <n v="2"/>
    <n v="24.6"/>
    <x v="0"/>
    <x v="2"/>
  </r>
  <r>
    <n v="44941"/>
    <x v="222"/>
    <x v="23"/>
    <x v="0"/>
    <x v="4"/>
    <x v="208"/>
    <n v="4.66"/>
    <n v="2"/>
    <n v="1.35"/>
    <x v="0"/>
    <x v="2"/>
  </r>
  <r>
    <n v="44941"/>
    <x v="222"/>
    <x v="23"/>
    <x v="2"/>
    <x v="9"/>
    <x v="711"/>
    <n v="254.97"/>
    <n v="3"/>
    <n v="91.79"/>
    <x v="0"/>
    <x v="2"/>
  </r>
  <r>
    <n v="44941"/>
    <x v="554"/>
    <x v="37"/>
    <x v="1"/>
    <x v="13"/>
    <x v="931"/>
    <n v="181.8"/>
    <n v="1"/>
    <n v="-15.58"/>
    <x v="0"/>
    <x v="2"/>
  </r>
  <r>
    <n v="44941"/>
    <x v="494"/>
    <x v="20"/>
    <x v="0"/>
    <x v="10"/>
    <x v="1531"/>
    <n v="16.52"/>
    <n v="4"/>
    <n v="7.6"/>
    <x v="0"/>
    <x v="2"/>
  </r>
  <r>
    <n v="44941"/>
    <x v="494"/>
    <x v="20"/>
    <x v="0"/>
    <x v="0"/>
    <x v="1215"/>
    <n v="60.12"/>
    <n v="9"/>
    <n v="28.86"/>
    <x v="0"/>
    <x v="2"/>
  </r>
  <r>
    <n v="44941"/>
    <x v="494"/>
    <x v="20"/>
    <x v="0"/>
    <x v="3"/>
    <x v="739"/>
    <n v="49.54"/>
    <n v="3"/>
    <n v="17.34"/>
    <x v="0"/>
    <x v="2"/>
  </r>
  <r>
    <n v="44941"/>
    <x v="734"/>
    <x v="20"/>
    <x v="0"/>
    <x v="0"/>
    <x v="1025"/>
    <n v="81.98"/>
    <n v="2"/>
    <n v="40.17"/>
    <x v="0"/>
    <x v="2"/>
  </r>
  <r>
    <n v="44942"/>
    <x v="281"/>
    <x v="3"/>
    <x v="0"/>
    <x v="3"/>
    <x v="1045"/>
    <n v="11.65"/>
    <n v="2"/>
    <n v="4.22"/>
    <x v="0"/>
    <x v="2"/>
  </r>
  <r>
    <n v="44942"/>
    <x v="281"/>
    <x v="3"/>
    <x v="2"/>
    <x v="9"/>
    <x v="1623"/>
    <n v="90.57"/>
    <n v="3"/>
    <n v="11.77"/>
    <x v="0"/>
    <x v="2"/>
  </r>
  <r>
    <n v="44943"/>
    <x v="684"/>
    <x v="38"/>
    <x v="1"/>
    <x v="8"/>
    <x v="1573"/>
    <n v="322.58999999999997"/>
    <n v="3"/>
    <n v="64.52"/>
    <x v="0"/>
    <x v="2"/>
  </r>
  <r>
    <n v="44943"/>
    <x v="684"/>
    <x v="38"/>
    <x v="2"/>
    <x v="9"/>
    <x v="33"/>
    <n v="29.99"/>
    <n v="1"/>
    <n v="13.2"/>
    <x v="0"/>
    <x v="2"/>
  </r>
  <r>
    <n v="44943"/>
    <x v="684"/>
    <x v="38"/>
    <x v="2"/>
    <x v="9"/>
    <x v="1464"/>
    <n v="371.97"/>
    <n v="3"/>
    <n v="66.95"/>
    <x v="0"/>
    <x v="2"/>
  </r>
  <r>
    <n v="44943"/>
    <x v="729"/>
    <x v="4"/>
    <x v="2"/>
    <x v="9"/>
    <x v="1151"/>
    <n v="316"/>
    <n v="4"/>
    <n v="31.6"/>
    <x v="0"/>
    <x v="2"/>
  </r>
  <r>
    <n v="44947"/>
    <x v="210"/>
    <x v="3"/>
    <x v="1"/>
    <x v="5"/>
    <x v="796"/>
    <n v="153.57"/>
    <n v="2"/>
    <n v="-5.76"/>
    <x v="0"/>
    <x v="2"/>
  </r>
  <r>
    <n v="44947"/>
    <x v="210"/>
    <x v="3"/>
    <x v="1"/>
    <x v="5"/>
    <x v="1434"/>
    <n v="1013.49"/>
    <n v="7"/>
    <n v="76.010000000000005"/>
    <x v="0"/>
    <x v="2"/>
  </r>
  <r>
    <n v="44948"/>
    <x v="194"/>
    <x v="23"/>
    <x v="0"/>
    <x v="7"/>
    <x v="1371"/>
    <n v="7.56"/>
    <n v="6"/>
    <n v="0.3"/>
    <x v="0"/>
    <x v="2"/>
  </r>
  <r>
    <n v="44948"/>
    <x v="695"/>
    <x v="25"/>
    <x v="1"/>
    <x v="8"/>
    <x v="928"/>
    <n v="14.27"/>
    <n v="8"/>
    <n v="4.28"/>
    <x v="0"/>
    <x v="2"/>
  </r>
  <r>
    <n v="44948"/>
    <x v="695"/>
    <x v="25"/>
    <x v="1"/>
    <x v="11"/>
    <x v="1425"/>
    <n v="451.14"/>
    <n v="4"/>
    <n v="-67.67"/>
    <x v="0"/>
    <x v="2"/>
  </r>
  <r>
    <n v="44948"/>
    <x v="695"/>
    <x v="25"/>
    <x v="0"/>
    <x v="12"/>
    <x v="38"/>
    <n v="64.86"/>
    <n v="4"/>
    <n v="6.49"/>
    <x v="0"/>
    <x v="2"/>
  </r>
  <r>
    <n v="44948"/>
    <x v="202"/>
    <x v="22"/>
    <x v="1"/>
    <x v="8"/>
    <x v="466"/>
    <n v="109.9"/>
    <n v="5"/>
    <n v="37.369999999999997"/>
    <x v="0"/>
    <x v="2"/>
  </r>
  <r>
    <n v="44948"/>
    <x v="387"/>
    <x v="22"/>
    <x v="0"/>
    <x v="0"/>
    <x v="1587"/>
    <n v="12.96"/>
    <n v="2"/>
    <n v="6.22"/>
    <x v="0"/>
    <x v="2"/>
  </r>
  <r>
    <n v="44948"/>
    <x v="558"/>
    <x v="3"/>
    <x v="0"/>
    <x v="1"/>
    <x v="983"/>
    <n v="44.4"/>
    <n v="3"/>
    <n v="22.2"/>
    <x v="0"/>
    <x v="2"/>
  </r>
  <r>
    <n v="44948"/>
    <x v="558"/>
    <x v="3"/>
    <x v="0"/>
    <x v="1"/>
    <x v="218"/>
    <n v="20.65"/>
    <n v="5"/>
    <n v="9.5"/>
    <x v="0"/>
    <x v="2"/>
  </r>
  <r>
    <n v="44948"/>
    <x v="214"/>
    <x v="10"/>
    <x v="2"/>
    <x v="6"/>
    <x v="527"/>
    <n v="110.38"/>
    <n v="4"/>
    <n v="-20.239999999999998"/>
    <x v="0"/>
    <x v="2"/>
  </r>
  <r>
    <n v="44948"/>
    <x v="214"/>
    <x v="10"/>
    <x v="2"/>
    <x v="9"/>
    <x v="1273"/>
    <n v="55.18"/>
    <n v="3"/>
    <n v="15.86"/>
    <x v="0"/>
    <x v="2"/>
  </r>
  <r>
    <n v="44948"/>
    <x v="263"/>
    <x v="20"/>
    <x v="0"/>
    <x v="3"/>
    <x v="647"/>
    <n v="26.34"/>
    <n v="4"/>
    <n v="9.2200000000000006"/>
    <x v="0"/>
    <x v="2"/>
  </r>
  <r>
    <n v="44949"/>
    <x v="710"/>
    <x v="3"/>
    <x v="1"/>
    <x v="8"/>
    <x v="635"/>
    <n v="59.99"/>
    <n v="7"/>
    <n v="21.6"/>
    <x v="0"/>
    <x v="2"/>
  </r>
  <r>
    <n v="44949"/>
    <x v="595"/>
    <x v="45"/>
    <x v="2"/>
    <x v="9"/>
    <x v="265"/>
    <n v="99.98"/>
    <n v="2"/>
    <n v="42.99"/>
    <x v="0"/>
    <x v="2"/>
  </r>
  <r>
    <n v="44949"/>
    <x v="595"/>
    <x v="45"/>
    <x v="0"/>
    <x v="4"/>
    <x v="1624"/>
    <n v="8.0399999999999991"/>
    <n v="6"/>
    <n v="2.73"/>
    <x v="0"/>
    <x v="2"/>
  </r>
  <r>
    <n v="44949"/>
    <x v="595"/>
    <x v="45"/>
    <x v="0"/>
    <x v="2"/>
    <x v="1407"/>
    <n v="1564.29"/>
    <n v="13"/>
    <n v="406.72"/>
    <x v="0"/>
    <x v="2"/>
  </r>
  <r>
    <n v="44950"/>
    <x v="418"/>
    <x v="29"/>
    <x v="0"/>
    <x v="3"/>
    <x v="1274"/>
    <n v="31.36"/>
    <n v="4"/>
    <n v="15.68"/>
    <x v="0"/>
    <x v="2"/>
  </r>
  <r>
    <n v="44951"/>
    <x v="735"/>
    <x v="23"/>
    <x v="0"/>
    <x v="4"/>
    <x v="1625"/>
    <n v="9.2100000000000009"/>
    <n v="3"/>
    <n v="2.2999999999999998"/>
    <x v="0"/>
    <x v="2"/>
  </r>
  <r>
    <n v="44951"/>
    <x v="735"/>
    <x v="23"/>
    <x v="0"/>
    <x v="0"/>
    <x v="1626"/>
    <n v="18"/>
    <n v="5"/>
    <n v="8.2799999999999994"/>
    <x v="0"/>
    <x v="2"/>
  </r>
  <r>
    <n v="44951"/>
    <x v="104"/>
    <x v="20"/>
    <x v="0"/>
    <x v="3"/>
    <x v="39"/>
    <n v="43.12"/>
    <n v="5"/>
    <n v="15.09"/>
    <x v="0"/>
    <x v="2"/>
  </r>
  <r>
    <n v="44951"/>
    <x v="104"/>
    <x v="20"/>
    <x v="1"/>
    <x v="13"/>
    <x v="1348"/>
    <n v="313.72000000000003"/>
    <n v="3"/>
    <n v="-99.35"/>
    <x v="0"/>
    <x v="2"/>
  </r>
  <r>
    <n v="44951"/>
    <x v="104"/>
    <x v="20"/>
    <x v="1"/>
    <x v="8"/>
    <x v="282"/>
    <n v="45.98"/>
    <n v="1"/>
    <n v="7.82"/>
    <x v="0"/>
    <x v="2"/>
  </r>
  <r>
    <n v="44951"/>
    <x v="104"/>
    <x v="20"/>
    <x v="0"/>
    <x v="2"/>
    <x v="62"/>
    <n v="428.68"/>
    <n v="7"/>
    <n v="0"/>
    <x v="0"/>
    <x v="2"/>
  </r>
  <r>
    <n v="44954"/>
    <x v="418"/>
    <x v="3"/>
    <x v="0"/>
    <x v="4"/>
    <x v="137"/>
    <n v="39.68"/>
    <n v="2"/>
    <n v="10.32"/>
    <x v="0"/>
    <x v="2"/>
  </r>
  <r>
    <n v="44956"/>
    <x v="467"/>
    <x v="3"/>
    <x v="0"/>
    <x v="3"/>
    <x v="1480"/>
    <n v="17.46"/>
    <n v="2"/>
    <n v="5.89"/>
    <x v="0"/>
    <x v="2"/>
  </r>
  <r>
    <n v="44956"/>
    <x v="236"/>
    <x v="3"/>
    <x v="0"/>
    <x v="2"/>
    <x v="865"/>
    <n v="305.01"/>
    <n v="9"/>
    <n v="76.25"/>
    <x v="0"/>
    <x v="2"/>
  </r>
  <r>
    <n v="44956"/>
    <x v="236"/>
    <x v="3"/>
    <x v="0"/>
    <x v="3"/>
    <x v="1469"/>
    <n v="50.78"/>
    <n v="2"/>
    <n v="17.77"/>
    <x v="0"/>
    <x v="2"/>
  </r>
  <r>
    <n v="44956"/>
    <x v="236"/>
    <x v="3"/>
    <x v="0"/>
    <x v="1"/>
    <x v="912"/>
    <n v="26.01"/>
    <n v="9"/>
    <n v="12.22"/>
    <x v="0"/>
    <x v="2"/>
  </r>
  <r>
    <n v="44956"/>
    <x v="560"/>
    <x v="22"/>
    <x v="1"/>
    <x v="5"/>
    <x v="1627"/>
    <n v="435.17"/>
    <n v="4"/>
    <n v="-59.84"/>
    <x v="0"/>
    <x v="2"/>
  </r>
  <r>
    <n v="44956"/>
    <x v="560"/>
    <x v="22"/>
    <x v="1"/>
    <x v="11"/>
    <x v="683"/>
    <n v="48.58"/>
    <n v="1"/>
    <n v="7.77"/>
    <x v="0"/>
    <x v="2"/>
  </r>
  <r>
    <n v="44956"/>
    <x v="736"/>
    <x v="1"/>
    <x v="0"/>
    <x v="0"/>
    <x v="1566"/>
    <n v="156.51"/>
    <n v="4"/>
    <n v="52.82"/>
    <x v="0"/>
    <x v="2"/>
  </r>
  <r>
    <n v="44956"/>
    <x v="447"/>
    <x v="1"/>
    <x v="2"/>
    <x v="6"/>
    <x v="1628"/>
    <n v="1439.97"/>
    <n v="4"/>
    <n v="144"/>
    <x v="0"/>
    <x v="2"/>
  </r>
  <r>
    <n v="44956"/>
    <x v="447"/>
    <x v="1"/>
    <x v="0"/>
    <x v="3"/>
    <x v="549"/>
    <n v="1.73"/>
    <n v="3"/>
    <n v="-2.68"/>
    <x v="0"/>
    <x v="2"/>
  </r>
  <r>
    <n v="44956"/>
    <x v="447"/>
    <x v="1"/>
    <x v="1"/>
    <x v="13"/>
    <x v="1629"/>
    <n v="626.1"/>
    <n v="3"/>
    <n v="-538.45000000000005"/>
    <x v="0"/>
    <x v="2"/>
  </r>
  <r>
    <n v="44957"/>
    <x v="90"/>
    <x v="3"/>
    <x v="2"/>
    <x v="6"/>
    <x v="1492"/>
    <n v="109.59"/>
    <n v="1"/>
    <n v="8.2200000000000006"/>
    <x v="0"/>
    <x v="2"/>
  </r>
  <r>
    <n v="44957"/>
    <x v="90"/>
    <x v="3"/>
    <x v="0"/>
    <x v="0"/>
    <x v="371"/>
    <n v="56.7"/>
    <n v="5"/>
    <n v="27.78"/>
    <x v="0"/>
    <x v="2"/>
  </r>
  <r>
    <n v="44957"/>
    <x v="69"/>
    <x v="0"/>
    <x v="0"/>
    <x v="0"/>
    <x v="721"/>
    <n v="15.55"/>
    <n v="3"/>
    <n v="5.44"/>
    <x v="0"/>
    <x v="2"/>
  </r>
  <r>
    <n v="44957"/>
    <x v="527"/>
    <x v="23"/>
    <x v="0"/>
    <x v="10"/>
    <x v="21"/>
    <n v="23.36"/>
    <n v="2"/>
    <n v="11.68"/>
    <x v="0"/>
    <x v="2"/>
  </r>
  <r>
    <n v="44957"/>
    <x v="151"/>
    <x v="4"/>
    <x v="0"/>
    <x v="3"/>
    <x v="1030"/>
    <n v="1270.99"/>
    <n v="1"/>
    <n v="635.5"/>
    <x v="0"/>
    <x v="2"/>
  </r>
  <r>
    <n v="44957"/>
    <x v="151"/>
    <x v="4"/>
    <x v="0"/>
    <x v="10"/>
    <x v="858"/>
    <n v="125.36"/>
    <n v="8"/>
    <n v="58.92"/>
    <x v="0"/>
    <x v="2"/>
  </r>
  <r>
    <n v="44958"/>
    <x v="38"/>
    <x v="6"/>
    <x v="0"/>
    <x v="2"/>
    <x v="350"/>
    <n v="56.45"/>
    <n v="5"/>
    <n v="14.68"/>
    <x v="1"/>
    <x v="2"/>
  </r>
  <r>
    <n v="44958"/>
    <x v="436"/>
    <x v="3"/>
    <x v="0"/>
    <x v="0"/>
    <x v="1272"/>
    <n v="105.52"/>
    <n v="4"/>
    <n v="48.54"/>
    <x v="1"/>
    <x v="2"/>
  </r>
  <r>
    <n v="44959"/>
    <x v="579"/>
    <x v="20"/>
    <x v="0"/>
    <x v="2"/>
    <x v="1471"/>
    <n v="117.96"/>
    <n v="2"/>
    <n v="5.9"/>
    <x v="1"/>
    <x v="2"/>
  </r>
  <r>
    <n v="44959"/>
    <x v="145"/>
    <x v="6"/>
    <x v="2"/>
    <x v="15"/>
    <x v="846"/>
    <n v="8749.9500000000007"/>
    <n v="5"/>
    <n v="2799.98"/>
    <x v="1"/>
    <x v="2"/>
  </r>
  <r>
    <n v="44959"/>
    <x v="145"/>
    <x v="6"/>
    <x v="0"/>
    <x v="3"/>
    <x v="475"/>
    <n v="36.4"/>
    <n v="8"/>
    <n v="18.2"/>
    <x v="1"/>
    <x v="2"/>
  </r>
  <r>
    <n v="44959"/>
    <x v="145"/>
    <x v="6"/>
    <x v="1"/>
    <x v="8"/>
    <x v="533"/>
    <n v="18.690000000000001"/>
    <n v="7"/>
    <n v="7.1"/>
    <x v="1"/>
    <x v="2"/>
  </r>
  <r>
    <n v="44959"/>
    <x v="270"/>
    <x v="0"/>
    <x v="1"/>
    <x v="8"/>
    <x v="1630"/>
    <n v="73.78"/>
    <n v="2"/>
    <n v="-77.47"/>
    <x v="1"/>
    <x v="2"/>
  </r>
  <r>
    <n v="44960"/>
    <x v="31"/>
    <x v="5"/>
    <x v="1"/>
    <x v="5"/>
    <x v="395"/>
    <n v="866.4"/>
    <n v="4"/>
    <n v="225.26"/>
    <x v="1"/>
    <x v="2"/>
  </r>
  <r>
    <n v="44961"/>
    <x v="463"/>
    <x v="12"/>
    <x v="1"/>
    <x v="8"/>
    <x v="682"/>
    <n v="14.37"/>
    <n v="2"/>
    <n v="3.95"/>
    <x v="1"/>
    <x v="2"/>
  </r>
  <r>
    <n v="44961"/>
    <x v="389"/>
    <x v="36"/>
    <x v="2"/>
    <x v="6"/>
    <x v="80"/>
    <n v="90.48"/>
    <n v="2"/>
    <n v="23.52"/>
    <x v="1"/>
    <x v="2"/>
  </r>
  <r>
    <n v="44961"/>
    <x v="403"/>
    <x v="3"/>
    <x v="0"/>
    <x v="2"/>
    <x v="264"/>
    <n v="93.02"/>
    <n v="2"/>
    <n v="3.72"/>
    <x v="1"/>
    <x v="2"/>
  </r>
  <r>
    <n v="44962"/>
    <x v="367"/>
    <x v="4"/>
    <x v="0"/>
    <x v="2"/>
    <x v="144"/>
    <n v="80.98"/>
    <n v="1"/>
    <n v="1.62"/>
    <x v="1"/>
    <x v="2"/>
  </r>
  <r>
    <n v="44962"/>
    <x v="367"/>
    <x v="4"/>
    <x v="0"/>
    <x v="0"/>
    <x v="655"/>
    <n v="348.84"/>
    <n v="9"/>
    <n v="170.93"/>
    <x v="1"/>
    <x v="2"/>
  </r>
  <r>
    <n v="44962"/>
    <x v="367"/>
    <x v="4"/>
    <x v="0"/>
    <x v="7"/>
    <x v="828"/>
    <n v="9.4499999999999993"/>
    <n v="5"/>
    <n v="0.19"/>
    <x v="1"/>
    <x v="2"/>
  </r>
  <r>
    <n v="44962"/>
    <x v="367"/>
    <x v="4"/>
    <x v="1"/>
    <x v="8"/>
    <x v="1012"/>
    <n v="18.84"/>
    <n v="3"/>
    <n v="7.16"/>
    <x v="1"/>
    <x v="2"/>
  </r>
  <r>
    <n v="44962"/>
    <x v="367"/>
    <x v="4"/>
    <x v="1"/>
    <x v="11"/>
    <x v="1049"/>
    <n v="239.98"/>
    <n v="2"/>
    <n v="52.8"/>
    <x v="1"/>
    <x v="2"/>
  </r>
  <r>
    <n v="44962"/>
    <x v="367"/>
    <x v="4"/>
    <x v="0"/>
    <x v="10"/>
    <x v="1042"/>
    <n v="167.96"/>
    <n v="2"/>
    <n v="78.94"/>
    <x v="1"/>
    <x v="2"/>
  </r>
  <r>
    <n v="44962"/>
    <x v="367"/>
    <x v="4"/>
    <x v="2"/>
    <x v="6"/>
    <x v="503"/>
    <n v="104.85"/>
    <n v="3"/>
    <n v="28.31"/>
    <x v="1"/>
    <x v="2"/>
  </r>
  <r>
    <n v="44962"/>
    <x v="367"/>
    <x v="4"/>
    <x v="2"/>
    <x v="6"/>
    <x v="86"/>
    <n v="484.83"/>
    <n v="3"/>
    <n v="126.06"/>
    <x v="1"/>
    <x v="2"/>
  </r>
  <r>
    <n v="44962"/>
    <x v="367"/>
    <x v="4"/>
    <x v="0"/>
    <x v="0"/>
    <x v="1289"/>
    <n v="122.97"/>
    <n v="3"/>
    <n v="60.26"/>
    <x v="1"/>
    <x v="2"/>
  </r>
  <r>
    <n v="44962"/>
    <x v="367"/>
    <x v="4"/>
    <x v="0"/>
    <x v="2"/>
    <x v="627"/>
    <n v="154.44"/>
    <n v="3"/>
    <n v="1.54"/>
    <x v="1"/>
    <x v="2"/>
  </r>
  <r>
    <n v="44962"/>
    <x v="367"/>
    <x v="4"/>
    <x v="0"/>
    <x v="0"/>
    <x v="1566"/>
    <n v="342.37"/>
    <n v="7"/>
    <n v="160.91"/>
    <x v="1"/>
    <x v="2"/>
  </r>
  <r>
    <n v="44962"/>
    <x v="86"/>
    <x v="3"/>
    <x v="0"/>
    <x v="1"/>
    <x v="1"/>
    <n v="14.73"/>
    <n v="3"/>
    <n v="7.22"/>
    <x v="1"/>
    <x v="2"/>
  </r>
  <r>
    <n v="44962"/>
    <x v="86"/>
    <x v="3"/>
    <x v="0"/>
    <x v="2"/>
    <x v="892"/>
    <n v="186.54"/>
    <n v="3"/>
    <n v="50.37"/>
    <x v="1"/>
    <x v="2"/>
  </r>
  <r>
    <n v="44962"/>
    <x v="86"/>
    <x v="3"/>
    <x v="1"/>
    <x v="13"/>
    <x v="1348"/>
    <n v="557.73"/>
    <n v="4"/>
    <n v="6.97"/>
    <x v="1"/>
    <x v="2"/>
  </r>
  <r>
    <n v="44962"/>
    <x v="86"/>
    <x v="3"/>
    <x v="2"/>
    <x v="6"/>
    <x v="1631"/>
    <n v="159.97"/>
    <n v="4"/>
    <n v="-31.99"/>
    <x v="1"/>
    <x v="2"/>
  </r>
  <r>
    <n v="44963"/>
    <x v="119"/>
    <x v="15"/>
    <x v="1"/>
    <x v="8"/>
    <x v="392"/>
    <n v="132.22"/>
    <n v="4"/>
    <n v="-18.18"/>
    <x v="1"/>
    <x v="2"/>
  </r>
  <r>
    <n v="44964"/>
    <x v="103"/>
    <x v="6"/>
    <x v="2"/>
    <x v="9"/>
    <x v="1598"/>
    <n v="100"/>
    <n v="4"/>
    <n v="21"/>
    <x v="1"/>
    <x v="2"/>
  </r>
  <r>
    <n v="44964"/>
    <x v="103"/>
    <x v="6"/>
    <x v="0"/>
    <x v="1"/>
    <x v="1046"/>
    <n v="7.83"/>
    <n v="3"/>
    <n v="3.6"/>
    <x v="1"/>
    <x v="2"/>
  </r>
  <r>
    <n v="44964"/>
    <x v="737"/>
    <x v="10"/>
    <x v="0"/>
    <x v="0"/>
    <x v="1011"/>
    <n v="30.35"/>
    <n v="2"/>
    <n v="10.62"/>
    <x v="1"/>
    <x v="2"/>
  </r>
  <r>
    <n v="44964"/>
    <x v="732"/>
    <x v="3"/>
    <x v="2"/>
    <x v="6"/>
    <x v="1426"/>
    <n v="623.96"/>
    <n v="5"/>
    <n v="39"/>
    <x v="1"/>
    <x v="2"/>
  </r>
  <r>
    <n v="44965"/>
    <x v="662"/>
    <x v="25"/>
    <x v="2"/>
    <x v="6"/>
    <x v="1442"/>
    <n v="1127.98"/>
    <n v="3"/>
    <n v="126.9"/>
    <x v="1"/>
    <x v="2"/>
  </r>
  <r>
    <n v="44965"/>
    <x v="36"/>
    <x v="0"/>
    <x v="1"/>
    <x v="5"/>
    <x v="123"/>
    <n v="241.5"/>
    <n v="4"/>
    <n v="0"/>
    <x v="1"/>
    <x v="2"/>
  </r>
  <r>
    <n v="44966"/>
    <x v="691"/>
    <x v="3"/>
    <x v="2"/>
    <x v="9"/>
    <x v="33"/>
    <n v="89.97"/>
    <n v="3"/>
    <n v="39.590000000000003"/>
    <x v="1"/>
    <x v="2"/>
  </r>
  <r>
    <n v="44966"/>
    <x v="691"/>
    <x v="3"/>
    <x v="2"/>
    <x v="9"/>
    <x v="1594"/>
    <n v="31.86"/>
    <n v="2"/>
    <n v="11.15"/>
    <x v="1"/>
    <x v="2"/>
  </r>
  <r>
    <n v="44968"/>
    <x v="532"/>
    <x v="39"/>
    <x v="2"/>
    <x v="6"/>
    <x v="1201"/>
    <n v="69.930000000000007"/>
    <n v="7"/>
    <n v="0.7"/>
    <x v="1"/>
    <x v="2"/>
  </r>
  <r>
    <n v="44969"/>
    <x v="143"/>
    <x v="4"/>
    <x v="0"/>
    <x v="2"/>
    <x v="1002"/>
    <n v="1350.12"/>
    <n v="6"/>
    <n v="175.52"/>
    <x v="1"/>
    <x v="2"/>
  </r>
  <r>
    <n v="44969"/>
    <x v="143"/>
    <x v="4"/>
    <x v="0"/>
    <x v="3"/>
    <x v="881"/>
    <n v="15.92"/>
    <n v="4"/>
    <n v="7.48"/>
    <x v="1"/>
    <x v="2"/>
  </r>
  <r>
    <n v="44970"/>
    <x v="476"/>
    <x v="3"/>
    <x v="0"/>
    <x v="0"/>
    <x v="900"/>
    <n v="146.82"/>
    <n v="3"/>
    <n v="73.41"/>
    <x v="1"/>
    <x v="2"/>
  </r>
  <r>
    <n v="44971"/>
    <x v="610"/>
    <x v="36"/>
    <x v="0"/>
    <x v="0"/>
    <x v="1236"/>
    <n v="4.7699999999999996"/>
    <n v="1"/>
    <n v="2.15"/>
    <x v="1"/>
    <x v="2"/>
  </r>
  <r>
    <n v="44971"/>
    <x v="610"/>
    <x v="36"/>
    <x v="0"/>
    <x v="4"/>
    <x v="158"/>
    <n v="7.98"/>
    <n v="3"/>
    <n v="2.0699999999999998"/>
    <x v="1"/>
    <x v="2"/>
  </r>
  <r>
    <n v="44971"/>
    <x v="610"/>
    <x v="36"/>
    <x v="1"/>
    <x v="13"/>
    <x v="1036"/>
    <n v="550.42999999999995"/>
    <n v="3"/>
    <n v="-47.18"/>
    <x v="1"/>
    <x v="2"/>
  </r>
  <r>
    <n v="44971"/>
    <x v="610"/>
    <x v="36"/>
    <x v="1"/>
    <x v="8"/>
    <x v="725"/>
    <n v="10.56"/>
    <n v="6"/>
    <n v="4.6500000000000004"/>
    <x v="1"/>
    <x v="2"/>
  </r>
  <r>
    <n v="44971"/>
    <x v="667"/>
    <x v="29"/>
    <x v="0"/>
    <x v="4"/>
    <x v="1007"/>
    <n v="264.18"/>
    <n v="7"/>
    <n v="68.69"/>
    <x v="1"/>
    <x v="2"/>
  </r>
  <r>
    <n v="44972"/>
    <x v="190"/>
    <x v="20"/>
    <x v="0"/>
    <x v="3"/>
    <x v="398"/>
    <n v="398.35"/>
    <n v="3"/>
    <n v="124.49"/>
    <x v="1"/>
    <x v="2"/>
  </r>
  <r>
    <n v="44972"/>
    <x v="190"/>
    <x v="20"/>
    <x v="0"/>
    <x v="7"/>
    <x v="590"/>
    <n v="8.7200000000000006"/>
    <n v="4"/>
    <n v="3.58"/>
    <x v="1"/>
    <x v="2"/>
  </r>
  <r>
    <n v="44973"/>
    <x v="400"/>
    <x v="1"/>
    <x v="0"/>
    <x v="12"/>
    <x v="1632"/>
    <n v="92.06"/>
    <n v="6"/>
    <n v="-225.56"/>
    <x v="1"/>
    <x v="2"/>
  </r>
  <r>
    <n v="44973"/>
    <x v="400"/>
    <x v="1"/>
    <x v="0"/>
    <x v="7"/>
    <x v="590"/>
    <n v="6.98"/>
    <n v="4"/>
    <n v="1.83"/>
    <x v="1"/>
    <x v="2"/>
  </r>
  <r>
    <n v="44973"/>
    <x v="400"/>
    <x v="1"/>
    <x v="1"/>
    <x v="5"/>
    <x v="1004"/>
    <n v="62.96"/>
    <n v="3"/>
    <n v="-2.7"/>
    <x v="1"/>
    <x v="2"/>
  </r>
  <r>
    <n v="44973"/>
    <x v="400"/>
    <x v="1"/>
    <x v="0"/>
    <x v="0"/>
    <x v="1453"/>
    <n v="5.18"/>
    <n v="1"/>
    <n v="1.81"/>
    <x v="1"/>
    <x v="2"/>
  </r>
  <r>
    <n v="44973"/>
    <x v="628"/>
    <x v="23"/>
    <x v="1"/>
    <x v="5"/>
    <x v="1495"/>
    <n v="227.96"/>
    <n v="2"/>
    <n v="36.47"/>
    <x v="1"/>
    <x v="2"/>
  </r>
  <r>
    <n v="44973"/>
    <x v="60"/>
    <x v="5"/>
    <x v="1"/>
    <x v="8"/>
    <x v="1100"/>
    <n v="318.08"/>
    <n v="4"/>
    <n v="34.99"/>
    <x v="1"/>
    <x v="2"/>
  </r>
  <r>
    <n v="44973"/>
    <x v="60"/>
    <x v="5"/>
    <x v="0"/>
    <x v="3"/>
    <x v="1447"/>
    <n v="5.8"/>
    <n v="1"/>
    <n v="2.61"/>
    <x v="1"/>
    <x v="2"/>
  </r>
  <r>
    <n v="44973"/>
    <x v="453"/>
    <x v="20"/>
    <x v="1"/>
    <x v="5"/>
    <x v="1633"/>
    <n v="326.64999999999998"/>
    <n v="3"/>
    <n v="39.92"/>
    <x v="1"/>
    <x v="2"/>
  </r>
  <r>
    <n v="44973"/>
    <x v="453"/>
    <x v="20"/>
    <x v="2"/>
    <x v="9"/>
    <x v="33"/>
    <n v="89.97"/>
    <n v="3"/>
    <n v="39.590000000000003"/>
    <x v="1"/>
    <x v="2"/>
  </r>
  <r>
    <n v="44976"/>
    <x v="217"/>
    <x v="20"/>
    <x v="1"/>
    <x v="8"/>
    <x v="1150"/>
    <n v="44.46"/>
    <n v="2"/>
    <n v="14.67"/>
    <x v="1"/>
    <x v="2"/>
  </r>
  <r>
    <n v="44976"/>
    <x v="217"/>
    <x v="20"/>
    <x v="0"/>
    <x v="2"/>
    <x v="161"/>
    <n v="242.94"/>
    <n v="3"/>
    <n v="9.7200000000000006"/>
    <x v="1"/>
    <x v="2"/>
  </r>
  <r>
    <n v="44976"/>
    <x v="38"/>
    <x v="20"/>
    <x v="0"/>
    <x v="1"/>
    <x v="115"/>
    <n v="8.67"/>
    <n v="3"/>
    <n v="4.07"/>
    <x v="1"/>
    <x v="2"/>
  </r>
  <r>
    <n v="44976"/>
    <x v="38"/>
    <x v="20"/>
    <x v="0"/>
    <x v="14"/>
    <x v="472"/>
    <n v="25.71"/>
    <n v="3"/>
    <n v="6.68"/>
    <x v="1"/>
    <x v="2"/>
  </r>
  <r>
    <n v="44976"/>
    <x v="217"/>
    <x v="3"/>
    <x v="0"/>
    <x v="0"/>
    <x v="1285"/>
    <n v="70.88"/>
    <n v="2"/>
    <n v="33.31"/>
    <x v="1"/>
    <x v="2"/>
  </r>
  <r>
    <n v="44977"/>
    <x v="545"/>
    <x v="15"/>
    <x v="0"/>
    <x v="0"/>
    <x v="1219"/>
    <n v="16.5"/>
    <n v="2"/>
    <n v="5.57"/>
    <x v="1"/>
    <x v="2"/>
  </r>
  <r>
    <n v="44978"/>
    <x v="543"/>
    <x v="3"/>
    <x v="2"/>
    <x v="9"/>
    <x v="410"/>
    <n v="12.99"/>
    <n v="1"/>
    <n v="0.78"/>
    <x v="1"/>
    <x v="2"/>
  </r>
  <r>
    <n v="44978"/>
    <x v="543"/>
    <x v="3"/>
    <x v="0"/>
    <x v="3"/>
    <x v="541"/>
    <n v="18.559999999999999"/>
    <n v="4"/>
    <n v="6.5"/>
    <x v="1"/>
    <x v="2"/>
  </r>
  <r>
    <n v="44978"/>
    <x v="543"/>
    <x v="3"/>
    <x v="0"/>
    <x v="2"/>
    <x v="437"/>
    <n v="449.15"/>
    <n v="5"/>
    <n v="8.98"/>
    <x v="1"/>
    <x v="2"/>
  </r>
  <r>
    <n v="44978"/>
    <x v="543"/>
    <x v="3"/>
    <x v="0"/>
    <x v="3"/>
    <x v="706"/>
    <n v="31.25"/>
    <n v="7"/>
    <n v="10.94"/>
    <x v="1"/>
    <x v="2"/>
  </r>
  <r>
    <n v="44978"/>
    <x v="625"/>
    <x v="20"/>
    <x v="1"/>
    <x v="8"/>
    <x v="568"/>
    <n v="68.95"/>
    <n v="5"/>
    <n v="28.96"/>
    <x v="1"/>
    <x v="2"/>
  </r>
  <r>
    <n v="44978"/>
    <x v="625"/>
    <x v="20"/>
    <x v="0"/>
    <x v="2"/>
    <x v="1080"/>
    <n v="296.37"/>
    <n v="3"/>
    <n v="80.02"/>
    <x v="1"/>
    <x v="2"/>
  </r>
  <r>
    <n v="44978"/>
    <x v="625"/>
    <x v="20"/>
    <x v="2"/>
    <x v="6"/>
    <x v="585"/>
    <n v="39.979999999999997"/>
    <n v="2"/>
    <n v="2"/>
    <x v="1"/>
    <x v="2"/>
  </r>
  <r>
    <n v="44978"/>
    <x v="607"/>
    <x v="16"/>
    <x v="0"/>
    <x v="3"/>
    <x v="950"/>
    <n v="3.76"/>
    <n v="3"/>
    <n v="-2.76"/>
    <x v="1"/>
    <x v="2"/>
  </r>
  <r>
    <n v="44978"/>
    <x v="607"/>
    <x v="16"/>
    <x v="0"/>
    <x v="3"/>
    <x v="396"/>
    <n v="34.86"/>
    <n v="2"/>
    <n v="-26.73"/>
    <x v="1"/>
    <x v="2"/>
  </r>
  <r>
    <n v="44978"/>
    <x v="607"/>
    <x v="16"/>
    <x v="0"/>
    <x v="2"/>
    <x v="1126"/>
    <n v="432.46"/>
    <n v="3"/>
    <n v="32.43"/>
    <x v="1"/>
    <x v="2"/>
  </r>
  <r>
    <n v="44978"/>
    <x v="400"/>
    <x v="20"/>
    <x v="1"/>
    <x v="8"/>
    <x v="1108"/>
    <n v="135.80000000000001"/>
    <n v="7"/>
    <n v="66.540000000000006"/>
    <x v="1"/>
    <x v="2"/>
  </r>
  <r>
    <n v="44979"/>
    <x v="298"/>
    <x v="21"/>
    <x v="0"/>
    <x v="12"/>
    <x v="1217"/>
    <n v="490.32"/>
    <n v="9"/>
    <n v="137.29"/>
    <x v="1"/>
    <x v="2"/>
  </r>
  <r>
    <n v="44979"/>
    <x v="501"/>
    <x v="3"/>
    <x v="2"/>
    <x v="6"/>
    <x v="674"/>
    <n v="445.96"/>
    <n v="5"/>
    <n v="55.75"/>
    <x v="1"/>
    <x v="2"/>
  </r>
  <r>
    <n v="44979"/>
    <x v="501"/>
    <x v="3"/>
    <x v="2"/>
    <x v="9"/>
    <x v="306"/>
    <n v="36.24"/>
    <n v="1"/>
    <n v="15.22"/>
    <x v="1"/>
    <x v="2"/>
  </r>
  <r>
    <n v="44979"/>
    <x v="501"/>
    <x v="3"/>
    <x v="0"/>
    <x v="7"/>
    <x v="648"/>
    <n v="10.65"/>
    <n v="3"/>
    <n v="5.01"/>
    <x v="1"/>
    <x v="2"/>
  </r>
  <r>
    <n v="44980"/>
    <x v="296"/>
    <x v="2"/>
    <x v="0"/>
    <x v="10"/>
    <x v="1270"/>
    <n v="57.58"/>
    <n v="3"/>
    <n v="21.59"/>
    <x v="1"/>
    <x v="2"/>
  </r>
  <r>
    <n v="44982"/>
    <x v="664"/>
    <x v="10"/>
    <x v="0"/>
    <x v="10"/>
    <x v="21"/>
    <n v="46.72"/>
    <n v="5"/>
    <n v="17.52"/>
    <x v="1"/>
    <x v="2"/>
  </r>
  <r>
    <n v="44984"/>
    <x v="275"/>
    <x v="20"/>
    <x v="0"/>
    <x v="12"/>
    <x v="1076"/>
    <n v="170.88"/>
    <n v="3"/>
    <n v="49.56"/>
    <x v="1"/>
    <x v="2"/>
  </r>
  <r>
    <n v="44984"/>
    <x v="34"/>
    <x v="21"/>
    <x v="0"/>
    <x v="3"/>
    <x v="933"/>
    <n v="56.82"/>
    <n v="3"/>
    <n v="28.41"/>
    <x v="1"/>
    <x v="2"/>
  </r>
  <r>
    <n v="44984"/>
    <x v="738"/>
    <x v="0"/>
    <x v="1"/>
    <x v="8"/>
    <x v="1634"/>
    <n v="16.190000000000001"/>
    <n v="2"/>
    <n v="-6.88"/>
    <x v="1"/>
    <x v="2"/>
  </r>
  <r>
    <n v="44985"/>
    <x v="390"/>
    <x v="20"/>
    <x v="0"/>
    <x v="7"/>
    <x v="78"/>
    <n v="36.479999999999997"/>
    <n v="6"/>
    <n v="18.239999999999998"/>
    <x v="1"/>
    <x v="2"/>
  </r>
  <r>
    <n v="44986"/>
    <x v="502"/>
    <x v="20"/>
    <x v="1"/>
    <x v="13"/>
    <x v="1348"/>
    <n v="836.59"/>
    <n v="8"/>
    <n v="-264.92"/>
    <x v="2"/>
    <x v="2"/>
  </r>
  <r>
    <n v="44986"/>
    <x v="502"/>
    <x v="20"/>
    <x v="0"/>
    <x v="0"/>
    <x v="371"/>
    <n v="26.38"/>
    <n v="1"/>
    <n v="12.13"/>
    <x v="2"/>
    <x v="2"/>
  </r>
  <r>
    <n v="44986"/>
    <x v="502"/>
    <x v="20"/>
    <x v="0"/>
    <x v="2"/>
    <x v="986"/>
    <n v="362.92"/>
    <n v="2"/>
    <n v="105.25"/>
    <x v="2"/>
    <x v="2"/>
  </r>
  <r>
    <n v="44986"/>
    <x v="502"/>
    <x v="20"/>
    <x v="2"/>
    <x v="15"/>
    <x v="825"/>
    <n v="4899.93"/>
    <n v="7"/>
    <n v="2400.9699999999998"/>
    <x v="2"/>
    <x v="2"/>
  </r>
  <r>
    <n v="44986"/>
    <x v="402"/>
    <x v="26"/>
    <x v="2"/>
    <x v="6"/>
    <x v="1635"/>
    <n v="159.97999999999999"/>
    <n v="2"/>
    <n v="14"/>
    <x v="2"/>
    <x v="2"/>
  </r>
  <r>
    <n v="44988"/>
    <x v="248"/>
    <x v="7"/>
    <x v="0"/>
    <x v="3"/>
    <x v="413"/>
    <n v="447.86"/>
    <n v="7"/>
    <n v="219.45"/>
    <x v="2"/>
    <x v="2"/>
  </r>
  <r>
    <n v="44988"/>
    <x v="248"/>
    <x v="7"/>
    <x v="2"/>
    <x v="6"/>
    <x v="307"/>
    <n v="479.95"/>
    <n v="5"/>
    <n v="129.59"/>
    <x v="2"/>
    <x v="2"/>
  </r>
  <r>
    <n v="44988"/>
    <x v="248"/>
    <x v="7"/>
    <x v="0"/>
    <x v="0"/>
    <x v="285"/>
    <n v="166.44"/>
    <n v="3"/>
    <n v="79.89"/>
    <x v="2"/>
    <x v="2"/>
  </r>
  <r>
    <n v="44988"/>
    <x v="739"/>
    <x v="0"/>
    <x v="0"/>
    <x v="0"/>
    <x v="1636"/>
    <n v="42.78"/>
    <n v="7"/>
    <n v="15.51"/>
    <x v="2"/>
    <x v="2"/>
  </r>
  <r>
    <n v="44988"/>
    <x v="739"/>
    <x v="0"/>
    <x v="1"/>
    <x v="5"/>
    <x v="868"/>
    <n v="563.42999999999995"/>
    <n v="5"/>
    <n v="-56.34"/>
    <x v="2"/>
    <x v="2"/>
  </r>
  <r>
    <n v="44988"/>
    <x v="583"/>
    <x v="18"/>
    <x v="2"/>
    <x v="6"/>
    <x v="419"/>
    <n v="134.85"/>
    <n v="3"/>
    <n v="37.76"/>
    <x v="2"/>
    <x v="2"/>
  </r>
  <r>
    <n v="44988"/>
    <x v="393"/>
    <x v="0"/>
    <x v="1"/>
    <x v="13"/>
    <x v="1637"/>
    <n v="637.9"/>
    <n v="3"/>
    <n v="-127.58"/>
    <x v="2"/>
    <x v="2"/>
  </r>
  <r>
    <n v="44988"/>
    <x v="393"/>
    <x v="0"/>
    <x v="2"/>
    <x v="15"/>
    <x v="1537"/>
    <n v="287.91000000000003"/>
    <n v="3"/>
    <n v="33.590000000000003"/>
    <x v="2"/>
    <x v="2"/>
  </r>
  <r>
    <n v="44988"/>
    <x v="393"/>
    <x v="0"/>
    <x v="0"/>
    <x v="10"/>
    <x v="1418"/>
    <n v="36.6"/>
    <n v="3"/>
    <n v="11.9"/>
    <x v="2"/>
    <x v="2"/>
  </r>
  <r>
    <n v="44988"/>
    <x v="161"/>
    <x v="3"/>
    <x v="0"/>
    <x v="14"/>
    <x v="1486"/>
    <n v="25.35"/>
    <n v="3"/>
    <n v="7.61"/>
    <x v="2"/>
    <x v="2"/>
  </r>
  <r>
    <n v="44988"/>
    <x v="161"/>
    <x v="3"/>
    <x v="1"/>
    <x v="8"/>
    <x v="1200"/>
    <n v="35.28"/>
    <n v="3"/>
    <n v="12"/>
    <x v="2"/>
    <x v="2"/>
  </r>
  <r>
    <n v="44988"/>
    <x v="116"/>
    <x v="0"/>
    <x v="0"/>
    <x v="14"/>
    <x v="625"/>
    <n v="3930.07"/>
    <n v="3"/>
    <n v="-786.01"/>
    <x v="2"/>
    <x v="2"/>
  </r>
  <r>
    <n v="44988"/>
    <x v="116"/>
    <x v="0"/>
    <x v="0"/>
    <x v="7"/>
    <x v="299"/>
    <n v="2.2999999999999998"/>
    <n v="1"/>
    <n v="0.78"/>
    <x v="2"/>
    <x v="2"/>
  </r>
  <r>
    <n v="44988"/>
    <x v="116"/>
    <x v="0"/>
    <x v="2"/>
    <x v="6"/>
    <x v="570"/>
    <n v="431.98"/>
    <n v="3"/>
    <n v="32.4"/>
    <x v="2"/>
    <x v="2"/>
  </r>
  <r>
    <n v="44988"/>
    <x v="116"/>
    <x v="0"/>
    <x v="2"/>
    <x v="9"/>
    <x v="579"/>
    <n v="41.72"/>
    <n v="7"/>
    <n v="5.74"/>
    <x v="2"/>
    <x v="2"/>
  </r>
  <r>
    <n v="44989"/>
    <x v="588"/>
    <x v="3"/>
    <x v="0"/>
    <x v="4"/>
    <x v="1638"/>
    <n v="16.989999999999998"/>
    <n v="1"/>
    <n v="4.93"/>
    <x v="2"/>
    <x v="2"/>
  </r>
  <r>
    <n v="44989"/>
    <x v="211"/>
    <x v="16"/>
    <x v="0"/>
    <x v="1"/>
    <x v="260"/>
    <n v="10.08"/>
    <n v="4"/>
    <n v="3.53"/>
    <x v="2"/>
    <x v="2"/>
  </r>
  <r>
    <n v="44989"/>
    <x v="247"/>
    <x v="18"/>
    <x v="0"/>
    <x v="3"/>
    <x v="442"/>
    <n v="128.4"/>
    <n v="3"/>
    <n v="64.2"/>
    <x v="2"/>
    <x v="2"/>
  </r>
  <r>
    <n v="44989"/>
    <x v="654"/>
    <x v="38"/>
    <x v="2"/>
    <x v="9"/>
    <x v="615"/>
    <n v="159.97999999999999"/>
    <n v="2"/>
    <n v="57.59"/>
    <x v="2"/>
    <x v="2"/>
  </r>
  <r>
    <n v="44990"/>
    <x v="274"/>
    <x v="0"/>
    <x v="0"/>
    <x v="10"/>
    <x v="323"/>
    <n v="149.35"/>
    <n v="3"/>
    <n v="50.41"/>
    <x v="2"/>
    <x v="2"/>
  </r>
  <r>
    <n v="44990"/>
    <x v="274"/>
    <x v="0"/>
    <x v="0"/>
    <x v="2"/>
    <x v="90"/>
    <n v="12.99"/>
    <n v="1"/>
    <n v="-0.81"/>
    <x v="2"/>
    <x v="2"/>
  </r>
  <r>
    <n v="44991"/>
    <x v="640"/>
    <x v="2"/>
    <x v="2"/>
    <x v="6"/>
    <x v="548"/>
    <n v="431.94"/>
    <n v="2"/>
    <n v="-71.989999999999995"/>
    <x v="2"/>
    <x v="2"/>
  </r>
  <r>
    <n v="44991"/>
    <x v="640"/>
    <x v="2"/>
    <x v="0"/>
    <x v="3"/>
    <x v="876"/>
    <n v="2.04"/>
    <n v="1"/>
    <n v="-1.5"/>
    <x v="2"/>
    <x v="2"/>
  </r>
  <r>
    <n v="44991"/>
    <x v="640"/>
    <x v="2"/>
    <x v="2"/>
    <x v="6"/>
    <x v="450"/>
    <n v="68.239999999999995"/>
    <n v="3"/>
    <n v="-12.51"/>
    <x v="2"/>
    <x v="2"/>
  </r>
  <r>
    <n v="44991"/>
    <x v="641"/>
    <x v="1"/>
    <x v="0"/>
    <x v="12"/>
    <x v="468"/>
    <n v="2.33"/>
    <n v="3"/>
    <n v="-6.3"/>
    <x v="2"/>
    <x v="2"/>
  </r>
  <r>
    <n v="44991"/>
    <x v="641"/>
    <x v="1"/>
    <x v="0"/>
    <x v="3"/>
    <x v="1056"/>
    <n v="1.73"/>
    <n v="4"/>
    <n v="-2.76"/>
    <x v="2"/>
    <x v="2"/>
  </r>
  <r>
    <n v="44991"/>
    <x v="641"/>
    <x v="1"/>
    <x v="1"/>
    <x v="8"/>
    <x v="1100"/>
    <n v="159.04"/>
    <n v="5"/>
    <n v="-194.82"/>
    <x v="2"/>
    <x v="2"/>
  </r>
  <r>
    <n v="44991"/>
    <x v="641"/>
    <x v="1"/>
    <x v="1"/>
    <x v="13"/>
    <x v="1053"/>
    <n v="145.97999999999999"/>
    <n v="2"/>
    <n v="-99.27"/>
    <x v="2"/>
    <x v="2"/>
  </r>
  <r>
    <n v="44992"/>
    <x v="290"/>
    <x v="0"/>
    <x v="2"/>
    <x v="6"/>
    <x v="1639"/>
    <n v="21.07"/>
    <n v="3"/>
    <n v="1.58"/>
    <x v="2"/>
    <x v="2"/>
  </r>
  <r>
    <n v="44993"/>
    <x v="456"/>
    <x v="16"/>
    <x v="2"/>
    <x v="6"/>
    <x v="686"/>
    <n v="1363.96"/>
    <n v="5"/>
    <n v="85.25"/>
    <x v="2"/>
    <x v="2"/>
  </r>
  <r>
    <n v="44993"/>
    <x v="456"/>
    <x v="16"/>
    <x v="1"/>
    <x v="8"/>
    <x v="809"/>
    <n v="102.36"/>
    <n v="3"/>
    <n v="-3.84"/>
    <x v="2"/>
    <x v="2"/>
  </r>
  <r>
    <n v="44993"/>
    <x v="190"/>
    <x v="12"/>
    <x v="0"/>
    <x v="3"/>
    <x v="39"/>
    <n v="9.6999999999999993"/>
    <n v="3"/>
    <n v="-7.11"/>
    <x v="2"/>
    <x v="2"/>
  </r>
  <r>
    <n v="44993"/>
    <x v="280"/>
    <x v="2"/>
    <x v="2"/>
    <x v="6"/>
    <x v="80"/>
    <n v="108.58"/>
    <n v="4"/>
    <n v="-25.33"/>
    <x v="2"/>
    <x v="2"/>
  </r>
  <r>
    <n v="44993"/>
    <x v="280"/>
    <x v="2"/>
    <x v="0"/>
    <x v="7"/>
    <x v="1534"/>
    <n v="5.98"/>
    <n v="2"/>
    <n v="-1.35"/>
    <x v="2"/>
    <x v="2"/>
  </r>
  <r>
    <n v="44993"/>
    <x v="656"/>
    <x v="20"/>
    <x v="1"/>
    <x v="8"/>
    <x v="1231"/>
    <n v="113.6"/>
    <n v="8"/>
    <n v="44.3"/>
    <x v="2"/>
    <x v="2"/>
  </r>
  <r>
    <n v="44993"/>
    <x v="656"/>
    <x v="20"/>
    <x v="0"/>
    <x v="0"/>
    <x v="729"/>
    <n v="12.96"/>
    <n v="2"/>
    <n v="6.35"/>
    <x v="2"/>
    <x v="2"/>
  </r>
  <r>
    <n v="44993"/>
    <x v="656"/>
    <x v="20"/>
    <x v="0"/>
    <x v="3"/>
    <x v="715"/>
    <n v="69.459999999999994"/>
    <n v="2"/>
    <n v="22.57"/>
    <x v="2"/>
    <x v="2"/>
  </r>
  <r>
    <n v="44993"/>
    <x v="694"/>
    <x v="0"/>
    <x v="0"/>
    <x v="3"/>
    <x v="1058"/>
    <n v="8.86"/>
    <n v="9"/>
    <n v="-14.17"/>
    <x v="2"/>
    <x v="2"/>
  </r>
  <r>
    <n v="44993"/>
    <x v="694"/>
    <x v="0"/>
    <x v="2"/>
    <x v="9"/>
    <x v="843"/>
    <n v="27.96"/>
    <n v="5"/>
    <n v="8.39"/>
    <x v="2"/>
    <x v="2"/>
  </r>
  <r>
    <n v="44993"/>
    <x v="694"/>
    <x v="0"/>
    <x v="0"/>
    <x v="10"/>
    <x v="838"/>
    <n v="146.35"/>
    <n v="3"/>
    <n v="49.39"/>
    <x v="2"/>
    <x v="2"/>
  </r>
  <r>
    <n v="44993"/>
    <x v="153"/>
    <x v="14"/>
    <x v="0"/>
    <x v="12"/>
    <x v="1632"/>
    <n v="207.14"/>
    <n v="3"/>
    <n v="48.33"/>
    <x v="2"/>
    <x v="2"/>
  </r>
  <r>
    <n v="44993"/>
    <x v="153"/>
    <x v="14"/>
    <x v="0"/>
    <x v="4"/>
    <x v="531"/>
    <n v="13.9"/>
    <n v="5"/>
    <n v="3.75"/>
    <x v="2"/>
    <x v="2"/>
  </r>
  <r>
    <n v="44994"/>
    <x v="81"/>
    <x v="37"/>
    <x v="2"/>
    <x v="9"/>
    <x v="1253"/>
    <n v="199.75"/>
    <n v="5"/>
    <n v="87.89"/>
    <x v="2"/>
    <x v="2"/>
  </r>
  <r>
    <n v="44994"/>
    <x v="255"/>
    <x v="32"/>
    <x v="0"/>
    <x v="2"/>
    <x v="329"/>
    <n v="11.21"/>
    <n v="1"/>
    <n v="3.36"/>
    <x v="2"/>
    <x v="2"/>
  </r>
  <r>
    <n v="44994"/>
    <x v="255"/>
    <x v="32"/>
    <x v="1"/>
    <x v="5"/>
    <x v="478"/>
    <n v="354.9"/>
    <n v="5"/>
    <n v="88.73"/>
    <x v="2"/>
    <x v="2"/>
  </r>
  <r>
    <n v="44994"/>
    <x v="255"/>
    <x v="32"/>
    <x v="0"/>
    <x v="0"/>
    <x v="1490"/>
    <n v="17.940000000000001"/>
    <n v="3"/>
    <n v="8.7899999999999991"/>
    <x v="2"/>
    <x v="2"/>
  </r>
  <r>
    <n v="44994"/>
    <x v="255"/>
    <x v="32"/>
    <x v="0"/>
    <x v="3"/>
    <x v="1438"/>
    <n v="51.8"/>
    <n v="4"/>
    <n v="23.31"/>
    <x v="2"/>
    <x v="2"/>
  </r>
  <r>
    <n v="44995"/>
    <x v="740"/>
    <x v="20"/>
    <x v="1"/>
    <x v="11"/>
    <x v="469"/>
    <n v="176.78"/>
    <n v="1"/>
    <n v="-22.1"/>
    <x v="2"/>
    <x v="2"/>
  </r>
  <r>
    <n v="44995"/>
    <x v="741"/>
    <x v="2"/>
    <x v="2"/>
    <x v="9"/>
    <x v="399"/>
    <n v="39.99"/>
    <n v="1"/>
    <n v="7.5"/>
    <x v="2"/>
    <x v="2"/>
  </r>
  <r>
    <n v="44995"/>
    <x v="432"/>
    <x v="3"/>
    <x v="0"/>
    <x v="0"/>
    <x v="1228"/>
    <n v="14.9"/>
    <n v="5"/>
    <n v="7.15"/>
    <x v="2"/>
    <x v="2"/>
  </r>
  <r>
    <n v="44995"/>
    <x v="432"/>
    <x v="3"/>
    <x v="2"/>
    <x v="6"/>
    <x v="402"/>
    <n v="4158.91"/>
    <n v="8"/>
    <n v="363.9"/>
    <x v="2"/>
    <x v="2"/>
  </r>
  <r>
    <n v="44995"/>
    <x v="511"/>
    <x v="3"/>
    <x v="2"/>
    <x v="9"/>
    <x v="907"/>
    <n v="26.85"/>
    <n v="3"/>
    <n v="5.0999999999999996"/>
    <x v="2"/>
    <x v="2"/>
  </r>
  <r>
    <n v="44995"/>
    <x v="511"/>
    <x v="3"/>
    <x v="2"/>
    <x v="15"/>
    <x v="1640"/>
    <n v="3357.6"/>
    <n v="3"/>
    <n v="377.73"/>
    <x v="2"/>
    <x v="2"/>
  </r>
  <r>
    <n v="44995"/>
    <x v="223"/>
    <x v="12"/>
    <x v="0"/>
    <x v="2"/>
    <x v="1575"/>
    <n v="104.7"/>
    <n v="1"/>
    <n v="6.54"/>
    <x v="2"/>
    <x v="2"/>
  </r>
  <r>
    <n v="44996"/>
    <x v="402"/>
    <x v="28"/>
    <x v="2"/>
    <x v="9"/>
    <x v="1273"/>
    <n v="45.98"/>
    <n v="2"/>
    <n v="19.77"/>
    <x v="2"/>
    <x v="2"/>
  </r>
  <r>
    <n v="44996"/>
    <x v="402"/>
    <x v="28"/>
    <x v="0"/>
    <x v="3"/>
    <x v="93"/>
    <n v="17.46"/>
    <n v="2"/>
    <n v="8.2100000000000009"/>
    <x v="2"/>
    <x v="2"/>
  </r>
  <r>
    <n v="44996"/>
    <x v="2"/>
    <x v="23"/>
    <x v="1"/>
    <x v="13"/>
    <x v="1348"/>
    <n v="244.01"/>
    <n v="2"/>
    <n v="-31.37"/>
    <x v="2"/>
    <x v="2"/>
  </r>
  <r>
    <n v="44996"/>
    <x v="425"/>
    <x v="4"/>
    <x v="1"/>
    <x v="8"/>
    <x v="192"/>
    <n v="76.92"/>
    <n v="4"/>
    <n v="31.54"/>
    <x v="2"/>
    <x v="2"/>
  </r>
  <r>
    <n v="44996"/>
    <x v="425"/>
    <x v="4"/>
    <x v="0"/>
    <x v="2"/>
    <x v="1407"/>
    <n v="481.32"/>
    <n v="4"/>
    <n v="125.14"/>
    <x v="2"/>
    <x v="2"/>
  </r>
  <r>
    <n v="44996"/>
    <x v="730"/>
    <x v="2"/>
    <x v="1"/>
    <x v="8"/>
    <x v="1298"/>
    <n v="30.34"/>
    <n v="4"/>
    <n v="9.48"/>
    <x v="2"/>
    <x v="2"/>
  </r>
  <r>
    <n v="44997"/>
    <x v="411"/>
    <x v="8"/>
    <x v="0"/>
    <x v="0"/>
    <x v="1587"/>
    <n v="12.96"/>
    <n v="2"/>
    <n v="6.22"/>
    <x v="2"/>
    <x v="2"/>
  </r>
  <r>
    <n v="44997"/>
    <x v="584"/>
    <x v="20"/>
    <x v="0"/>
    <x v="10"/>
    <x v="21"/>
    <n v="29.34"/>
    <n v="3"/>
    <n v="13.5"/>
    <x v="2"/>
    <x v="2"/>
  </r>
  <r>
    <n v="44997"/>
    <x v="78"/>
    <x v="3"/>
    <x v="0"/>
    <x v="2"/>
    <x v="1324"/>
    <n v="676.55"/>
    <n v="5"/>
    <n v="6.77"/>
    <x v="2"/>
    <x v="2"/>
  </r>
  <r>
    <n v="44997"/>
    <x v="78"/>
    <x v="3"/>
    <x v="0"/>
    <x v="12"/>
    <x v="256"/>
    <n v="154.9"/>
    <n v="5"/>
    <n v="40.270000000000003"/>
    <x v="2"/>
    <x v="2"/>
  </r>
  <r>
    <n v="44997"/>
    <x v="78"/>
    <x v="3"/>
    <x v="0"/>
    <x v="10"/>
    <x v="464"/>
    <n v="30.56"/>
    <n v="4"/>
    <n v="14.97"/>
    <x v="2"/>
    <x v="2"/>
  </r>
  <r>
    <n v="44997"/>
    <x v="78"/>
    <x v="3"/>
    <x v="1"/>
    <x v="5"/>
    <x v="1111"/>
    <n v="770.35"/>
    <n v="3"/>
    <n v="77.040000000000006"/>
    <x v="2"/>
    <x v="2"/>
  </r>
  <r>
    <n v="44997"/>
    <x v="308"/>
    <x v="3"/>
    <x v="0"/>
    <x v="0"/>
    <x v="1641"/>
    <n v="19.98"/>
    <n v="2"/>
    <n v="8.99"/>
    <x v="2"/>
    <x v="2"/>
  </r>
  <r>
    <n v="44998"/>
    <x v="581"/>
    <x v="12"/>
    <x v="0"/>
    <x v="12"/>
    <x v="1642"/>
    <n v="157.91999999999999"/>
    <n v="5"/>
    <n v="17.77"/>
    <x v="2"/>
    <x v="2"/>
  </r>
  <r>
    <n v="44998"/>
    <x v="581"/>
    <x v="12"/>
    <x v="2"/>
    <x v="6"/>
    <x v="1553"/>
    <n v="203.18"/>
    <n v="2"/>
    <n v="15.24"/>
    <x v="2"/>
    <x v="2"/>
  </r>
  <r>
    <n v="44998"/>
    <x v="235"/>
    <x v="0"/>
    <x v="0"/>
    <x v="0"/>
    <x v="40"/>
    <n v="70.08"/>
    <n v="5"/>
    <n v="24.53"/>
    <x v="2"/>
    <x v="2"/>
  </r>
  <r>
    <n v="44998"/>
    <x v="235"/>
    <x v="0"/>
    <x v="0"/>
    <x v="3"/>
    <x v="740"/>
    <n v="1.27"/>
    <n v="2"/>
    <n v="-2.16"/>
    <x v="2"/>
    <x v="2"/>
  </r>
  <r>
    <n v="44998"/>
    <x v="235"/>
    <x v="0"/>
    <x v="1"/>
    <x v="13"/>
    <x v="1138"/>
    <n v="557.59"/>
    <n v="5"/>
    <n v="0"/>
    <x v="2"/>
    <x v="2"/>
  </r>
  <r>
    <n v="44998"/>
    <x v="692"/>
    <x v="6"/>
    <x v="1"/>
    <x v="8"/>
    <x v="14"/>
    <n v="127.88"/>
    <n v="2"/>
    <n v="40.92"/>
    <x v="2"/>
    <x v="2"/>
  </r>
  <r>
    <n v="44998"/>
    <x v="692"/>
    <x v="6"/>
    <x v="0"/>
    <x v="12"/>
    <x v="1368"/>
    <n v="160.32"/>
    <n v="2"/>
    <n v="44.89"/>
    <x v="2"/>
    <x v="2"/>
  </r>
  <r>
    <n v="44998"/>
    <x v="692"/>
    <x v="6"/>
    <x v="0"/>
    <x v="3"/>
    <x v="873"/>
    <n v="46"/>
    <n v="4"/>
    <n v="20.7"/>
    <x v="2"/>
    <x v="2"/>
  </r>
  <r>
    <n v="44998"/>
    <x v="150"/>
    <x v="3"/>
    <x v="1"/>
    <x v="8"/>
    <x v="1643"/>
    <n v="28.28"/>
    <n v="2"/>
    <n v="7.35"/>
    <x v="2"/>
    <x v="2"/>
  </r>
  <r>
    <n v="44998"/>
    <x v="150"/>
    <x v="3"/>
    <x v="0"/>
    <x v="14"/>
    <x v="625"/>
    <n v="4912.59"/>
    <n v="3"/>
    <n v="196.5"/>
    <x v="2"/>
    <x v="2"/>
  </r>
  <r>
    <n v="44998"/>
    <x v="660"/>
    <x v="2"/>
    <x v="1"/>
    <x v="5"/>
    <x v="782"/>
    <n v="386.68"/>
    <n v="2"/>
    <n v="-5.52"/>
    <x v="2"/>
    <x v="2"/>
  </r>
  <r>
    <n v="44998"/>
    <x v="660"/>
    <x v="2"/>
    <x v="2"/>
    <x v="9"/>
    <x v="324"/>
    <n v="379.96"/>
    <n v="5"/>
    <n v="47.5"/>
    <x v="2"/>
    <x v="2"/>
  </r>
  <r>
    <n v="44998"/>
    <x v="660"/>
    <x v="2"/>
    <x v="2"/>
    <x v="6"/>
    <x v="1313"/>
    <n v="539.91"/>
    <n v="3"/>
    <n v="-116.98"/>
    <x v="2"/>
    <x v="2"/>
  </r>
  <r>
    <n v="44998"/>
    <x v="660"/>
    <x v="2"/>
    <x v="0"/>
    <x v="0"/>
    <x v="1219"/>
    <n v="41.24"/>
    <n v="5"/>
    <n v="13.92"/>
    <x v="2"/>
    <x v="2"/>
  </r>
  <r>
    <n v="44998"/>
    <x v="660"/>
    <x v="2"/>
    <x v="0"/>
    <x v="3"/>
    <x v="1644"/>
    <n v="51.9"/>
    <n v="1"/>
    <n v="-41.52"/>
    <x v="2"/>
    <x v="2"/>
  </r>
  <r>
    <n v="44998"/>
    <x v="660"/>
    <x v="2"/>
    <x v="0"/>
    <x v="2"/>
    <x v="332"/>
    <n v="552.55999999999995"/>
    <n v="5"/>
    <n v="-138.13999999999999"/>
    <x v="2"/>
    <x v="2"/>
  </r>
  <r>
    <n v="44998"/>
    <x v="660"/>
    <x v="2"/>
    <x v="0"/>
    <x v="3"/>
    <x v="962"/>
    <n v="23.16"/>
    <n v="5"/>
    <n v="-15.44"/>
    <x v="2"/>
    <x v="2"/>
  </r>
  <r>
    <n v="44998"/>
    <x v="660"/>
    <x v="2"/>
    <x v="0"/>
    <x v="2"/>
    <x v="935"/>
    <n v="126.08"/>
    <n v="2"/>
    <n v="-28.37"/>
    <x v="2"/>
    <x v="2"/>
  </r>
  <r>
    <n v="44998"/>
    <x v="660"/>
    <x v="2"/>
    <x v="2"/>
    <x v="15"/>
    <x v="1645"/>
    <n v="449.1"/>
    <n v="3"/>
    <n v="-643.71"/>
    <x v="2"/>
    <x v="2"/>
  </r>
  <r>
    <n v="44998"/>
    <x v="524"/>
    <x v="3"/>
    <x v="0"/>
    <x v="3"/>
    <x v="997"/>
    <n v="51.18"/>
    <n v="7"/>
    <n v="19.190000000000001"/>
    <x v="2"/>
    <x v="2"/>
  </r>
  <r>
    <n v="44999"/>
    <x v="742"/>
    <x v="10"/>
    <x v="1"/>
    <x v="8"/>
    <x v="261"/>
    <n v="21.88"/>
    <n v="5"/>
    <n v="6.29"/>
    <x v="2"/>
    <x v="2"/>
  </r>
  <r>
    <n v="44999"/>
    <x v="143"/>
    <x v="0"/>
    <x v="1"/>
    <x v="11"/>
    <x v="69"/>
    <n v="241.33"/>
    <n v="5"/>
    <n v="-14.2"/>
    <x v="2"/>
    <x v="2"/>
  </r>
  <r>
    <n v="44999"/>
    <x v="143"/>
    <x v="0"/>
    <x v="0"/>
    <x v="0"/>
    <x v="729"/>
    <n v="5.18"/>
    <n v="1"/>
    <n v="1.88"/>
    <x v="2"/>
    <x v="2"/>
  </r>
  <r>
    <n v="44999"/>
    <x v="143"/>
    <x v="0"/>
    <x v="0"/>
    <x v="4"/>
    <x v="151"/>
    <n v="145.54"/>
    <n v="7"/>
    <n v="16.37"/>
    <x v="2"/>
    <x v="2"/>
  </r>
  <r>
    <n v="44999"/>
    <x v="22"/>
    <x v="22"/>
    <x v="1"/>
    <x v="5"/>
    <x v="561"/>
    <n v="196.78"/>
    <n v="2"/>
    <n v="-22.14"/>
    <x v="2"/>
    <x v="2"/>
  </r>
  <r>
    <n v="44999"/>
    <x v="153"/>
    <x v="3"/>
    <x v="0"/>
    <x v="3"/>
    <x v="93"/>
    <n v="41.9"/>
    <n v="6"/>
    <n v="14.14"/>
    <x v="2"/>
    <x v="2"/>
  </r>
  <r>
    <n v="44999"/>
    <x v="457"/>
    <x v="21"/>
    <x v="1"/>
    <x v="8"/>
    <x v="598"/>
    <n v="16.739999999999998"/>
    <n v="2"/>
    <n v="4.3499999999999996"/>
    <x v="2"/>
    <x v="2"/>
  </r>
  <r>
    <n v="45000"/>
    <x v="485"/>
    <x v="2"/>
    <x v="2"/>
    <x v="9"/>
    <x v="1646"/>
    <n v="83.98"/>
    <n v="3"/>
    <n v="-13.65"/>
    <x v="2"/>
    <x v="2"/>
  </r>
  <r>
    <n v="45000"/>
    <x v="452"/>
    <x v="3"/>
    <x v="0"/>
    <x v="3"/>
    <x v="245"/>
    <n v="4.54"/>
    <n v="2"/>
    <n v="1.65"/>
    <x v="2"/>
    <x v="2"/>
  </r>
  <r>
    <n v="45000"/>
    <x v="452"/>
    <x v="3"/>
    <x v="1"/>
    <x v="5"/>
    <x v="1333"/>
    <n v="1352.03"/>
    <n v="4"/>
    <n v="84.5"/>
    <x v="2"/>
    <x v="2"/>
  </r>
  <r>
    <n v="45000"/>
    <x v="694"/>
    <x v="29"/>
    <x v="0"/>
    <x v="0"/>
    <x v="1131"/>
    <n v="319.76"/>
    <n v="14"/>
    <n v="147.09"/>
    <x v="2"/>
    <x v="2"/>
  </r>
  <r>
    <n v="45000"/>
    <x v="694"/>
    <x v="29"/>
    <x v="0"/>
    <x v="0"/>
    <x v="1131"/>
    <n v="45.68"/>
    <n v="2"/>
    <n v="21.01"/>
    <x v="2"/>
    <x v="2"/>
  </r>
  <r>
    <n v="45000"/>
    <x v="168"/>
    <x v="0"/>
    <x v="1"/>
    <x v="5"/>
    <x v="120"/>
    <n v="528.42999999999995"/>
    <n v="5"/>
    <n v="-143.43"/>
    <x v="2"/>
    <x v="2"/>
  </r>
  <r>
    <n v="45000"/>
    <x v="168"/>
    <x v="0"/>
    <x v="0"/>
    <x v="3"/>
    <x v="445"/>
    <n v="22.39"/>
    <n v="7"/>
    <n v="-35.82"/>
    <x v="2"/>
    <x v="2"/>
  </r>
  <r>
    <n v="45002"/>
    <x v="349"/>
    <x v="32"/>
    <x v="0"/>
    <x v="4"/>
    <x v="137"/>
    <n v="39.68"/>
    <n v="2"/>
    <n v="10.32"/>
    <x v="2"/>
    <x v="2"/>
  </r>
  <r>
    <n v="45002"/>
    <x v="98"/>
    <x v="7"/>
    <x v="2"/>
    <x v="6"/>
    <x v="980"/>
    <n v="129.97999999999999"/>
    <n v="2"/>
    <n v="62.39"/>
    <x v="2"/>
    <x v="2"/>
  </r>
  <r>
    <n v="45002"/>
    <x v="98"/>
    <x v="7"/>
    <x v="0"/>
    <x v="3"/>
    <x v="999"/>
    <n v="32.54"/>
    <n v="2"/>
    <n v="15.94"/>
    <x v="2"/>
    <x v="2"/>
  </r>
  <r>
    <n v="45002"/>
    <x v="333"/>
    <x v="36"/>
    <x v="0"/>
    <x v="10"/>
    <x v="1494"/>
    <n v="199.9"/>
    <n v="5"/>
    <n v="89.96"/>
    <x v="2"/>
    <x v="2"/>
  </r>
  <r>
    <n v="45002"/>
    <x v="333"/>
    <x v="36"/>
    <x v="0"/>
    <x v="12"/>
    <x v="453"/>
    <n v="901.95"/>
    <n v="3"/>
    <n v="297.64"/>
    <x v="2"/>
    <x v="2"/>
  </r>
  <r>
    <n v="45002"/>
    <x v="333"/>
    <x v="36"/>
    <x v="1"/>
    <x v="8"/>
    <x v="400"/>
    <n v="971.5"/>
    <n v="5"/>
    <n v="252.59"/>
    <x v="2"/>
    <x v="2"/>
  </r>
  <r>
    <n v="45002"/>
    <x v="461"/>
    <x v="3"/>
    <x v="2"/>
    <x v="6"/>
    <x v="1244"/>
    <n v="84.78"/>
    <n v="2"/>
    <n v="-20.14"/>
    <x v="2"/>
    <x v="2"/>
  </r>
  <r>
    <n v="45003"/>
    <x v="644"/>
    <x v="15"/>
    <x v="1"/>
    <x v="13"/>
    <x v="752"/>
    <n v="189.88"/>
    <n v="3"/>
    <n v="-94.94"/>
    <x v="2"/>
    <x v="2"/>
  </r>
  <r>
    <n v="45003"/>
    <x v="56"/>
    <x v="15"/>
    <x v="0"/>
    <x v="12"/>
    <x v="656"/>
    <n v="871.8"/>
    <n v="3"/>
    <n v="87.18"/>
    <x v="2"/>
    <x v="2"/>
  </r>
  <r>
    <n v="45004"/>
    <x v="239"/>
    <x v="26"/>
    <x v="1"/>
    <x v="11"/>
    <x v="1647"/>
    <n v="72.290000000000006"/>
    <n v="1"/>
    <n v="-98.8"/>
    <x v="2"/>
    <x v="2"/>
  </r>
  <r>
    <n v="45004"/>
    <x v="743"/>
    <x v="20"/>
    <x v="1"/>
    <x v="8"/>
    <x v="330"/>
    <n v="14.98"/>
    <n v="1"/>
    <n v="6.89"/>
    <x v="2"/>
    <x v="2"/>
  </r>
  <r>
    <n v="45004"/>
    <x v="743"/>
    <x v="20"/>
    <x v="1"/>
    <x v="8"/>
    <x v="112"/>
    <n v="20.32"/>
    <n v="4"/>
    <n v="6.91"/>
    <x v="2"/>
    <x v="2"/>
  </r>
  <r>
    <n v="45004"/>
    <x v="369"/>
    <x v="15"/>
    <x v="0"/>
    <x v="3"/>
    <x v="1599"/>
    <n v="31.09"/>
    <n v="3"/>
    <n v="-20.72"/>
    <x v="2"/>
    <x v="2"/>
  </r>
  <r>
    <n v="45005"/>
    <x v="456"/>
    <x v="11"/>
    <x v="2"/>
    <x v="6"/>
    <x v="1244"/>
    <n v="84.78"/>
    <n v="2"/>
    <n v="-20.14"/>
    <x v="2"/>
    <x v="2"/>
  </r>
  <r>
    <n v="45005"/>
    <x v="456"/>
    <x v="11"/>
    <x v="0"/>
    <x v="0"/>
    <x v="5"/>
    <n v="20.74"/>
    <n v="4"/>
    <n v="7.26"/>
    <x v="2"/>
    <x v="2"/>
  </r>
  <r>
    <n v="45005"/>
    <x v="456"/>
    <x v="11"/>
    <x v="0"/>
    <x v="3"/>
    <x v="604"/>
    <n v="16.82"/>
    <n v="3"/>
    <n v="-12.9"/>
    <x v="2"/>
    <x v="2"/>
  </r>
  <r>
    <n v="45005"/>
    <x v="456"/>
    <x v="11"/>
    <x v="0"/>
    <x v="0"/>
    <x v="1365"/>
    <n v="10.37"/>
    <n v="2"/>
    <n v="3.63"/>
    <x v="2"/>
    <x v="2"/>
  </r>
  <r>
    <n v="45005"/>
    <x v="510"/>
    <x v="1"/>
    <x v="2"/>
    <x v="6"/>
    <x v="1648"/>
    <n v="11.99"/>
    <n v="1"/>
    <n v="0.9"/>
    <x v="2"/>
    <x v="2"/>
  </r>
  <r>
    <n v="45005"/>
    <x v="629"/>
    <x v="24"/>
    <x v="1"/>
    <x v="13"/>
    <x v="1348"/>
    <n v="697.16"/>
    <n v="4"/>
    <n v="146.4"/>
    <x v="2"/>
    <x v="2"/>
  </r>
  <r>
    <n v="45005"/>
    <x v="160"/>
    <x v="29"/>
    <x v="1"/>
    <x v="8"/>
    <x v="691"/>
    <n v="86.45"/>
    <n v="7"/>
    <n v="38.04"/>
    <x v="2"/>
    <x v="2"/>
  </r>
  <r>
    <n v="45006"/>
    <x v="388"/>
    <x v="1"/>
    <x v="0"/>
    <x v="3"/>
    <x v="1649"/>
    <n v="3.17"/>
    <n v="2"/>
    <n v="-4.75"/>
    <x v="2"/>
    <x v="2"/>
  </r>
  <r>
    <n v="45006"/>
    <x v="388"/>
    <x v="1"/>
    <x v="1"/>
    <x v="5"/>
    <x v="1022"/>
    <n v="528.42999999999995"/>
    <n v="5"/>
    <n v="0"/>
    <x v="2"/>
    <x v="2"/>
  </r>
  <r>
    <n v="45006"/>
    <x v="388"/>
    <x v="1"/>
    <x v="0"/>
    <x v="4"/>
    <x v="1650"/>
    <n v="13.39"/>
    <n v="3"/>
    <n v="1.51"/>
    <x v="2"/>
    <x v="2"/>
  </r>
  <r>
    <n v="45006"/>
    <x v="441"/>
    <x v="0"/>
    <x v="1"/>
    <x v="13"/>
    <x v="618"/>
    <n v="99.37"/>
    <n v="2"/>
    <n v="-1.42"/>
    <x v="2"/>
    <x v="2"/>
  </r>
  <r>
    <n v="45006"/>
    <x v="441"/>
    <x v="0"/>
    <x v="0"/>
    <x v="4"/>
    <x v="321"/>
    <n v="1.34"/>
    <n v="1"/>
    <n v="0.5"/>
    <x v="2"/>
    <x v="2"/>
  </r>
  <r>
    <n v="45007"/>
    <x v="357"/>
    <x v="17"/>
    <x v="2"/>
    <x v="9"/>
    <x v="393"/>
    <n v="58.58"/>
    <n v="2"/>
    <n v="19.329999999999998"/>
    <x v="2"/>
    <x v="2"/>
  </r>
  <r>
    <n v="45007"/>
    <x v="387"/>
    <x v="22"/>
    <x v="1"/>
    <x v="5"/>
    <x v="1004"/>
    <n v="167.89"/>
    <n v="7"/>
    <n v="14.69"/>
    <x v="2"/>
    <x v="2"/>
  </r>
  <r>
    <n v="45009"/>
    <x v="696"/>
    <x v="11"/>
    <x v="2"/>
    <x v="6"/>
    <x v="696"/>
    <n v="403.17"/>
    <n v="4"/>
    <n v="25.2"/>
    <x v="2"/>
    <x v="2"/>
  </r>
  <r>
    <n v="45009"/>
    <x v="422"/>
    <x v="18"/>
    <x v="0"/>
    <x v="0"/>
    <x v="1651"/>
    <n v="22.48"/>
    <n v="1"/>
    <n v="10.34"/>
    <x v="2"/>
    <x v="2"/>
  </r>
  <r>
    <n v="45009"/>
    <x v="284"/>
    <x v="10"/>
    <x v="1"/>
    <x v="11"/>
    <x v="1370"/>
    <n v="301.47000000000003"/>
    <n v="3"/>
    <n v="-241.18"/>
    <x v="2"/>
    <x v="2"/>
  </r>
  <r>
    <n v="45009"/>
    <x v="284"/>
    <x v="10"/>
    <x v="0"/>
    <x v="4"/>
    <x v="536"/>
    <n v="18.66"/>
    <n v="2"/>
    <n v="1.63"/>
    <x v="2"/>
    <x v="2"/>
  </r>
  <r>
    <n v="45010"/>
    <x v="263"/>
    <x v="39"/>
    <x v="2"/>
    <x v="9"/>
    <x v="1044"/>
    <n v="1287.45"/>
    <n v="5"/>
    <n v="244.62"/>
    <x v="2"/>
    <x v="2"/>
  </r>
  <r>
    <n v="45010"/>
    <x v="105"/>
    <x v="20"/>
    <x v="0"/>
    <x v="4"/>
    <x v="262"/>
    <n v="59.52"/>
    <n v="3"/>
    <n v="17.86"/>
    <x v="2"/>
    <x v="2"/>
  </r>
  <r>
    <n v="45011"/>
    <x v="457"/>
    <x v="20"/>
    <x v="0"/>
    <x v="2"/>
    <x v="554"/>
    <n v="459.95"/>
    <n v="5"/>
    <n v="18.399999999999999"/>
    <x v="2"/>
    <x v="2"/>
  </r>
  <r>
    <n v="45011"/>
    <x v="622"/>
    <x v="25"/>
    <x v="0"/>
    <x v="2"/>
    <x v="1265"/>
    <n v="67.64"/>
    <n v="5"/>
    <n v="5.92"/>
    <x v="2"/>
    <x v="2"/>
  </r>
  <r>
    <n v="45011"/>
    <x v="622"/>
    <x v="25"/>
    <x v="2"/>
    <x v="9"/>
    <x v="621"/>
    <n v="119.98"/>
    <n v="3"/>
    <n v="-18"/>
    <x v="2"/>
    <x v="2"/>
  </r>
  <r>
    <n v="45011"/>
    <x v="20"/>
    <x v="34"/>
    <x v="0"/>
    <x v="0"/>
    <x v="903"/>
    <n v="17.64"/>
    <n v="3"/>
    <n v="8.64"/>
    <x v="2"/>
    <x v="2"/>
  </r>
  <r>
    <n v="45011"/>
    <x v="20"/>
    <x v="34"/>
    <x v="0"/>
    <x v="3"/>
    <x v="745"/>
    <n v="17.04"/>
    <n v="3"/>
    <n v="5.54"/>
    <x v="2"/>
    <x v="2"/>
  </r>
  <r>
    <n v="45012"/>
    <x v="171"/>
    <x v="4"/>
    <x v="1"/>
    <x v="8"/>
    <x v="1634"/>
    <n v="20.239999999999998"/>
    <n v="1"/>
    <n v="8.6999999999999993"/>
    <x v="2"/>
    <x v="2"/>
  </r>
  <r>
    <n v="45012"/>
    <x v="171"/>
    <x v="4"/>
    <x v="1"/>
    <x v="8"/>
    <x v="1652"/>
    <n v="39.92"/>
    <n v="4"/>
    <n v="11.18"/>
    <x v="2"/>
    <x v="2"/>
  </r>
  <r>
    <n v="45012"/>
    <x v="171"/>
    <x v="4"/>
    <x v="0"/>
    <x v="3"/>
    <x v="999"/>
    <n v="32.54"/>
    <n v="2"/>
    <n v="15.94"/>
    <x v="2"/>
    <x v="2"/>
  </r>
  <r>
    <n v="45013"/>
    <x v="322"/>
    <x v="6"/>
    <x v="0"/>
    <x v="2"/>
    <x v="1533"/>
    <n v="31.4"/>
    <n v="2"/>
    <n v="7.85"/>
    <x v="2"/>
    <x v="2"/>
  </r>
  <r>
    <n v="45013"/>
    <x v="393"/>
    <x v="3"/>
    <x v="0"/>
    <x v="2"/>
    <x v="1125"/>
    <n v="87.92"/>
    <n v="4"/>
    <n v="0.88"/>
    <x v="2"/>
    <x v="2"/>
  </r>
  <r>
    <n v="45013"/>
    <x v="393"/>
    <x v="3"/>
    <x v="0"/>
    <x v="0"/>
    <x v="1188"/>
    <n v="5.98"/>
    <n v="1"/>
    <n v="2.93"/>
    <x v="2"/>
    <x v="2"/>
  </r>
  <r>
    <n v="45014"/>
    <x v="5"/>
    <x v="1"/>
    <x v="0"/>
    <x v="0"/>
    <x v="1175"/>
    <n v="45.53"/>
    <n v="3"/>
    <n v="15.93"/>
    <x v="2"/>
    <x v="2"/>
  </r>
  <r>
    <n v="45014"/>
    <x v="5"/>
    <x v="1"/>
    <x v="1"/>
    <x v="5"/>
    <x v="249"/>
    <n v="844.12"/>
    <n v="6"/>
    <n v="-36.18"/>
    <x v="2"/>
    <x v="2"/>
  </r>
  <r>
    <n v="45014"/>
    <x v="5"/>
    <x v="1"/>
    <x v="2"/>
    <x v="6"/>
    <x v="1553"/>
    <n v="812.74"/>
    <n v="8"/>
    <n v="60.96"/>
    <x v="2"/>
    <x v="2"/>
  </r>
  <r>
    <n v="45014"/>
    <x v="744"/>
    <x v="20"/>
    <x v="0"/>
    <x v="0"/>
    <x v="101"/>
    <n v="13.48"/>
    <n v="2"/>
    <n v="6.74"/>
    <x v="2"/>
    <x v="2"/>
  </r>
  <r>
    <n v="45014"/>
    <x v="744"/>
    <x v="20"/>
    <x v="0"/>
    <x v="3"/>
    <x v="15"/>
    <n v="29.8"/>
    <n v="5"/>
    <n v="9.31"/>
    <x v="2"/>
    <x v="2"/>
  </r>
  <r>
    <n v="45014"/>
    <x v="744"/>
    <x v="20"/>
    <x v="1"/>
    <x v="8"/>
    <x v="1412"/>
    <n v="414"/>
    <n v="8"/>
    <n v="124.2"/>
    <x v="2"/>
    <x v="2"/>
  </r>
  <r>
    <n v="45014"/>
    <x v="744"/>
    <x v="20"/>
    <x v="0"/>
    <x v="3"/>
    <x v="116"/>
    <n v="41.33"/>
    <n v="7"/>
    <n v="14.98"/>
    <x v="2"/>
    <x v="2"/>
  </r>
  <r>
    <n v="45014"/>
    <x v="47"/>
    <x v="10"/>
    <x v="1"/>
    <x v="11"/>
    <x v="1049"/>
    <n v="299.98"/>
    <n v="5"/>
    <n v="-167.99"/>
    <x v="2"/>
    <x v="2"/>
  </r>
  <r>
    <n v="45014"/>
    <x v="47"/>
    <x v="10"/>
    <x v="2"/>
    <x v="6"/>
    <x v="1653"/>
    <n v="158.38"/>
    <n v="4"/>
    <n v="-36.950000000000003"/>
    <x v="2"/>
    <x v="2"/>
  </r>
  <r>
    <n v="45015"/>
    <x v="552"/>
    <x v="37"/>
    <x v="0"/>
    <x v="0"/>
    <x v="1383"/>
    <n v="11.34"/>
    <n v="1"/>
    <n v="5.56"/>
    <x v="2"/>
    <x v="2"/>
  </r>
  <r>
    <n v="45016"/>
    <x v="246"/>
    <x v="2"/>
    <x v="2"/>
    <x v="6"/>
    <x v="1572"/>
    <n v="280.77999999999997"/>
    <n v="3"/>
    <n v="-60.84"/>
    <x v="2"/>
    <x v="2"/>
  </r>
  <r>
    <n v="45016"/>
    <x v="246"/>
    <x v="2"/>
    <x v="2"/>
    <x v="9"/>
    <x v="1291"/>
    <n v="31.98"/>
    <n v="2"/>
    <n v="1.2"/>
    <x v="2"/>
    <x v="2"/>
  </r>
  <r>
    <n v="45016"/>
    <x v="15"/>
    <x v="20"/>
    <x v="1"/>
    <x v="5"/>
    <x v="664"/>
    <n v="328"/>
    <n v="6"/>
    <n v="54.67"/>
    <x v="2"/>
    <x v="2"/>
  </r>
  <r>
    <n v="45017"/>
    <x v="745"/>
    <x v="20"/>
    <x v="0"/>
    <x v="4"/>
    <x v="137"/>
    <n v="59.52"/>
    <n v="3"/>
    <n v="15.48"/>
    <x v="3"/>
    <x v="2"/>
  </r>
  <r>
    <n v="45017"/>
    <x v="745"/>
    <x v="20"/>
    <x v="0"/>
    <x v="2"/>
    <x v="124"/>
    <n v="161.94"/>
    <n v="3"/>
    <n v="9.7200000000000006"/>
    <x v="3"/>
    <x v="2"/>
  </r>
  <r>
    <n v="45017"/>
    <x v="745"/>
    <x v="20"/>
    <x v="0"/>
    <x v="4"/>
    <x v="487"/>
    <n v="263.88"/>
    <n v="6"/>
    <n v="71.25"/>
    <x v="3"/>
    <x v="2"/>
  </r>
  <r>
    <n v="45017"/>
    <x v="745"/>
    <x v="20"/>
    <x v="0"/>
    <x v="4"/>
    <x v="1027"/>
    <n v="30.48"/>
    <n v="3"/>
    <n v="7.92"/>
    <x v="3"/>
    <x v="2"/>
  </r>
  <r>
    <n v="45017"/>
    <x v="745"/>
    <x v="20"/>
    <x v="0"/>
    <x v="4"/>
    <x v="1654"/>
    <n v="9.84"/>
    <n v="3"/>
    <n v="2.85"/>
    <x v="3"/>
    <x v="2"/>
  </r>
  <r>
    <n v="45017"/>
    <x v="745"/>
    <x v="20"/>
    <x v="2"/>
    <x v="6"/>
    <x v="1639"/>
    <n v="35.119999999999997"/>
    <n v="4"/>
    <n v="9.1300000000000008"/>
    <x v="3"/>
    <x v="2"/>
  </r>
  <r>
    <n v="45017"/>
    <x v="323"/>
    <x v="12"/>
    <x v="0"/>
    <x v="7"/>
    <x v="78"/>
    <n v="31.56"/>
    <n v="5"/>
    <n v="9.86"/>
    <x v="3"/>
    <x v="2"/>
  </r>
  <r>
    <n v="45017"/>
    <x v="323"/>
    <x v="12"/>
    <x v="0"/>
    <x v="12"/>
    <x v="1173"/>
    <n v="30.14"/>
    <n v="2"/>
    <n v="3.01"/>
    <x v="3"/>
    <x v="2"/>
  </r>
  <r>
    <n v="45017"/>
    <x v="738"/>
    <x v="20"/>
    <x v="0"/>
    <x v="4"/>
    <x v="864"/>
    <n v="88.04"/>
    <n v="4"/>
    <n v="22.89"/>
    <x v="3"/>
    <x v="2"/>
  </r>
  <r>
    <n v="45017"/>
    <x v="559"/>
    <x v="20"/>
    <x v="0"/>
    <x v="1"/>
    <x v="1655"/>
    <n v="20.7"/>
    <n v="2"/>
    <n v="9.94"/>
    <x v="3"/>
    <x v="2"/>
  </r>
  <r>
    <n v="45017"/>
    <x v="559"/>
    <x v="20"/>
    <x v="0"/>
    <x v="14"/>
    <x v="817"/>
    <n v="10.95"/>
    <n v="3"/>
    <n v="3.29"/>
    <x v="3"/>
    <x v="2"/>
  </r>
  <r>
    <n v="45017"/>
    <x v="559"/>
    <x v="20"/>
    <x v="0"/>
    <x v="3"/>
    <x v="1198"/>
    <n v="14.35"/>
    <n v="3"/>
    <n v="4.66"/>
    <x v="3"/>
    <x v="2"/>
  </r>
  <r>
    <n v="45017"/>
    <x v="558"/>
    <x v="20"/>
    <x v="1"/>
    <x v="5"/>
    <x v="528"/>
    <n v="1317.49"/>
    <n v="6"/>
    <n v="292.77999999999997"/>
    <x v="3"/>
    <x v="2"/>
  </r>
  <r>
    <n v="45017"/>
    <x v="558"/>
    <x v="20"/>
    <x v="0"/>
    <x v="14"/>
    <x v="488"/>
    <n v="63.84"/>
    <n v="8"/>
    <n v="18.510000000000002"/>
    <x v="3"/>
    <x v="2"/>
  </r>
  <r>
    <n v="45017"/>
    <x v="558"/>
    <x v="20"/>
    <x v="0"/>
    <x v="3"/>
    <x v="263"/>
    <n v="3.59"/>
    <n v="1"/>
    <n v="1.1200000000000001"/>
    <x v="3"/>
    <x v="2"/>
  </r>
  <r>
    <n v="45017"/>
    <x v="474"/>
    <x v="4"/>
    <x v="1"/>
    <x v="8"/>
    <x v="725"/>
    <n v="7.04"/>
    <n v="4"/>
    <n v="3.1"/>
    <x v="3"/>
    <x v="2"/>
  </r>
  <r>
    <n v="45017"/>
    <x v="168"/>
    <x v="21"/>
    <x v="2"/>
    <x v="6"/>
    <x v="1621"/>
    <n v="12.99"/>
    <n v="1"/>
    <n v="0.26"/>
    <x v="3"/>
    <x v="2"/>
  </r>
  <r>
    <n v="45018"/>
    <x v="561"/>
    <x v="21"/>
    <x v="1"/>
    <x v="5"/>
    <x v="1083"/>
    <n v="1454.9"/>
    <n v="5"/>
    <n v="378.27"/>
    <x v="3"/>
    <x v="2"/>
  </r>
  <r>
    <n v="45019"/>
    <x v="246"/>
    <x v="2"/>
    <x v="0"/>
    <x v="3"/>
    <x v="1315"/>
    <n v="99.85"/>
    <n v="9"/>
    <n v="-83.21"/>
    <x v="3"/>
    <x v="2"/>
  </r>
  <r>
    <n v="45019"/>
    <x v="368"/>
    <x v="18"/>
    <x v="1"/>
    <x v="8"/>
    <x v="1230"/>
    <n v="71.12"/>
    <n v="4"/>
    <n v="22.05"/>
    <x v="3"/>
    <x v="2"/>
  </r>
  <r>
    <n v="45019"/>
    <x v="368"/>
    <x v="18"/>
    <x v="2"/>
    <x v="6"/>
    <x v="980"/>
    <n v="259.95999999999998"/>
    <n v="4"/>
    <n v="124.78"/>
    <x v="3"/>
    <x v="2"/>
  </r>
  <r>
    <n v="45019"/>
    <x v="50"/>
    <x v="0"/>
    <x v="0"/>
    <x v="0"/>
    <x v="1351"/>
    <n v="10.27"/>
    <n v="3"/>
    <n v="3.21"/>
    <x v="3"/>
    <x v="2"/>
  </r>
  <r>
    <n v="45020"/>
    <x v="5"/>
    <x v="6"/>
    <x v="2"/>
    <x v="6"/>
    <x v="1631"/>
    <n v="149.97"/>
    <n v="3"/>
    <n v="6"/>
    <x v="3"/>
    <x v="2"/>
  </r>
  <r>
    <n v="45020"/>
    <x v="5"/>
    <x v="6"/>
    <x v="0"/>
    <x v="0"/>
    <x v="1032"/>
    <n v="27.81"/>
    <n v="3"/>
    <n v="13.07"/>
    <x v="3"/>
    <x v="2"/>
  </r>
  <r>
    <n v="45020"/>
    <x v="216"/>
    <x v="20"/>
    <x v="0"/>
    <x v="3"/>
    <x v="688"/>
    <n v="588.78"/>
    <n v="2"/>
    <n v="184"/>
    <x v="3"/>
    <x v="2"/>
  </r>
  <r>
    <n v="45020"/>
    <x v="288"/>
    <x v="20"/>
    <x v="1"/>
    <x v="8"/>
    <x v="392"/>
    <n v="82.64"/>
    <n v="2"/>
    <n v="7.44"/>
    <x v="3"/>
    <x v="2"/>
  </r>
  <r>
    <n v="45020"/>
    <x v="288"/>
    <x v="20"/>
    <x v="0"/>
    <x v="2"/>
    <x v="271"/>
    <n v="31.02"/>
    <n v="2"/>
    <n v="8.07"/>
    <x v="3"/>
    <x v="2"/>
  </r>
  <r>
    <n v="45020"/>
    <x v="288"/>
    <x v="20"/>
    <x v="2"/>
    <x v="9"/>
    <x v="833"/>
    <n v="89.97"/>
    <n v="3"/>
    <n v="37.79"/>
    <x v="3"/>
    <x v="2"/>
  </r>
  <r>
    <n v="45021"/>
    <x v="146"/>
    <x v="0"/>
    <x v="0"/>
    <x v="2"/>
    <x v="370"/>
    <n v="158.37"/>
    <n v="7"/>
    <n v="13.86"/>
    <x v="3"/>
    <x v="2"/>
  </r>
  <r>
    <n v="45021"/>
    <x v="645"/>
    <x v="2"/>
    <x v="2"/>
    <x v="6"/>
    <x v="1653"/>
    <n v="118.78"/>
    <n v="3"/>
    <n v="-27.72"/>
    <x v="3"/>
    <x v="2"/>
  </r>
  <r>
    <n v="45021"/>
    <x v="645"/>
    <x v="2"/>
    <x v="0"/>
    <x v="14"/>
    <x v="966"/>
    <n v="769.18"/>
    <n v="4"/>
    <n v="-163.44999999999999"/>
    <x v="3"/>
    <x v="2"/>
  </r>
  <r>
    <n v="45022"/>
    <x v="139"/>
    <x v="45"/>
    <x v="2"/>
    <x v="6"/>
    <x v="1227"/>
    <n v="1294.75"/>
    <n v="5"/>
    <n v="336.64"/>
    <x v="3"/>
    <x v="2"/>
  </r>
  <r>
    <n v="45023"/>
    <x v="515"/>
    <x v="3"/>
    <x v="2"/>
    <x v="16"/>
    <x v="937"/>
    <n v="1199.98"/>
    <n v="3"/>
    <n v="374.99"/>
    <x v="3"/>
    <x v="2"/>
  </r>
  <r>
    <n v="45023"/>
    <x v="112"/>
    <x v="20"/>
    <x v="1"/>
    <x v="5"/>
    <x v="528"/>
    <n v="658.75"/>
    <n v="3"/>
    <n v="146.38999999999999"/>
    <x v="3"/>
    <x v="2"/>
  </r>
  <r>
    <n v="45023"/>
    <x v="582"/>
    <x v="20"/>
    <x v="0"/>
    <x v="4"/>
    <x v="481"/>
    <n v="3.64"/>
    <n v="2"/>
    <n v="0.98"/>
    <x v="3"/>
    <x v="2"/>
  </r>
  <r>
    <n v="45023"/>
    <x v="442"/>
    <x v="23"/>
    <x v="0"/>
    <x v="0"/>
    <x v="1656"/>
    <n v="37.94"/>
    <n v="2"/>
    <n v="18.21"/>
    <x v="3"/>
    <x v="2"/>
  </r>
  <r>
    <n v="45023"/>
    <x v="83"/>
    <x v="2"/>
    <x v="0"/>
    <x v="12"/>
    <x v="1181"/>
    <n v="33.53"/>
    <n v="3"/>
    <n v="2.5099999999999998"/>
    <x v="3"/>
    <x v="2"/>
  </r>
  <r>
    <n v="45023"/>
    <x v="83"/>
    <x v="2"/>
    <x v="0"/>
    <x v="2"/>
    <x v="1657"/>
    <n v="36.74"/>
    <n v="3"/>
    <n v="3.67"/>
    <x v="3"/>
    <x v="2"/>
  </r>
  <r>
    <n v="45024"/>
    <x v="506"/>
    <x v="20"/>
    <x v="1"/>
    <x v="11"/>
    <x v="1558"/>
    <n v="388.7"/>
    <n v="6"/>
    <n v="-4.8600000000000003"/>
    <x v="3"/>
    <x v="2"/>
  </r>
  <r>
    <n v="45024"/>
    <x v="506"/>
    <x v="20"/>
    <x v="0"/>
    <x v="10"/>
    <x v="1531"/>
    <n v="8.26"/>
    <n v="2"/>
    <n v="3.8"/>
    <x v="3"/>
    <x v="2"/>
  </r>
  <r>
    <n v="45024"/>
    <x v="506"/>
    <x v="20"/>
    <x v="0"/>
    <x v="4"/>
    <x v="6"/>
    <n v="17.04"/>
    <n v="4"/>
    <n v="6.99"/>
    <x v="3"/>
    <x v="2"/>
  </r>
  <r>
    <n v="45024"/>
    <x v="506"/>
    <x v="20"/>
    <x v="0"/>
    <x v="0"/>
    <x v="1589"/>
    <n v="34.4"/>
    <n v="5"/>
    <n v="15.82"/>
    <x v="3"/>
    <x v="2"/>
  </r>
  <r>
    <n v="45024"/>
    <x v="391"/>
    <x v="3"/>
    <x v="0"/>
    <x v="0"/>
    <x v="30"/>
    <n v="20.04"/>
    <n v="3"/>
    <n v="9.6199999999999992"/>
    <x v="3"/>
    <x v="2"/>
  </r>
  <r>
    <n v="45024"/>
    <x v="391"/>
    <x v="3"/>
    <x v="0"/>
    <x v="2"/>
    <x v="99"/>
    <n v="64.959999999999994"/>
    <n v="2"/>
    <n v="2.6"/>
    <x v="3"/>
    <x v="2"/>
  </r>
  <r>
    <n v="45024"/>
    <x v="391"/>
    <x v="3"/>
    <x v="0"/>
    <x v="0"/>
    <x v="727"/>
    <n v="12.96"/>
    <n v="2"/>
    <n v="6.22"/>
    <x v="3"/>
    <x v="2"/>
  </r>
  <r>
    <n v="45024"/>
    <x v="456"/>
    <x v="0"/>
    <x v="2"/>
    <x v="9"/>
    <x v="1416"/>
    <n v="431.93"/>
    <n v="9"/>
    <n v="64.790000000000006"/>
    <x v="3"/>
    <x v="2"/>
  </r>
  <r>
    <n v="45024"/>
    <x v="456"/>
    <x v="0"/>
    <x v="1"/>
    <x v="5"/>
    <x v="1350"/>
    <n v="95.98"/>
    <n v="4"/>
    <n v="-4.1100000000000003"/>
    <x v="3"/>
    <x v="2"/>
  </r>
  <r>
    <n v="45024"/>
    <x v="456"/>
    <x v="0"/>
    <x v="0"/>
    <x v="3"/>
    <x v="501"/>
    <n v="1088.79"/>
    <n v="4"/>
    <n v="-1850.95"/>
    <x v="3"/>
    <x v="2"/>
  </r>
  <r>
    <n v="45024"/>
    <x v="469"/>
    <x v="10"/>
    <x v="0"/>
    <x v="10"/>
    <x v="1658"/>
    <n v="8.8699999999999992"/>
    <n v="1"/>
    <n v="3.22"/>
    <x v="3"/>
    <x v="2"/>
  </r>
  <r>
    <n v="45024"/>
    <x v="469"/>
    <x v="10"/>
    <x v="0"/>
    <x v="3"/>
    <x v="145"/>
    <n v="121.1"/>
    <n v="6"/>
    <n v="-100.92"/>
    <x v="3"/>
    <x v="2"/>
  </r>
  <r>
    <n v="45024"/>
    <x v="584"/>
    <x v="3"/>
    <x v="1"/>
    <x v="8"/>
    <x v="1659"/>
    <n v="24.7"/>
    <n v="5"/>
    <n v="10.37"/>
    <x v="3"/>
    <x v="2"/>
  </r>
  <r>
    <n v="45024"/>
    <x v="190"/>
    <x v="4"/>
    <x v="0"/>
    <x v="10"/>
    <x v="1660"/>
    <n v="17.920000000000002"/>
    <n v="4"/>
    <n v="8.6"/>
    <x v="3"/>
    <x v="2"/>
  </r>
  <r>
    <n v="45024"/>
    <x v="195"/>
    <x v="4"/>
    <x v="1"/>
    <x v="11"/>
    <x v="506"/>
    <n v="354.9"/>
    <n v="5"/>
    <n v="88.73"/>
    <x v="3"/>
    <x v="2"/>
  </r>
  <r>
    <n v="45024"/>
    <x v="79"/>
    <x v="13"/>
    <x v="0"/>
    <x v="7"/>
    <x v="790"/>
    <n v="30"/>
    <n v="6"/>
    <n v="14.4"/>
    <x v="3"/>
    <x v="2"/>
  </r>
  <r>
    <n v="45024"/>
    <x v="79"/>
    <x v="13"/>
    <x v="0"/>
    <x v="0"/>
    <x v="729"/>
    <n v="25.92"/>
    <n v="4"/>
    <n v="12.7"/>
    <x v="3"/>
    <x v="2"/>
  </r>
  <r>
    <n v="45024"/>
    <x v="79"/>
    <x v="13"/>
    <x v="1"/>
    <x v="8"/>
    <x v="1098"/>
    <n v="159.91999999999999"/>
    <n v="4"/>
    <n v="31.98"/>
    <x v="3"/>
    <x v="2"/>
  </r>
  <r>
    <n v="45025"/>
    <x v="615"/>
    <x v="22"/>
    <x v="0"/>
    <x v="3"/>
    <x v="832"/>
    <n v="35.35"/>
    <n v="9"/>
    <n v="12.82"/>
    <x v="3"/>
    <x v="2"/>
  </r>
  <r>
    <n v="45025"/>
    <x v="746"/>
    <x v="14"/>
    <x v="2"/>
    <x v="6"/>
    <x v="1227"/>
    <n v="517.9"/>
    <n v="2"/>
    <n v="134.65"/>
    <x v="3"/>
    <x v="2"/>
  </r>
  <r>
    <n v="45025"/>
    <x v="746"/>
    <x v="14"/>
    <x v="0"/>
    <x v="3"/>
    <x v="1661"/>
    <n v="5.28"/>
    <n v="2"/>
    <n v="2.4300000000000002"/>
    <x v="3"/>
    <x v="2"/>
  </r>
  <r>
    <n v="45025"/>
    <x v="221"/>
    <x v="3"/>
    <x v="1"/>
    <x v="11"/>
    <x v="1662"/>
    <n v="556.66999999999996"/>
    <n v="5"/>
    <n v="6.55"/>
    <x v="3"/>
    <x v="2"/>
  </r>
  <r>
    <n v="45026"/>
    <x v="691"/>
    <x v="10"/>
    <x v="0"/>
    <x v="3"/>
    <x v="758"/>
    <n v="8.9"/>
    <n v="2"/>
    <n v="-6.53"/>
    <x v="3"/>
    <x v="2"/>
  </r>
  <r>
    <n v="45026"/>
    <x v="76"/>
    <x v="3"/>
    <x v="0"/>
    <x v="0"/>
    <x v="1444"/>
    <n v="12.96"/>
    <n v="2"/>
    <n v="6.22"/>
    <x v="3"/>
    <x v="2"/>
  </r>
  <r>
    <n v="45026"/>
    <x v="76"/>
    <x v="3"/>
    <x v="0"/>
    <x v="3"/>
    <x v="541"/>
    <n v="23.2"/>
    <n v="5"/>
    <n v="8.1199999999999992"/>
    <x v="3"/>
    <x v="2"/>
  </r>
  <r>
    <n v="45026"/>
    <x v="542"/>
    <x v="3"/>
    <x v="0"/>
    <x v="12"/>
    <x v="1311"/>
    <n v="113.76"/>
    <n v="3"/>
    <n v="44.37"/>
    <x v="3"/>
    <x v="2"/>
  </r>
  <r>
    <n v="45026"/>
    <x v="542"/>
    <x v="3"/>
    <x v="0"/>
    <x v="2"/>
    <x v="917"/>
    <n v="579.51"/>
    <n v="3"/>
    <n v="81.13"/>
    <x v="3"/>
    <x v="2"/>
  </r>
  <r>
    <n v="45026"/>
    <x v="542"/>
    <x v="3"/>
    <x v="0"/>
    <x v="2"/>
    <x v="252"/>
    <n v="150.66"/>
    <n v="9"/>
    <n v="6.03"/>
    <x v="3"/>
    <x v="2"/>
  </r>
  <r>
    <n v="45026"/>
    <x v="542"/>
    <x v="3"/>
    <x v="0"/>
    <x v="3"/>
    <x v="520"/>
    <n v="48.03"/>
    <n v="4"/>
    <n v="15.61"/>
    <x v="3"/>
    <x v="2"/>
  </r>
  <r>
    <n v="45026"/>
    <x v="87"/>
    <x v="1"/>
    <x v="0"/>
    <x v="4"/>
    <x v="224"/>
    <n v="13.57"/>
    <n v="4"/>
    <n v="3.22"/>
    <x v="3"/>
    <x v="2"/>
  </r>
  <r>
    <n v="45028"/>
    <x v="12"/>
    <x v="6"/>
    <x v="1"/>
    <x v="13"/>
    <x v="278"/>
    <n v="343.92"/>
    <n v="4"/>
    <n v="75.66"/>
    <x v="3"/>
    <x v="2"/>
  </r>
  <r>
    <n v="45028"/>
    <x v="12"/>
    <x v="6"/>
    <x v="0"/>
    <x v="0"/>
    <x v="290"/>
    <n v="40.99"/>
    <n v="1"/>
    <n v="20.09"/>
    <x v="3"/>
    <x v="2"/>
  </r>
  <r>
    <n v="45028"/>
    <x v="12"/>
    <x v="6"/>
    <x v="0"/>
    <x v="10"/>
    <x v="681"/>
    <n v="63.9"/>
    <n v="5"/>
    <n v="28.76"/>
    <x v="3"/>
    <x v="2"/>
  </r>
  <r>
    <n v="45028"/>
    <x v="443"/>
    <x v="3"/>
    <x v="1"/>
    <x v="5"/>
    <x v="1495"/>
    <n v="638.29"/>
    <n v="7"/>
    <n v="-31.91"/>
    <x v="3"/>
    <x v="2"/>
  </r>
  <r>
    <n v="45028"/>
    <x v="443"/>
    <x v="3"/>
    <x v="0"/>
    <x v="3"/>
    <x v="1386"/>
    <n v="13.21"/>
    <n v="1"/>
    <n v="4.62"/>
    <x v="3"/>
    <x v="2"/>
  </r>
  <r>
    <n v="45028"/>
    <x v="80"/>
    <x v="3"/>
    <x v="0"/>
    <x v="0"/>
    <x v="1453"/>
    <n v="19.440000000000001"/>
    <n v="3"/>
    <n v="9.33"/>
    <x v="3"/>
    <x v="2"/>
  </r>
  <r>
    <n v="45028"/>
    <x v="80"/>
    <x v="3"/>
    <x v="1"/>
    <x v="5"/>
    <x v="100"/>
    <n v="194.35"/>
    <n v="3"/>
    <n v="-36.44"/>
    <x v="3"/>
    <x v="2"/>
  </r>
  <r>
    <n v="45028"/>
    <x v="80"/>
    <x v="3"/>
    <x v="0"/>
    <x v="3"/>
    <x v="1292"/>
    <n v="36.619999999999997"/>
    <n v="3"/>
    <n v="13.73"/>
    <x v="3"/>
    <x v="2"/>
  </r>
  <r>
    <n v="45028"/>
    <x v="559"/>
    <x v="25"/>
    <x v="0"/>
    <x v="2"/>
    <x v="124"/>
    <n v="129.55000000000001"/>
    <n v="3"/>
    <n v="-22.67"/>
    <x v="3"/>
    <x v="2"/>
  </r>
  <r>
    <n v="45028"/>
    <x v="559"/>
    <x v="25"/>
    <x v="0"/>
    <x v="2"/>
    <x v="1567"/>
    <n v="51.98"/>
    <n v="1"/>
    <n v="-5.2"/>
    <x v="3"/>
    <x v="2"/>
  </r>
  <r>
    <n v="45028"/>
    <x v="559"/>
    <x v="25"/>
    <x v="0"/>
    <x v="0"/>
    <x v="1663"/>
    <n v="10.27"/>
    <n v="3"/>
    <n v="3.47"/>
    <x v="3"/>
    <x v="2"/>
  </r>
  <r>
    <n v="45029"/>
    <x v="530"/>
    <x v="3"/>
    <x v="0"/>
    <x v="10"/>
    <x v="229"/>
    <n v="6.12"/>
    <n v="3"/>
    <n v="2.88"/>
    <x v="3"/>
    <x v="2"/>
  </r>
  <r>
    <n v="45030"/>
    <x v="300"/>
    <x v="3"/>
    <x v="1"/>
    <x v="5"/>
    <x v="342"/>
    <n v="383.8"/>
    <n v="5"/>
    <n v="38.380000000000003"/>
    <x v="3"/>
    <x v="2"/>
  </r>
  <r>
    <n v="45030"/>
    <x v="388"/>
    <x v="12"/>
    <x v="1"/>
    <x v="5"/>
    <x v="1283"/>
    <n v="933.54"/>
    <n v="4"/>
    <n v="105.02"/>
    <x v="3"/>
    <x v="2"/>
  </r>
  <r>
    <n v="45030"/>
    <x v="388"/>
    <x v="12"/>
    <x v="0"/>
    <x v="2"/>
    <x v="624"/>
    <n v="42.98"/>
    <n v="4"/>
    <n v="4.3"/>
    <x v="3"/>
    <x v="2"/>
  </r>
  <r>
    <n v="45030"/>
    <x v="23"/>
    <x v="6"/>
    <x v="0"/>
    <x v="2"/>
    <x v="90"/>
    <n v="81.2"/>
    <n v="5"/>
    <n v="12.18"/>
    <x v="3"/>
    <x v="2"/>
  </r>
  <r>
    <n v="45030"/>
    <x v="747"/>
    <x v="36"/>
    <x v="0"/>
    <x v="3"/>
    <x v="1664"/>
    <n v="25.06"/>
    <n v="2"/>
    <n v="11.78"/>
    <x v="3"/>
    <x v="2"/>
  </r>
  <r>
    <n v="45031"/>
    <x v="237"/>
    <x v="25"/>
    <x v="0"/>
    <x v="3"/>
    <x v="1665"/>
    <n v="189.59"/>
    <n v="2"/>
    <n v="-145.35"/>
    <x v="3"/>
    <x v="2"/>
  </r>
  <r>
    <n v="45031"/>
    <x v="237"/>
    <x v="25"/>
    <x v="2"/>
    <x v="9"/>
    <x v="279"/>
    <n v="408.74"/>
    <n v="7"/>
    <n v="76.64"/>
    <x v="3"/>
    <x v="2"/>
  </r>
  <r>
    <n v="45031"/>
    <x v="237"/>
    <x v="25"/>
    <x v="2"/>
    <x v="9"/>
    <x v="279"/>
    <n v="291.95999999999998"/>
    <n v="5"/>
    <n v="54.74"/>
    <x v="3"/>
    <x v="2"/>
  </r>
  <r>
    <n v="45031"/>
    <x v="237"/>
    <x v="25"/>
    <x v="0"/>
    <x v="2"/>
    <x v="1142"/>
    <n v="4.7699999999999996"/>
    <n v="2"/>
    <n v="-0.77"/>
    <x v="3"/>
    <x v="2"/>
  </r>
  <r>
    <n v="45031"/>
    <x v="649"/>
    <x v="3"/>
    <x v="1"/>
    <x v="5"/>
    <x v="599"/>
    <n v="1121.57"/>
    <n v="2"/>
    <n v="0"/>
    <x v="3"/>
    <x v="2"/>
  </r>
  <r>
    <n v="45031"/>
    <x v="168"/>
    <x v="0"/>
    <x v="0"/>
    <x v="4"/>
    <x v="1666"/>
    <n v="33.49"/>
    <n v="7"/>
    <n v="5.86"/>
    <x v="3"/>
    <x v="2"/>
  </r>
  <r>
    <n v="45031"/>
    <x v="168"/>
    <x v="0"/>
    <x v="0"/>
    <x v="7"/>
    <x v="789"/>
    <n v="8.0399999999999991"/>
    <n v="5"/>
    <n v="2.91"/>
    <x v="3"/>
    <x v="2"/>
  </r>
  <r>
    <n v="45031"/>
    <x v="488"/>
    <x v="3"/>
    <x v="0"/>
    <x v="0"/>
    <x v="1667"/>
    <n v="143.69999999999999"/>
    <n v="3"/>
    <n v="68.98"/>
    <x v="3"/>
    <x v="2"/>
  </r>
  <r>
    <n v="45032"/>
    <x v="358"/>
    <x v="4"/>
    <x v="0"/>
    <x v="4"/>
    <x v="514"/>
    <n v="12.84"/>
    <n v="3"/>
    <n v="3.72"/>
    <x v="3"/>
    <x v="2"/>
  </r>
  <r>
    <n v="45032"/>
    <x v="183"/>
    <x v="23"/>
    <x v="2"/>
    <x v="15"/>
    <x v="1668"/>
    <n v="9099.93"/>
    <n v="7"/>
    <n v="2365.98"/>
    <x v="3"/>
    <x v="2"/>
  </r>
  <r>
    <n v="45032"/>
    <x v="183"/>
    <x v="23"/>
    <x v="1"/>
    <x v="8"/>
    <x v="517"/>
    <n v="9.9600000000000009"/>
    <n v="2"/>
    <n v="3.29"/>
    <x v="3"/>
    <x v="2"/>
  </r>
  <r>
    <n v="45032"/>
    <x v="183"/>
    <x v="23"/>
    <x v="0"/>
    <x v="3"/>
    <x v="753"/>
    <n v="25.3"/>
    <n v="5"/>
    <n v="11.89"/>
    <x v="3"/>
    <x v="2"/>
  </r>
  <r>
    <n v="45032"/>
    <x v="240"/>
    <x v="22"/>
    <x v="0"/>
    <x v="14"/>
    <x v="906"/>
    <n v="28.8"/>
    <n v="3"/>
    <n v="0.86"/>
    <x v="3"/>
    <x v="2"/>
  </r>
  <r>
    <n v="45032"/>
    <x v="500"/>
    <x v="15"/>
    <x v="2"/>
    <x v="9"/>
    <x v="786"/>
    <n v="35.17"/>
    <n v="4"/>
    <n v="8.35"/>
    <x v="3"/>
    <x v="2"/>
  </r>
  <r>
    <n v="45032"/>
    <x v="500"/>
    <x v="15"/>
    <x v="0"/>
    <x v="0"/>
    <x v="1669"/>
    <n v="123.09"/>
    <n v="7"/>
    <n v="40"/>
    <x v="3"/>
    <x v="2"/>
  </r>
  <r>
    <n v="45033"/>
    <x v="151"/>
    <x v="25"/>
    <x v="2"/>
    <x v="6"/>
    <x v="422"/>
    <n v="36.79"/>
    <n v="1"/>
    <n v="4.1399999999999997"/>
    <x v="3"/>
    <x v="2"/>
  </r>
  <r>
    <n v="45033"/>
    <x v="151"/>
    <x v="25"/>
    <x v="1"/>
    <x v="8"/>
    <x v="1670"/>
    <n v="18.62"/>
    <n v="8"/>
    <n v="6.29"/>
    <x v="3"/>
    <x v="2"/>
  </r>
  <r>
    <n v="45033"/>
    <x v="746"/>
    <x v="40"/>
    <x v="0"/>
    <x v="7"/>
    <x v="320"/>
    <n v="29.05"/>
    <n v="5"/>
    <n v="9.01"/>
    <x v="3"/>
    <x v="2"/>
  </r>
  <r>
    <n v="45033"/>
    <x v="401"/>
    <x v="3"/>
    <x v="1"/>
    <x v="11"/>
    <x v="1671"/>
    <n v="257.5"/>
    <n v="3"/>
    <n v="24.24"/>
    <x v="3"/>
    <x v="2"/>
  </r>
  <r>
    <n v="45033"/>
    <x v="345"/>
    <x v="15"/>
    <x v="1"/>
    <x v="8"/>
    <x v="1672"/>
    <n v="79.12"/>
    <n v="5"/>
    <n v="13.85"/>
    <x v="3"/>
    <x v="2"/>
  </r>
  <r>
    <n v="45034"/>
    <x v="748"/>
    <x v="1"/>
    <x v="0"/>
    <x v="2"/>
    <x v="1054"/>
    <n v="230.38"/>
    <n v="3"/>
    <n v="-48.95"/>
    <x v="3"/>
    <x v="2"/>
  </r>
  <r>
    <n v="45034"/>
    <x v="748"/>
    <x v="1"/>
    <x v="0"/>
    <x v="0"/>
    <x v="416"/>
    <n v="9.66"/>
    <n v="2"/>
    <n v="3.26"/>
    <x v="3"/>
    <x v="2"/>
  </r>
  <r>
    <n v="45034"/>
    <x v="503"/>
    <x v="6"/>
    <x v="0"/>
    <x v="12"/>
    <x v="661"/>
    <n v="203.92"/>
    <n v="4"/>
    <n v="55.06"/>
    <x v="3"/>
    <x v="2"/>
  </r>
  <r>
    <n v="45034"/>
    <x v="503"/>
    <x v="6"/>
    <x v="2"/>
    <x v="6"/>
    <x v="1516"/>
    <n v="29.56"/>
    <n v="4"/>
    <n v="7.98"/>
    <x v="3"/>
    <x v="2"/>
  </r>
  <r>
    <n v="45034"/>
    <x v="424"/>
    <x v="0"/>
    <x v="1"/>
    <x v="5"/>
    <x v="561"/>
    <n v="344.37"/>
    <n v="4"/>
    <n v="-93.47"/>
    <x v="3"/>
    <x v="2"/>
  </r>
  <r>
    <n v="45034"/>
    <x v="424"/>
    <x v="0"/>
    <x v="0"/>
    <x v="2"/>
    <x v="1380"/>
    <n v="1554.94"/>
    <n v="3"/>
    <n v="77.75"/>
    <x v="3"/>
    <x v="2"/>
  </r>
  <r>
    <n v="45034"/>
    <x v="424"/>
    <x v="0"/>
    <x v="1"/>
    <x v="8"/>
    <x v="1466"/>
    <n v="127.88"/>
    <n v="5"/>
    <n v="-67.14"/>
    <x v="3"/>
    <x v="2"/>
  </r>
  <r>
    <n v="45034"/>
    <x v="599"/>
    <x v="20"/>
    <x v="0"/>
    <x v="4"/>
    <x v="208"/>
    <n v="6.99"/>
    <n v="3"/>
    <n v="2.0299999999999998"/>
    <x v="3"/>
    <x v="2"/>
  </r>
  <r>
    <n v="45034"/>
    <x v="599"/>
    <x v="20"/>
    <x v="0"/>
    <x v="14"/>
    <x v="777"/>
    <n v="6.84"/>
    <n v="1"/>
    <n v="1.85"/>
    <x v="3"/>
    <x v="2"/>
  </r>
  <r>
    <n v="45035"/>
    <x v="146"/>
    <x v="10"/>
    <x v="1"/>
    <x v="13"/>
    <x v="1600"/>
    <n v="205.18"/>
    <n v="2"/>
    <n v="-58.13"/>
    <x v="3"/>
    <x v="2"/>
  </r>
  <r>
    <n v="45035"/>
    <x v="146"/>
    <x v="10"/>
    <x v="0"/>
    <x v="0"/>
    <x v="600"/>
    <n v="419.4"/>
    <n v="5"/>
    <n v="146.79"/>
    <x v="3"/>
    <x v="2"/>
  </r>
  <r>
    <n v="45035"/>
    <x v="117"/>
    <x v="3"/>
    <x v="2"/>
    <x v="6"/>
    <x v="129"/>
    <n v="39.96"/>
    <n v="5"/>
    <n v="12.99"/>
    <x v="3"/>
    <x v="2"/>
  </r>
  <r>
    <n v="45035"/>
    <x v="117"/>
    <x v="3"/>
    <x v="0"/>
    <x v="4"/>
    <x v="1581"/>
    <n v="5.46"/>
    <n v="3"/>
    <n v="1.53"/>
    <x v="3"/>
    <x v="2"/>
  </r>
  <r>
    <n v="45035"/>
    <x v="117"/>
    <x v="3"/>
    <x v="0"/>
    <x v="4"/>
    <x v="54"/>
    <n v="73.2"/>
    <n v="5"/>
    <n v="21.23"/>
    <x v="3"/>
    <x v="2"/>
  </r>
  <r>
    <n v="45035"/>
    <x v="117"/>
    <x v="3"/>
    <x v="0"/>
    <x v="3"/>
    <x v="772"/>
    <n v="5.84"/>
    <n v="1"/>
    <n v="1.97"/>
    <x v="3"/>
    <x v="2"/>
  </r>
  <r>
    <n v="45035"/>
    <x v="117"/>
    <x v="3"/>
    <x v="0"/>
    <x v="0"/>
    <x v="1243"/>
    <n v="22.72"/>
    <n v="4"/>
    <n v="10.220000000000001"/>
    <x v="3"/>
    <x v="2"/>
  </r>
  <r>
    <n v="45035"/>
    <x v="117"/>
    <x v="3"/>
    <x v="0"/>
    <x v="3"/>
    <x v="1149"/>
    <n v="9.34"/>
    <n v="3"/>
    <n v="3.27"/>
    <x v="3"/>
    <x v="2"/>
  </r>
  <r>
    <n v="45035"/>
    <x v="111"/>
    <x v="20"/>
    <x v="2"/>
    <x v="6"/>
    <x v="1555"/>
    <n v="25.98"/>
    <n v="2"/>
    <n v="0.78"/>
    <x v="3"/>
    <x v="2"/>
  </r>
  <r>
    <n v="45035"/>
    <x v="111"/>
    <x v="20"/>
    <x v="0"/>
    <x v="4"/>
    <x v="543"/>
    <n v="3.28"/>
    <n v="2"/>
    <n v="1.48"/>
    <x v="3"/>
    <x v="2"/>
  </r>
  <r>
    <n v="45035"/>
    <x v="111"/>
    <x v="20"/>
    <x v="0"/>
    <x v="2"/>
    <x v="75"/>
    <n v="459.88"/>
    <n v="4"/>
    <n v="13.8"/>
    <x v="3"/>
    <x v="2"/>
  </r>
  <r>
    <n v="45035"/>
    <x v="111"/>
    <x v="20"/>
    <x v="0"/>
    <x v="14"/>
    <x v="532"/>
    <n v="7.76"/>
    <n v="2"/>
    <n v="2.25"/>
    <x v="3"/>
    <x v="2"/>
  </r>
  <r>
    <n v="45035"/>
    <x v="111"/>
    <x v="20"/>
    <x v="0"/>
    <x v="4"/>
    <x v="1341"/>
    <n v="71.959999999999994"/>
    <n v="2"/>
    <n v="17.989999999999998"/>
    <x v="3"/>
    <x v="2"/>
  </r>
  <r>
    <n v="45035"/>
    <x v="111"/>
    <x v="20"/>
    <x v="0"/>
    <x v="14"/>
    <x v="1458"/>
    <n v="54.9"/>
    <n v="5"/>
    <n v="15.37"/>
    <x v="3"/>
    <x v="2"/>
  </r>
  <r>
    <n v="45035"/>
    <x v="111"/>
    <x v="20"/>
    <x v="0"/>
    <x v="3"/>
    <x v="541"/>
    <n v="9.2799999999999994"/>
    <n v="2"/>
    <n v="3.25"/>
    <x v="3"/>
    <x v="2"/>
  </r>
  <r>
    <n v="45037"/>
    <x v="457"/>
    <x v="1"/>
    <x v="0"/>
    <x v="2"/>
    <x v="555"/>
    <n v="102.34"/>
    <n v="4"/>
    <n v="-12.79"/>
    <x v="3"/>
    <x v="2"/>
  </r>
  <r>
    <n v="45037"/>
    <x v="457"/>
    <x v="1"/>
    <x v="0"/>
    <x v="12"/>
    <x v="1305"/>
    <n v="48.79"/>
    <n v="3"/>
    <n v="-126.86"/>
    <x v="3"/>
    <x v="2"/>
  </r>
  <r>
    <n v="45037"/>
    <x v="457"/>
    <x v="1"/>
    <x v="0"/>
    <x v="3"/>
    <x v="695"/>
    <n v="44.85"/>
    <n v="8"/>
    <n v="-67.27"/>
    <x v="3"/>
    <x v="2"/>
  </r>
  <r>
    <n v="45037"/>
    <x v="416"/>
    <x v="22"/>
    <x v="0"/>
    <x v="3"/>
    <x v="1496"/>
    <n v="8.32"/>
    <n v="5"/>
    <n v="2.81"/>
    <x v="3"/>
    <x v="2"/>
  </r>
  <r>
    <n v="45037"/>
    <x v="542"/>
    <x v="37"/>
    <x v="0"/>
    <x v="4"/>
    <x v="1405"/>
    <n v="15.48"/>
    <n v="3"/>
    <n v="4.49"/>
    <x v="3"/>
    <x v="2"/>
  </r>
  <r>
    <n v="45037"/>
    <x v="542"/>
    <x v="37"/>
    <x v="0"/>
    <x v="0"/>
    <x v="266"/>
    <n v="51.84"/>
    <n v="8"/>
    <n v="24.88"/>
    <x v="3"/>
    <x v="2"/>
  </r>
  <r>
    <n v="45038"/>
    <x v="451"/>
    <x v="12"/>
    <x v="1"/>
    <x v="8"/>
    <x v="152"/>
    <n v="23.56"/>
    <n v="5"/>
    <n v="7.07"/>
    <x v="3"/>
    <x v="2"/>
  </r>
  <r>
    <n v="45038"/>
    <x v="451"/>
    <x v="12"/>
    <x v="1"/>
    <x v="13"/>
    <x v="233"/>
    <n v="1272.6300000000001"/>
    <n v="6"/>
    <n v="-814.48"/>
    <x v="3"/>
    <x v="2"/>
  </r>
  <r>
    <n v="45038"/>
    <x v="451"/>
    <x v="12"/>
    <x v="0"/>
    <x v="3"/>
    <x v="1135"/>
    <n v="28.49"/>
    <n v="5"/>
    <n v="-20.89"/>
    <x v="3"/>
    <x v="2"/>
  </r>
  <r>
    <n v="45038"/>
    <x v="451"/>
    <x v="12"/>
    <x v="0"/>
    <x v="14"/>
    <x v="1673"/>
    <n v="185.38"/>
    <n v="2"/>
    <n v="-34.76"/>
    <x v="3"/>
    <x v="2"/>
  </r>
  <r>
    <n v="45038"/>
    <x v="451"/>
    <x v="12"/>
    <x v="0"/>
    <x v="12"/>
    <x v="155"/>
    <n v="78.27"/>
    <n v="2"/>
    <n v="5.87"/>
    <x v="3"/>
    <x v="2"/>
  </r>
  <r>
    <n v="45038"/>
    <x v="749"/>
    <x v="24"/>
    <x v="1"/>
    <x v="8"/>
    <x v="1139"/>
    <n v="86.62"/>
    <n v="2"/>
    <n v="8.66"/>
    <x v="3"/>
    <x v="2"/>
  </r>
  <r>
    <n v="45038"/>
    <x v="722"/>
    <x v="1"/>
    <x v="0"/>
    <x v="2"/>
    <x v="788"/>
    <n v="23.95"/>
    <n v="2"/>
    <n v="2.4"/>
    <x v="3"/>
    <x v="2"/>
  </r>
  <r>
    <n v="45038"/>
    <x v="194"/>
    <x v="3"/>
    <x v="1"/>
    <x v="8"/>
    <x v="58"/>
    <n v="31.56"/>
    <n v="3"/>
    <n v="10.41"/>
    <x v="3"/>
    <x v="2"/>
  </r>
  <r>
    <n v="45038"/>
    <x v="13"/>
    <x v="20"/>
    <x v="0"/>
    <x v="4"/>
    <x v="1321"/>
    <n v="32.130000000000003"/>
    <n v="9"/>
    <n v="8.35"/>
    <x v="3"/>
    <x v="2"/>
  </r>
  <r>
    <n v="45038"/>
    <x v="13"/>
    <x v="20"/>
    <x v="0"/>
    <x v="4"/>
    <x v="616"/>
    <n v="2.88"/>
    <n v="1"/>
    <n v="0.81"/>
    <x v="3"/>
    <x v="2"/>
  </r>
  <r>
    <n v="45039"/>
    <x v="271"/>
    <x v="3"/>
    <x v="0"/>
    <x v="3"/>
    <x v="81"/>
    <n v="251.52"/>
    <n v="6"/>
    <n v="81.739999999999995"/>
    <x v="3"/>
    <x v="2"/>
  </r>
  <r>
    <n v="45039"/>
    <x v="271"/>
    <x v="3"/>
    <x v="2"/>
    <x v="9"/>
    <x v="297"/>
    <n v="99.99"/>
    <n v="1"/>
    <n v="35"/>
    <x v="3"/>
    <x v="2"/>
  </r>
  <r>
    <n v="45039"/>
    <x v="252"/>
    <x v="25"/>
    <x v="0"/>
    <x v="0"/>
    <x v="1674"/>
    <n v="36.24"/>
    <n v="5"/>
    <n v="11.33"/>
    <x v="3"/>
    <x v="2"/>
  </r>
  <r>
    <n v="45039"/>
    <x v="655"/>
    <x v="10"/>
    <x v="0"/>
    <x v="0"/>
    <x v="1675"/>
    <n v="108.34"/>
    <n v="6"/>
    <n v="37.92"/>
    <x v="3"/>
    <x v="2"/>
  </r>
  <r>
    <n v="45039"/>
    <x v="655"/>
    <x v="10"/>
    <x v="0"/>
    <x v="2"/>
    <x v="49"/>
    <n v="55.92"/>
    <n v="5"/>
    <n v="6.29"/>
    <x v="3"/>
    <x v="2"/>
  </r>
  <r>
    <n v="45039"/>
    <x v="655"/>
    <x v="10"/>
    <x v="0"/>
    <x v="0"/>
    <x v="819"/>
    <n v="78.3"/>
    <n v="2"/>
    <n v="29.36"/>
    <x v="3"/>
    <x v="2"/>
  </r>
  <r>
    <n v="45039"/>
    <x v="721"/>
    <x v="3"/>
    <x v="0"/>
    <x v="3"/>
    <x v="309"/>
    <n v="18.09"/>
    <n v="7"/>
    <n v="6.56"/>
    <x v="3"/>
    <x v="2"/>
  </r>
  <r>
    <n v="45039"/>
    <x v="721"/>
    <x v="3"/>
    <x v="0"/>
    <x v="10"/>
    <x v="1270"/>
    <n v="71.97"/>
    <n v="3"/>
    <n v="35.99"/>
    <x v="3"/>
    <x v="2"/>
  </r>
  <r>
    <n v="45040"/>
    <x v="683"/>
    <x v="0"/>
    <x v="2"/>
    <x v="9"/>
    <x v="23"/>
    <n v="258.7"/>
    <n v="3"/>
    <n v="64.67"/>
    <x v="3"/>
    <x v="2"/>
  </r>
  <r>
    <n v="45040"/>
    <x v="304"/>
    <x v="3"/>
    <x v="0"/>
    <x v="3"/>
    <x v="547"/>
    <n v="3.98"/>
    <n v="1"/>
    <n v="1.39"/>
    <x v="3"/>
    <x v="2"/>
  </r>
  <r>
    <n v="45040"/>
    <x v="750"/>
    <x v="26"/>
    <x v="0"/>
    <x v="0"/>
    <x v="291"/>
    <n v="15.55"/>
    <n v="3"/>
    <n v="5.44"/>
    <x v="3"/>
    <x v="2"/>
  </r>
  <r>
    <n v="45040"/>
    <x v="750"/>
    <x v="26"/>
    <x v="1"/>
    <x v="5"/>
    <x v="782"/>
    <n v="1325.76"/>
    <n v="6"/>
    <n v="149.15"/>
    <x v="3"/>
    <x v="2"/>
  </r>
  <r>
    <n v="45040"/>
    <x v="750"/>
    <x v="26"/>
    <x v="0"/>
    <x v="3"/>
    <x v="811"/>
    <n v="3.11"/>
    <n v="2"/>
    <n v="-2.1800000000000002"/>
    <x v="3"/>
    <x v="2"/>
  </r>
  <r>
    <n v="45041"/>
    <x v="315"/>
    <x v="2"/>
    <x v="2"/>
    <x v="6"/>
    <x v="35"/>
    <n v="82.8"/>
    <n v="2"/>
    <n v="-20.7"/>
    <x v="3"/>
    <x v="2"/>
  </r>
  <r>
    <n v="45041"/>
    <x v="315"/>
    <x v="2"/>
    <x v="0"/>
    <x v="3"/>
    <x v="1599"/>
    <n v="20.72"/>
    <n v="2"/>
    <n v="-13.82"/>
    <x v="3"/>
    <x v="2"/>
  </r>
  <r>
    <n v="45041"/>
    <x v="315"/>
    <x v="2"/>
    <x v="0"/>
    <x v="3"/>
    <x v="601"/>
    <n v="4.9000000000000004"/>
    <n v="3"/>
    <n v="-3.43"/>
    <x v="3"/>
    <x v="2"/>
  </r>
  <r>
    <n v="45042"/>
    <x v="524"/>
    <x v="20"/>
    <x v="1"/>
    <x v="5"/>
    <x v="868"/>
    <n v="434.65"/>
    <n v="3"/>
    <n v="62.78"/>
    <x v="3"/>
    <x v="2"/>
  </r>
  <r>
    <n v="45044"/>
    <x v="555"/>
    <x v="0"/>
    <x v="2"/>
    <x v="6"/>
    <x v="855"/>
    <n v="369.58"/>
    <n v="3"/>
    <n v="41.58"/>
    <x v="3"/>
    <x v="2"/>
  </r>
  <r>
    <n v="45044"/>
    <x v="555"/>
    <x v="0"/>
    <x v="0"/>
    <x v="1"/>
    <x v="1676"/>
    <n v="15.71"/>
    <n v="4"/>
    <n v="5.7"/>
    <x v="3"/>
    <x v="2"/>
  </r>
  <r>
    <n v="45044"/>
    <x v="200"/>
    <x v="26"/>
    <x v="0"/>
    <x v="0"/>
    <x v="572"/>
    <n v="29.47"/>
    <n v="3"/>
    <n v="9.9499999999999993"/>
    <x v="3"/>
    <x v="2"/>
  </r>
  <r>
    <n v="45044"/>
    <x v="731"/>
    <x v="3"/>
    <x v="1"/>
    <x v="5"/>
    <x v="241"/>
    <n v="41.57"/>
    <n v="2"/>
    <n v="2.6"/>
    <x v="3"/>
    <x v="2"/>
  </r>
  <r>
    <n v="45044"/>
    <x v="751"/>
    <x v="1"/>
    <x v="1"/>
    <x v="8"/>
    <x v="676"/>
    <n v="30.34"/>
    <n v="2"/>
    <n v="-31.86"/>
    <x v="3"/>
    <x v="2"/>
  </r>
  <r>
    <n v="45046"/>
    <x v="154"/>
    <x v="20"/>
    <x v="0"/>
    <x v="3"/>
    <x v="575"/>
    <n v="7.71"/>
    <n v="2"/>
    <n v="2.8"/>
    <x v="3"/>
    <x v="2"/>
  </r>
  <r>
    <n v="45046"/>
    <x v="151"/>
    <x v="0"/>
    <x v="1"/>
    <x v="8"/>
    <x v="1310"/>
    <n v="22.61"/>
    <n v="3"/>
    <n v="-10.17"/>
    <x v="3"/>
    <x v="2"/>
  </r>
  <r>
    <n v="45046"/>
    <x v="687"/>
    <x v="12"/>
    <x v="1"/>
    <x v="8"/>
    <x v="1113"/>
    <n v="111.89"/>
    <n v="7"/>
    <n v="22.38"/>
    <x v="3"/>
    <x v="2"/>
  </r>
  <r>
    <n v="45047"/>
    <x v="221"/>
    <x v="15"/>
    <x v="0"/>
    <x v="1"/>
    <x v="849"/>
    <n v="3.98"/>
    <n v="1"/>
    <n v="1.29"/>
    <x v="4"/>
    <x v="2"/>
  </r>
  <r>
    <n v="45047"/>
    <x v="221"/>
    <x v="15"/>
    <x v="1"/>
    <x v="13"/>
    <x v="490"/>
    <n v="370.62"/>
    <n v="3"/>
    <n v="-142.07"/>
    <x v="4"/>
    <x v="2"/>
  </r>
  <r>
    <n v="45047"/>
    <x v="221"/>
    <x v="15"/>
    <x v="0"/>
    <x v="3"/>
    <x v="573"/>
    <n v="2.74"/>
    <n v="2"/>
    <n v="-2.0099999999999998"/>
    <x v="4"/>
    <x v="2"/>
  </r>
  <r>
    <n v="45047"/>
    <x v="752"/>
    <x v="13"/>
    <x v="0"/>
    <x v="0"/>
    <x v="1520"/>
    <n v="109.92"/>
    <n v="2"/>
    <n v="53.86"/>
    <x v="4"/>
    <x v="2"/>
  </r>
  <r>
    <n v="45047"/>
    <x v="752"/>
    <x v="13"/>
    <x v="0"/>
    <x v="0"/>
    <x v="721"/>
    <n v="19.440000000000001"/>
    <n v="3"/>
    <n v="9.33"/>
    <x v="4"/>
    <x v="2"/>
  </r>
  <r>
    <n v="45047"/>
    <x v="752"/>
    <x v="13"/>
    <x v="0"/>
    <x v="4"/>
    <x v="385"/>
    <n v="11.16"/>
    <n v="2"/>
    <n v="4.3499999999999996"/>
    <x v="4"/>
    <x v="2"/>
  </r>
  <r>
    <n v="45048"/>
    <x v="741"/>
    <x v="0"/>
    <x v="0"/>
    <x v="4"/>
    <x v="1341"/>
    <n v="86.35"/>
    <n v="3"/>
    <n v="5.4"/>
    <x v="4"/>
    <x v="2"/>
  </r>
  <r>
    <n v="45048"/>
    <x v="204"/>
    <x v="20"/>
    <x v="0"/>
    <x v="2"/>
    <x v="1677"/>
    <n v="44.94"/>
    <n v="3"/>
    <n v="12.58"/>
    <x v="4"/>
    <x v="2"/>
  </r>
  <r>
    <n v="45048"/>
    <x v="204"/>
    <x v="20"/>
    <x v="0"/>
    <x v="3"/>
    <x v="1135"/>
    <n v="45.58"/>
    <n v="3"/>
    <n v="15.95"/>
    <x v="4"/>
    <x v="2"/>
  </r>
  <r>
    <n v="45048"/>
    <x v="275"/>
    <x v="25"/>
    <x v="1"/>
    <x v="5"/>
    <x v="241"/>
    <n v="187.06"/>
    <n v="9"/>
    <n v="11.69"/>
    <x v="4"/>
    <x v="2"/>
  </r>
  <r>
    <n v="45048"/>
    <x v="423"/>
    <x v="0"/>
    <x v="0"/>
    <x v="2"/>
    <x v="110"/>
    <n v="18.940000000000001"/>
    <n v="3"/>
    <n v="-3.79"/>
    <x v="4"/>
    <x v="2"/>
  </r>
  <r>
    <n v="45048"/>
    <x v="423"/>
    <x v="0"/>
    <x v="0"/>
    <x v="2"/>
    <x v="235"/>
    <n v="12.67"/>
    <n v="3"/>
    <n v="-3.17"/>
    <x v="4"/>
    <x v="2"/>
  </r>
  <r>
    <n v="45048"/>
    <x v="423"/>
    <x v="0"/>
    <x v="0"/>
    <x v="1"/>
    <x v="1678"/>
    <n v="5.04"/>
    <n v="2"/>
    <n v="1.76"/>
    <x v="4"/>
    <x v="2"/>
  </r>
  <r>
    <n v="45048"/>
    <x v="245"/>
    <x v="0"/>
    <x v="1"/>
    <x v="5"/>
    <x v="914"/>
    <n v="366.74"/>
    <n v="4"/>
    <n v="-110.02"/>
    <x v="4"/>
    <x v="2"/>
  </r>
  <r>
    <n v="45048"/>
    <x v="150"/>
    <x v="20"/>
    <x v="1"/>
    <x v="8"/>
    <x v="1387"/>
    <n v="12.56"/>
    <n v="2"/>
    <n v="4.0199999999999996"/>
    <x v="4"/>
    <x v="2"/>
  </r>
  <r>
    <n v="45048"/>
    <x v="150"/>
    <x v="20"/>
    <x v="0"/>
    <x v="3"/>
    <x v="556"/>
    <n v="90.48"/>
    <n v="3"/>
    <n v="33.93"/>
    <x v="4"/>
    <x v="2"/>
  </r>
  <r>
    <n v="45048"/>
    <x v="150"/>
    <x v="20"/>
    <x v="0"/>
    <x v="0"/>
    <x v="894"/>
    <n v="13.08"/>
    <n v="2"/>
    <n v="6.02"/>
    <x v="4"/>
    <x v="2"/>
  </r>
  <r>
    <n v="45048"/>
    <x v="150"/>
    <x v="20"/>
    <x v="1"/>
    <x v="8"/>
    <x v="985"/>
    <n v="214.7"/>
    <n v="5"/>
    <n v="83.73"/>
    <x v="4"/>
    <x v="2"/>
  </r>
  <r>
    <n v="45049"/>
    <x v="710"/>
    <x v="1"/>
    <x v="0"/>
    <x v="3"/>
    <x v="1480"/>
    <n v="2.1800000000000002"/>
    <n v="1"/>
    <n v="-3.6"/>
    <x v="4"/>
    <x v="2"/>
  </r>
  <r>
    <n v="45049"/>
    <x v="710"/>
    <x v="1"/>
    <x v="0"/>
    <x v="4"/>
    <x v="1275"/>
    <n v="27.38"/>
    <n v="7"/>
    <n v="2.74"/>
    <x v="4"/>
    <x v="2"/>
  </r>
  <r>
    <n v="45049"/>
    <x v="710"/>
    <x v="1"/>
    <x v="0"/>
    <x v="12"/>
    <x v="699"/>
    <n v="26.41"/>
    <n v="3"/>
    <n v="-71.3"/>
    <x v="4"/>
    <x v="2"/>
  </r>
  <r>
    <n v="45049"/>
    <x v="753"/>
    <x v="10"/>
    <x v="2"/>
    <x v="9"/>
    <x v="1037"/>
    <n v="132.52000000000001"/>
    <n v="5"/>
    <n v="34.79"/>
    <x v="4"/>
    <x v="2"/>
  </r>
  <r>
    <n v="45049"/>
    <x v="753"/>
    <x v="10"/>
    <x v="0"/>
    <x v="2"/>
    <x v="1204"/>
    <n v="195.64"/>
    <n v="5"/>
    <n v="-44.02"/>
    <x v="4"/>
    <x v="2"/>
  </r>
  <r>
    <n v="45049"/>
    <x v="753"/>
    <x v="10"/>
    <x v="1"/>
    <x v="8"/>
    <x v="866"/>
    <n v="51.97"/>
    <n v="2"/>
    <n v="10.39"/>
    <x v="4"/>
    <x v="2"/>
  </r>
  <r>
    <n v="45049"/>
    <x v="753"/>
    <x v="10"/>
    <x v="2"/>
    <x v="9"/>
    <x v="1542"/>
    <n v="431.98"/>
    <n v="3"/>
    <n v="-75.599999999999994"/>
    <x v="4"/>
    <x v="2"/>
  </r>
  <r>
    <n v="45049"/>
    <x v="753"/>
    <x v="10"/>
    <x v="2"/>
    <x v="15"/>
    <x v="1679"/>
    <n v="224.94"/>
    <n v="3"/>
    <n v="-164.95"/>
    <x v="4"/>
    <x v="2"/>
  </r>
  <r>
    <n v="45049"/>
    <x v="753"/>
    <x v="10"/>
    <x v="0"/>
    <x v="1"/>
    <x v="1680"/>
    <n v="6"/>
    <n v="2"/>
    <n v="2.1"/>
    <x v="4"/>
    <x v="2"/>
  </r>
  <r>
    <n v="45051"/>
    <x v="11"/>
    <x v="5"/>
    <x v="0"/>
    <x v="0"/>
    <x v="189"/>
    <n v="79.14"/>
    <n v="3"/>
    <n v="36.4"/>
    <x v="4"/>
    <x v="2"/>
  </r>
  <r>
    <n v="45051"/>
    <x v="225"/>
    <x v="15"/>
    <x v="0"/>
    <x v="0"/>
    <x v="607"/>
    <n v="14.35"/>
    <n v="3"/>
    <n v="5.2"/>
    <x v="4"/>
    <x v="2"/>
  </r>
  <r>
    <n v="45051"/>
    <x v="429"/>
    <x v="3"/>
    <x v="0"/>
    <x v="2"/>
    <x v="565"/>
    <n v="5.98"/>
    <n v="1"/>
    <n v="1.02"/>
    <x v="4"/>
    <x v="2"/>
  </r>
  <r>
    <n v="45051"/>
    <x v="429"/>
    <x v="3"/>
    <x v="2"/>
    <x v="6"/>
    <x v="1603"/>
    <n v="246.17"/>
    <n v="3"/>
    <n v="21.54"/>
    <x v="4"/>
    <x v="2"/>
  </r>
  <r>
    <n v="45051"/>
    <x v="406"/>
    <x v="3"/>
    <x v="0"/>
    <x v="3"/>
    <x v="947"/>
    <n v="6.72"/>
    <n v="5"/>
    <n v="2.35"/>
    <x v="4"/>
    <x v="2"/>
  </r>
  <r>
    <n v="45051"/>
    <x v="406"/>
    <x v="3"/>
    <x v="1"/>
    <x v="13"/>
    <x v="296"/>
    <n v="298.77999999999997"/>
    <n v="3"/>
    <n v="7.47"/>
    <x v="4"/>
    <x v="2"/>
  </r>
  <r>
    <n v="45051"/>
    <x v="368"/>
    <x v="15"/>
    <x v="1"/>
    <x v="8"/>
    <x v="1141"/>
    <n v="16.72"/>
    <n v="5"/>
    <n v="3.34"/>
    <x v="4"/>
    <x v="2"/>
  </r>
  <r>
    <n v="45051"/>
    <x v="596"/>
    <x v="3"/>
    <x v="1"/>
    <x v="13"/>
    <x v="1174"/>
    <n v="71.09"/>
    <n v="2"/>
    <n v="-1.78"/>
    <x v="4"/>
    <x v="2"/>
  </r>
  <r>
    <n v="45051"/>
    <x v="754"/>
    <x v="17"/>
    <x v="1"/>
    <x v="13"/>
    <x v="1681"/>
    <n v="1685.88"/>
    <n v="6"/>
    <n v="320.32"/>
    <x v="4"/>
    <x v="2"/>
  </r>
  <r>
    <n v="45051"/>
    <x v="754"/>
    <x v="17"/>
    <x v="0"/>
    <x v="3"/>
    <x v="824"/>
    <n v="5.73"/>
    <n v="2"/>
    <n v="2"/>
    <x v="4"/>
    <x v="2"/>
  </r>
  <r>
    <n v="45051"/>
    <x v="81"/>
    <x v="16"/>
    <x v="0"/>
    <x v="0"/>
    <x v="1682"/>
    <n v="93.25"/>
    <n v="4"/>
    <n v="31.47"/>
    <x v="4"/>
    <x v="2"/>
  </r>
  <r>
    <n v="45051"/>
    <x v="81"/>
    <x v="16"/>
    <x v="2"/>
    <x v="6"/>
    <x v="1578"/>
    <n v="177.48"/>
    <n v="3"/>
    <n v="19.97"/>
    <x v="4"/>
    <x v="2"/>
  </r>
  <r>
    <n v="45052"/>
    <x v="671"/>
    <x v="10"/>
    <x v="0"/>
    <x v="7"/>
    <x v="1156"/>
    <n v="7.22"/>
    <n v="2"/>
    <n v="1.71"/>
    <x v="4"/>
    <x v="2"/>
  </r>
  <r>
    <n v="45052"/>
    <x v="671"/>
    <x v="10"/>
    <x v="0"/>
    <x v="0"/>
    <x v="214"/>
    <n v="49.57"/>
    <n v="2"/>
    <n v="15.49"/>
    <x v="4"/>
    <x v="2"/>
  </r>
  <r>
    <n v="45052"/>
    <x v="671"/>
    <x v="10"/>
    <x v="1"/>
    <x v="8"/>
    <x v="1683"/>
    <n v="54.71"/>
    <n v="7"/>
    <n v="11.63"/>
    <x v="4"/>
    <x v="2"/>
  </r>
  <r>
    <n v="45052"/>
    <x v="721"/>
    <x v="1"/>
    <x v="0"/>
    <x v="3"/>
    <x v="170"/>
    <n v="3.21"/>
    <n v="2"/>
    <n v="-5.29"/>
    <x v="4"/>
    <x v="2"/>
  </r>
  <r>
    <n v="45052"/>
    <x v="721"/>
    <x v="1"/>
    <x v="2"/>
    <x v="9"/>
    <x v="665"/>
    <n v="26.18"/>
    <n v="2"/>
    <n v="-3.27"/>
    <x v="4"/>
    <x v="2"/>
  </r>
  <r>
    <n v="45052"/>
    <x v="671"/>
    <x v="24"/>
    <x v="0"/>
    <x v="12"/>
    <x v="1217"/>
    <n v="54.48"/>
    <n v="1"/>
    <n v="15.25"/>
    <x v="4"/>
    <x v="2"/>
  </r>
  <r>
    <n v="45052"/>
    <x v="344"/>
    <x v="3"/>
    <x v="1"/>
    <x v="8"/>
    <x v="1684"/>
    <n v="41.6"/>
    <n v="4"/>
    <n v="14.14"/>
    <x v="4"/>
    <x v="2"/>
  </r>
  <r>
    <n v="45053"/>
    <x v="740"/>
    <x v="20"/>
    <x v="0"/>
    <x v="3"/>
    <x v="185"/>
    <n v="85.23"/>
    <n v="7"/>
    <n v="30.9"/>
    <x v="4"/>
    <x v="2"/>
  </r>
  <r>
    <n v="45053"/>
    <x v="740"/>
    <x v="20"/>
    <x v="0"/>
    <x v="1"/>
    <x v="798"/>
    <n v="44.4"/>
    <n v="3"/>
    <n v="22.2"/>
    <x v="4"/>
    <x v="2"/>
  </r>
  <r>
    <n v="45053"/>
    <x v="740"/>
    <x v="20"/>
    <x v="1"/>
    <x v="5"/>
    <x v="1255"/>
    <n v="442.76"/>
    <n v="4"/>
    <n v="59.04"/>
    <x v="4"/>
    <x v="2"/>
  </r>
  <r>
    <n v="45053"/>
    <x v="740"/>
    <x v="20"/>
    <x v="2"/>
    <x v="15"/>
    <x v="1229"/>
    <n v="3999.95"/>
    <n v="5"/>
    <n v="1159.99"/>
    <x v="4"/>
    <x v="2"/>
  </r>
  <r>
    <n v="45053"/>
    <x v="740"/>
    <x v="20"/>
    <x v="2"/>
    <x v="9"/>
    <x v="677"/>
    <n v="199.95"/>
    <n v="5"/>
    <n v="21.99"/>
    <x v="4"/>
    <x v="2"/>
  </r>
  <r>
    <n v="45053"/>
    <x v="740"/>
    <x v="20"/>
    <x v="1"/>
    <x v="8"/>
    <x v="626"/>
    <n v="63.68"/>
    <n v="8"/>
    <n v="28.02"/>
    <x v="4"/>
    <x v="2"/>
  </r>
  <r>
    <n v="45054"/>
    <x v="169"/>
    <x v="7"/>
    <x v="1"/>
    <x v="8"/>
    <x v="1445"/>
    <n v="211.96"/>
    <n v="2"/>
    <n v="42.39"/>
    <x v="4"/>
    <x v="2"/>
  </r>
  <r>
    <n v="45054"/>
    <x v="68"/>
    <x v="10"/>
    <x v="0"/>
    <x v="2"/>
    <x v="650"/>
    <n v="1006.06"/>
    <n v="3"/>
    <n v="88.03"/>
    <x v="4"/>
    <x v="2"/>
  </r>
  <r>
    <n v="45054"/>
    <x v="68"/>
    <x v="10"/>
    <x v="0"/>
    <x v="0"/>
    <x v="257"/>
    <n v="10.69"/>
    <n v="2"/>
    <n v="3.74"/>
    <x v="4"/>
    <x v="2"/>
  </r>
  <r>
    <n v="45054"/>
    <x v="68"/>
    <x v="10"/>
    <x v="0"/>
    <x v="0"/>
    <x v="1378"/>
    <n v="10.37"/>
    <n v="2"/>
    <n v="3.63"/>
    <x v="4"/>
    <x v="2"/>
  </r>
  <r>
    <n v="45054"/>
    <x v="68"/>
    <x v="10"/>
    <x v="0"/>
    <x v="2"/>
    <x v="1533"/>
    <n v="25.12"/>
    <n v="2"/>
    <n v="1.57"/>
    <x v="4"/>
    <x v="2"/>
  </r>
  <r>
    <n v="45054"/>
    <x v="68"/>
    <x v="10"/>
    <x v="2"/>
    <x v="9"/>
    <x v="390"/>
    <n v="58.11"/>
    <n v="2"/>
    <n v="7.26"/>
    <x v="4"/>
    <x v="2"/>
  </r>
  <r>
    <n v="45054"/>
    <x v="335"/>
    <x v="3"/>
    <x v="0"/>
    <x v="0"/>
    <x v="1235"/>
    <n v="17.940000000000001"/>
    <n v="3"/>
    <n v="8.07"/>
    <x v="4"/>
    <x v="2"/>
  </r>
  <r>
    <n v="45055"/>
    <x v="331"/>
    <x v="22"/>
    <x v="2"/>
    <x v="9"/>
    <x v="1685"/>
    <n v="93.98"/>
    <n v="2"/>
    <n v="13.16"/>
    <x v="4"/>
    <x v="2"/>
  </r>
  <r>
    <n v="45055"/>
    <x v="621"/>
    <x v="2"/>
    <x v="0"/>
    <x v="10"/>
    <x v="21"/>
    <n v="9.34"/>
    <n v="1"/>
    <n v="3.5"/>
    <x v="4"/>
    <x v="2"/>
  </r>
  <r>
    <n v="45055"/>
    <x v="621"/>
    <x v="2"/>
    <x v="0"/>
    <x v="4"/>
    <x v="262"/>
    <n v="79.36"/>
    <n v="5"/>
    <n v="9.92"/>
    <x v="4"/>
    <x v="2"/>
  </r>
  <r>
    <n v="45055"/>
    <x v="152"/>
    <x v="20"/>
    <x v="0"/>
    <x v="4"/>
    <x v="1686"/>
    <n v="8"/>
    <n v="5"/>
    <n v="3.44"/>
    <x v="4"/>
    <x v="2"/>
  </r>
  <r>
    <n v="45055"/>
    <x v="332"/>
    <x v="3"/>
    <x v="0"/>
    <x v="0"/>
    <x v="1687"/>
    <n v="32.04"/>
    <n v="4"/>
    <n v="14.42"/>
    <x v="4"/>
    <x v="2"/>
  </r>
  <r>
    <n v="45055"/>
    <x v="2"/>
    <x v="0"/>
    <x v="2"/>
    <x v="6"/>
    <x v="441"/>
    <n v="19.14"/>
    <n v="2"/>
    <n v="1.91"/>
    <x v="4"/>
    <x v="2"/>
  </r>
  <r>
    <n v="45055"/>
    <x v="433"/>
    <x v="6"/>
    <x v="0"/>
    <x v="4"/>
    <x v="29"/>
    <n v="27.86"/>
    <n v="7"/>
    <n v="9.19"/>
    <x v="4"/>
    <x v="2"/>
  </r>
  <r>
    <n v="45055"/>
    <x v="755"/>
    <x v="0"/>
    <x v="0"/>
    <x v="2"/>
    <x v="168"/>
    <n v="856.66"/>
    <n v="6"/>
    <n v="107.08"/>
    <x v="4"/>
    <x v="2"/>
  </r>
  <r>
    <n v="45055"/>
    <x v="755"/>
    <x v="0"/>
    <x v="0"/>
    <x v="3"/>
    <x v="275"/>
    <n v="13.18"/>
    <n v="4"/>
    <n v="-20.440000000000001"/>
    <x v="4"/>
    <x v="2"/>
  </r>
  <r>
    <n v="45055"/>
    <x v="755"/>
    <x v="0"/>
    <x v="0"/>
    <x v="12"/>
    <x v="1688"/>
    <n v="48.78"/>
    <n v="4"/>
    <n v="-131.72"/>
    <x v="4"/>
    <x v="2"/>
  </r>
  <r>
    <n v="45055"/>
    <x v="755"/>
    <x v="0"/>
    <x v="0"/>
    <x v="0"/>
    <x v="1667"/>
    <n v="76.64"/>
    <n v="2"/>
    <n v="26.82"/>
    <x v="4"/>
    <x v="2"/>
  </r>
  <r>
    <n v="45055"/>
    <x v="755"/>
    <x v="0"/>
    <x v="0"/>
    <x v="3"/>
    <x v="962"/>
    <n v="18.53"/>
    <n v="6"/>
    <n v="-27.79"/>
    <x v="4"/>
    <x v="2"/>
  </r>
  <r>
    <n v="45056"/>
    <x v="310"/>
    <x v="22"/>
    <x v="0"/>
    <x v="0"/>
    <x v="607"/>
    <n v="11.96"/>
    <n v="2"/>
    <n v="5.86"/>
    <x v="4"/>
    <x v="2"/>
  </r>
  <r>
    <n v="45056"/>
    <x v="431"/>
    <x v="2"/>
    <x v="2"/>
    <x v="6"/>
    <x v="979"/>
    <n v="743.99"/>
    <n v="2"/>
    <n v="-124"/>
    <x v="4"/>
    <x v="2"/>
  </r>
  <r>
    <n v="45056"/>
    <x v="344"/>
    <x v="1"/>
    <x v="0"/>
    <x v="10"/>
    <x v="1689"/>
    <n v="7.07"/>
    <n v="2"/>
    <n v="2.39"/>
    <x v="4"/>
    <x v="2"/>
  </r>
  <r>
    <n v="45057"/>
    <x v="207"/>
    <x v="3"/>
    <x v="0"/>
    <x v="0"/>
    <x v="1235"/>
    <n v="5.98"/>
    <n v="1"/>
    <n v="2.69"/>
    <x v="4"/>
    <x v="2"/>
  </r>
  <r>
    <n v="45058"/>
    <x v="422"/>
    <x v="6"/>
    <x v="0"/>
    <x v="4"/>
    <x v="9"/>
    <n v="10.96"/>
    <n v="4"/>
    <n v="2.96"/>
    <x v="4"/>
    <x v="2"/>
  </r>
  <r>
    <n v="45058"/>
    <x v="76"/>
    <x v="2"/>
    <x v="0"/>
    <x v="2"/>
    <x v="627"/>
    <n v="82.37"/>
    <n v="2"/>
    <n v="-19.559999999999999"/>
    <x v="4"/>
    <x v="2"/>
  </r>
  <r>
    <n v="45058"/>
    <x v="747"/>
    <x v="22"/>
    <x v="0"/>
    <x v="10"/>
    <x v="1690"/>
    <n v="54.9"/>
    <n v="5"/>
    <n v="26.9"/>
    <x v="4"/>
    <x v="2"/>
  </r>
  <r>
    <n v="45058"/>
    <x v="312"/>
    <x v="20"/>
    <x v="1"/>
    <x v="8"/>
    <x v="1001"/>
    <n v="10.02"/>
    <n v="3"/>
    <n v="4.41"/>
    <x v="4"/>
    <x v="2"/>
  </r>
  <r>
    <n v="45058"/>
    <x v="312"/>
    <x v="20"/>
    <x v="2"/>
    <x v="6"/>
    <x v="303"/>
    <n v="631.96"/>
    <n v="4"/>
    <n v="303.33999999999997"/>
    <x v="4"/>
    <x v="2"/>
  </r>
  <r>
    <n v="45058"/>
    <x v="98"/>
    <x v="3"/>
    <x v="2"/>
    <x v="9"/>
    <x v="1691"/>
    <n v="120"/>
    <n v="6"/>
    <n v="46.8"/>
    <x v="4"/>
    <x v="2"/>
  </r>
  <r>
    <n v="45058"/>
    <x v="98"/>
    <x v="3"/>
    <x v="0"/>
    <x v="12"/>
    <x v="394"/>
    <n v="8.67"/>
    <n v="1"/>
    <n v="2.34"/>
    <x v="4"/>
    <x v="2"/>
  </r>
  <r>
    <n v="45060"/>
    <x v="564"/>
    <x v="10"/>
    <x v="1"/>
    <x v="8"/>
    <x v="1328"/>
    <n v="79.38"/>
    <n v="1"/>
    <n v="29.77"/>
    <x v="4"/>
    <x v="2"/>
  </r>
  <r>
    <n v="45060"/>
    <x v="521"/>
    <x v="16"/>
    <x v="0"/>
    <x v="3"/>
    <x v="713"/>
    <n v="57.58"/>
    <n v="3"/>
    <n v="-44.15"/>
    <x v="4"/>
    <x v="2"/>
  </r>
  <r>
    <n v="45060"/>
    <x v="521"/>
    <x v="16"/>
    <x v="0"/>
    <x v="0"/>
    <x v="736"/>
    <n v="31.1"/>
    <n v="6"/>
    <n v="10.89"/>
    <x v="4"/>
    <x v="2"/>
  </r>
  <r>
    <n v="45060"/>
    <x v="521"/>
    <x v="16"/>
    <x v="1"/>
    <x v="8"/>
    <x v="109"/>
    <n v="30.19"/>
    <n v="3"/>
    <n v="8.3000000000000007"/>
    <x v="4"/>
    <x v="2"/>
  </r>
  <r>
    <n v="45060"/>
    <x v="521"/>
    <x v="16"/>
    <x v="2"/>
    <x v="6"/>
    <x v="383"/>
    <n v="43.6"/>
    <n v="5"/>
    <n v="4.3600000000000003"/>
    <x v="4"/>
    <x v="2"/>
  </r>
  <r>
    <n v="45060"/>
    <x v="521"/>
    <x v="16"/>
    <x v="0"/>
    <x v="4"/>
    <x v="1299"/>
    <n v="4.7699999999999996"/>
    <n v="2"/>
    <n v="0.42"/>
    <x v="4"/>
    <x v="2"/>
  </r>
  <r>
    <n v="45060"/>
    <x v="521"/>
    <x v="16"/>
    <x v="0"/>
    <x v="3"/>
    <x v="1385"/>
    <n v="10.38"/>
    <n v="2"/>
    <n v="-7.61"/>
    <x v="4"/>
    <x v="2"/>
  </r>
  <r>
    <n v="45060"/>
    <x v="521"/>
    <x v="16"/>
    <x v="0"/>
    <x v="3"/>
    <x v="706"/>
    <n v="13.39"/>
    <n v="8"/>
    <n v="-9.82"/>
    <x v="4"/>
    <x v="2"/>
  </r>
  <r>
    <n v="45060"/>
    <x v="495"/>
    <x v="12"/>
    <x v="2"/>
    <x v="9"/>
    <x v="1037"/>
    <n v="185.53"/>
    <n v="7"/>
    <n v="48.7"/>
    <x v="4"/>
    <x v="2"/>
  </r>
  <r>
    <n v="45061"/>
    <x v="188"/>
    <x v="29"/>
    <x v="0"/>
    <x v="3"/>
    <x v="713"/>
    <n v="511.84"/>
    <n v="8"/>
    <n v="240.56"/>
    <x v="4"/>
    <x v="2"/>
  </r>
  <r>
    <n v="45061"/>
    <x v="188"/>
    <x v="29"/>
    <x v="0"/>
    <x v="4"/>
    <x v="666"/>
    <n v="91.96"/>
    <n v="4"/>
    <n v="25.75"/>
    <x v="4"/>
    <x v="2"/>
  </r>
  <r>
    <n v="45061"/>
    <x v="188"/>
    <x v="29"/>
    <x v="0"/>
    <x v="4"/>
    <x v="1259"/>
    <n v="8.34"/>
    <n v="3"/>
    <n v="2.17"/>
    <x v="4"/>
    <x v="2"/>
  </r>
  <r>
    <n v="45061"/>
    <x v="426"/>
    <x v="20"/>
    <x v="0"/>
    <x v="3"/>
    <x v="1540"/>
    <n v="13.78"/>
    <n v="3"/>
    <n v="4.4800000000000004"/>
    <x v="4"/>
    <x v="2"/>
  </r>
  <r>
    <n v="45061"/>
    <x v="0"/>
    <x v="16"/>
    <x v="0"/>
    <x v="3"/>
    <x v="871"/>
    <n v="7.76"/>
    <n v="4"/>
    <n v="-5.18"/>
    <x v="4"/>
    <x v="2"/>
  </r>
  <r>
    <n v="45061"/>
    <x v="46"/>
    <x v="10"/>
    <x v="0"/>
    <x v="0"/>
    <x v="1692"/>
    <n v="15.23"/>
    <n v="4"/>
    <n v="5.52"/>
    <x v="4"/>
    <x v="2"/>
  </r>
  <r>
    <n v="45062"/>
    <x v="728"/>
    <x v="37"/>
    <x v="0"/>
    <x v="2"/>
    <x v="332"/>
    <n v="552.55999999999995"/>
    <n v="4"/>
    <n v="0"/>
    <x v="4"/>
    <x v="2"/>
  </r>
  <r>
    <n v="45062"/>
    <x v="445"/>
    <x v="3"/>
    <x v="0"/>
    <x v="0"/>
    <x v="1515"/>
    <n v="17.34"/>
    <n v="3"/>
    <n v="8.5"/>
    <x v="4"/>
    <x v="2"/>
  </r>
  <r>
    <n v="45062"/>
    <x v="42"/>
    <x v="3"/>
    <x v="1"/>
    <x v="8"/>
    <x v="759"/>
    <n v="282.83999999999997"/>
    <n v="4"/>
    <n v="19.8"/>
    <x v="4"/>
    <x v="2"/>
  </r>
  <r>
    <n v="45062"/>
    <x v="42"/>
    <x v="3"/>
    <x v="0"/>
    <x v="1"/>
    <x v="360"/>
    <n v="27.72"/>
    <n v="9"/>
    <n v="13.31"/>
    <x v="4"/>
    <x v="2"/>
  </r>
  <r>
    <n v="45063"/>
    <x v="132"/>
    <x v="16"/>
    <x v="0"/>
    <x v="3"/>
    <x v="1058"/>
    <n v="2.95"/>
    <n v="2"/>
    <n v="-2.16"/>
    <x v="4"/>
    <x v="2"/>
  </r>
  <r>
    <n v="45063"/>
    <x v="132"/>
    <x v="16"/>
    <x v="0"/>
    <x v="3"/>
    <x v="520"/>
    <n v="27.02"/>
    <n v="6"/>
    <n v="-21.61"/>
    <x v="4"/>
    <x v="2"/>
  </r>
  <r>
    <n v="45063"/>
    <x v="316"/>
    <x v="37"/>
    <x v="0"/>
    <x v="14"/>
    <x v="139"/>
    <n v="65.17"/>
    <n v="7"/>
    <n v="18.899999999999999"/>
    <x v="4"/>
    <x v="2"/>
  </r>
  <r>
    <n v="45063"/>
    <x v="316"/>
    <x v="37"/>
    <x v="0"/>
    <x v="1"/>
    <x v="913"/>
    <n v="14.62"/>
    <n v="2"/>
    <n v="6.87"/>
    <x v="4"/>
    <x v="2"/>
  </r>
  <r>
    <n v="45063"/>
    <x v="316"/>
    <x v="37"/>
    <x v="1"/>
    <x v="8"/>
    <x v="1139"/>
    <n v="173.24"/>
    <n v="4"/>
    <n v="17.32"/>
    <x v="4"/>
    <x v="2"/>
  </r>
  <r>
    <n v="45063"/>
    <x v="399"/>
    <x v="1"/>
    <x v="0"/>
    <x v="3"/>
    <x v="1693"/>
    <n v="2.89"/>
    <n v="1"/>
    <n v="-4.7699999999999996"/>
    <x v="4"/>
    <x v="2"/>
  </r>
  <r>
    <n v="45063"/>
    <x v="399"/>
    <x v="1"/>
    <x v="0"/>
    <x v="7"/>
    <x v="779"/>
    <n v="7.9"/>
    <n v="3"/>
    <n v="2.4700000000000002"/>
    <x v="4"/>
    <x v="2"/>
  </r>
  <r>
    <n v="45063"/>
    <x v="399"/>
    <x v="1"/>
    <x v="1"/>
    <x v="8"/>
    <x v="1310"/>
    <n v="22.61"/>
    <n v="3"/>
    <n v="-10.17"/>
    <x v="4"/>
    <x v="2"/>
  </r>
  <r>
    <n v="45063"/>
    <x v="399"/>
    <x v="1"/>
    <x v="0"/>
    <x v="0"/>
    <x v="1236"/>
    <n v="30.53"/>
    <n v="8"/>
    <n v="9.5399999999999991"/>
    <x v="4"/>
    <x v="2"/>
  </r>
  <r>
    <n v="45064"/>
    <x v="34"/>
    <x v="3"/>
    <x v="0"/>
    <x v="2"/>
    <x v="1549"/>
    <n v="104.28"/>
    <n v="3"/>
    <n v="26.07"/>
    <x v="4"/>
    <x v="2"/>
  </r>
  <r>
    <n v="45064"/>
    <x v="34"/>
    <x v="3"/>
    <x v="0"/>
    <x v="0"/>
    <x v="1396"/>
    <n v="17.940000000000001"/>
    <n v="3"/>
    <n v="8.7899999999999991"/>
    <x v="4"/>
    <x v="2"/>
  </r>
  <r>
    <n v="45065"/>
    <x v="224"/>
    <x v="6"/>
    <x v="1"/>
    <x v="5"/>
    <x v="1111"/>
    <n v="641.96"/>
    <n v="2"/>
    <n v="179.75"/>
    <x v="4"/>
    <x v="2"/>
  </r>
  <r>
    <n v="45065"/>
    <x v="84"/>
    <x v="20"/>
    <x v="0"/>
    <x v="12"/>
    <x v="1167"/>
    <n v="242.9"/>
    <n v="5"/>
    <n v="70.44"/>
    <x v="4"/>
    <x v="2"/>
  </r>
  <r>
    <n v="45065"/>
    <x v="84"/>
    <x v="20"/>
    <x v="0"/>
    <x v="2"/>
    <x v="509"/>
    <n v="454.9"/>
    <n v="5"/>
    <n v="0"/>
    <x v="4"/>
    <x v="2"/>
  </r>
  <r>
    <n v="45065"/>
    <x v="84"/>
    <x v="20"/>
    <x v="1"/>
    <x v="8"/>
    <x v="682"/>
    <n v="35.92"/>
    <n v="4"/>
    <n v="15.09"/>
    <x v="4"/>
    <x v="2"/>
  </r>
  <r>
    <n v="45065"/>
    <x v="84"/>
    <x v="20"/>
    <x v="1"/>
    <x v="8"/>
    <x v="20"/>
    <n v="39.76"/>
    <n v="8"/>
    <n v="12.33"/>
    <x v="4"/>
    <x v="2"/>
  </r>
  <r>
    <n v="45065"/>
    <x v="84"/>
    <x v="20"/>
    <x v="0"/>
    <x v="3"/>
    <x v="1171"/>
    <n v="47.74"/>
    <n v="4"/>
    <n v="14.92"/>
    <x v="4"/>
    <x v="2"/>
  </r>
  <r>
    <n v="45065"/>
    <x v="478"/>
    <x v="3"/>
    <x v="0"/>
    <x v="3"/>
    <x v="302"/>
    <n v="9.58"/>
    <n v="1"/>
    <n v="3.35"/>
    <x v="4"/>
    <x v="2"/>
  </r>
  <r>
    <n v="45065"/>
    <x v="132"/>
    <x v="18"/>
    <x v="0"/>
    <x v="4"/>
    <x v="514"/>
    <n v="21.4"/>
    <n v="5"/>
    <n v="6.21"/>
    <x v="4"/>
    <x v="2"/>
  </r>
  <r>
    <n v="45065"/>
    <x v="123"/>
    <x v="3"/>
    <x v="0"/>
    <x v="12"/>
    <x v="394"/>
    <n v="87.84"/>
    <n v="8"/>
    <n v="23.72"/>
    <x v="4"/>
    <x v="2"/>
  </r>
  <r>
    <n v="45066"/>
    <x v="81"/>
    <x v="3"/>
    <x v="1"/>
    <x v="8"/>
    <x v="1579"/>
    <n v="1049.2"/>
    <n v="5"/>
    <n v="272.79000000000002"/>
    <x v="4"/>
    <x v="2"/>
  </r>
  <r>
    <n v="45066"/>
    <x v="81"/>
    <x v="3"/>
    <x v="0"/>
    <x v="3"/>
    <x v="96"/>
    <n v="15.42"/>
    <n v="4"/>
    <n v="5.01"/>
    <x v="4"/>
    <x v="2"/>
  </r>
  <r>
    <n v="45066"/>
    <x v="519"/>
    <x v="25"/>
    <x v="2"/>
    <x v="6"/>
    <x v="686"/>
    <n v="1363.96"/>
    <n v="5"/>
    <n v="85.25"/>
    <x v="4"/>
    <x v="2"/>
  </r>
  <r>
    <n v="45066"/>
    <x v="622"/>
    <x v="16"/>
    <x v="0"/>
    <x v="3"/>
    <x v="263"/>
    <n v="2.69"/>
    <n v="2"/>
    <n v="-2.25"/>
    <x v="4"/>
    <x v="2"/>
  </r>
  <r>
    <n v="45066"/>
    <x v="469"/>
    <x v="26"/>
    <x v="0"/>
    <x v="3"/>
    <x v="326"/>
    <n v="40.64"/>
    <n v="7"/>
    <n v="-32.51"/>
    <x v="4"/>
    <x v="2"/>
  </r>
  <r>
    <n v="45067"/>
    <x v="564"/>
    <x v="3"/>
    <x v="2"/>
    <x v="6"/>
    <x v="1502"/>
    <n v="55.18"/>
    <n v="3"/>
    <n v="-12.41"/>
    <x v="4"/>
    <x v="2"/>
  </r>
  <r>
    <n v="45067"/>
    <x v="564"/>
    <x v="3"/>
    <x v="2"/>
    <x v="9"/>
    <x v="1037"/>
    <n v="66.260000000000005"/>
    <n v="2"/>
    <n v="27.17"/>
    <x v="4"/>
    <x v="2"/>
  </r>
  <r>
    <n v="45067"/>
    <x v="49"/>
    <x v="17"/>
    <x v="2"/>
    <x v="15"/>
    <x v="1694"/>
    <n v="2396.4"/>
    <n v="10"/>
    <n v="179.73"/>
    <x v="4"/>
    <x v="2"/>
  </r>
  <r>
    <n v="45067"/>
    <x v="85"/>
    <x v="43"/>
    <x v="0"/>
    <x v="0"/>
    <x v="371"/>
    <n v="111.96"/>
    <n v="2"/>
    <n v="54.86"/>
    <x v="4"/>
    <x v="2"/>
  </r>
  <r>
    <n v="45067"/>
    <x v="756"/>
    <x v="0"/>
    <x v="0"/>
    <x v="3"/>
    <x v="73"/>
    <n v="1.96"/>
    <n v="2"/>
    <n v="-3.24"/>
    <x v="4"/>
    <x v="2"/>
  </r>
  <r>
    <n v="45067"/>
    <x v="756"/>
    <x v="0"/>
    <x v="0"/>
    <x v="0"/>
    <x v="1052"/>
    <n v="82.66"/>
    <n v="9"/>
    <n v="31"/>
    <x v="4"/>
    <x v="2"/>
  </r>
  <r>
    <n v="45067"/>
    <x v="562"/>
    <x v="1"/>
    <x v="0"/>
    <x v="3"/>
    <x v="130"/>
    <n v="3.8"/>
    <n v="3"/>
    <n v="-5.89"/>
    <x v="4"/>
    <x v="2"/>
  </r>
  <r>
    <n v="45068"/>
    <x v="721"/>
    <x v="23"/>
    <x v="2"/>
    <x v="6"/>
    <x v="35"/>
    <n v="345"/>
    <n v="5"/>
    <n v="86.25"/>
    <x v="4"/>
    <x v="2"/>
  </r>
  <r>
    <n v="45068"/>
    <x v="721"/>
    <x v="23"/>
    <x v="1"/>
    <x v="13"/>
    <x v="296"/>
    <n v="174.29"/>
    <n v="2"/>
    <n v="-19.920000000000002"/>
    <x v="4"/>
    <x v="2"/>
  </r>
  <r>
    <n v="45068"/>
    <x v="721"/>
    <x v="23"/>
    <x v="0"/>
    <x v="12"/>
    <x v="901"/>
    <n v="662.84"/>
    <n v="4"/>
    <n v="172.34"/>
    <x v="4"/>
    <x v="2"/>
  </r>
  <r>
    <n v="45068"/>
    <x v="721"/>
    <x v="23"/>
    <x v="2"/>
    <x v="9"/>
    <x v="735"/>
    <n v="95.1"/>
    <n v="5"/>
    <n v="30.43"/>
    <x v="4"/>
    <x v="2"/>
  </r>
  <r>
    <n v="45068"/>
    <x v="721"/>
    <x v="23"/>
    <x v="0"/>
    <x v="10"/>
    <x v="1660"/>
    <n v="26.88"/>
    <n v="6"/>
    <n v="12.9"/>
    <x v="4"/>
    <x v="2"/>
  </r>
  <r>
    <n v="45068"/>
    <x v="721"/>
    <x v="23"/>
    <x v="2"/>
    <x v="6"/>
    <x v="967"/>
    <n v="257.98"/>
    <n v="2"/>
    <n v="74.81"/>
    <x v="4"/>
    <x v="2"/>
  </r>
  <r>
    <n v="45068"/>
    <x v="467"/>
    <x v="4"/>
    <x v="0"/>
    <x v="1"/>
    <x v="1676"/>
    <n v="14.73"/>
    <n v="3"/>
    <n v="7.22"/>
    <x v="4"/>
    <x v="2"/>
  </r>
  <r>
    <n v="45068"/>
    <x v="458"/>
    <x v="3"/>
    <x v="2"/>
    <x v="6"/>
    <x v="1695"/>
    <n v="222.38"/>
    <n v="2"/>
    <n v="22.24"/>
    <x v="4"/>
    <x v="2"/>
  </r>
  <r>
    <n v="45069"/>
    <x v="437"/>
    <x v="3"/>
    <x v="1"/>
    <x v="8"/>
    <x v="691"/>
    <n v="37.049999999999997"/>
    <n v="3"/>
    <n v="16.3"/>
    <x v="4"/>
    <x v="2"/>
  </r>
  <r>
    <n v="45069"/>
    <x v="318"/>
    <x v="1"/>
    <x v="2"/>
    <x v="6"/>
    <x v="1404"/>
    <n v="1979.93"/>
    <n v="9"/>
    <n v="148.49"/>
    <x v="4"/>
    <x v="2"/>
  </r>
  <r>
    <n v="45069"/>
    <x v="64"/>
    <x v="33"/>
    <x v="0"/>
    <x v="0"/>
    <x v="404"/>
    <n v="4.9800000000000004"/>
    <n v="1"/>
    <n v="2.44"/>
    <x v="4"/>
    <x v="2"/>
  </r>
  <r>
    <n v="45069"/>
    <x v="757"/>
    <x v="2"/>
    <x v="2"/>
    <x v="16"/>
    <x v="1696"/>
    <n v="8399.98"/>
    <n v="4"/>
    <n v="1120"/>
    <x v="4"/>
    <x v="2"/>
  </r>
  <r>
    <n v="45069"/>
    <x v="757"/>
    <x v="2"/>
    <x v="0"/>
    <x v="3"/>
    <x v="778"/>
    <n v="6.29"/>
    <n v="1"/>
    <n v="-4.2"/>
    <x v="4"/>
    <x v="2"/>
  </r>
  <r>
    <n v="45069"/>
    <x v="757"/>
    <x v="2"/>
    <x v="0"/>
    <x v="0"/>
    <x v="300"/>
    <n v="10.37"/>
    <n v="2"/>
    <n v="3.63"/>
    <x v="4"/>
    <x v="2"/>
  </r>
  <r>
    <n v="45069"/>
    <x v="757"/>
    <x v="2"/>
    <x v="2"/>
    <x v="6"/>
    <x v="1619"/>
    <n v="122.38"/>
    <n v="3"/>
    <n v="-24.48"/>
    <x v="4"/>
    <x v="2"/>
  </r>
  <r>
    <n v="45070"/>
    <x v="469"/>
    <x v="6"/>
    <x v="0"/>
    <x v="14"/>
    <x v="930"/>
    <n v="69.5"/>
    <n v="5"/>
    <n v="20.16"/>
    <x v="4"/>
    <x v="2"/>
  </r>
  <r>
    <n v="45070"/>
    <x v="469"/>
    <x v="6"/>
    <x v="0"/>
    <x v="0"/>
    <x v="1667"/>
    <n v="191.6"/>
    <n v="4"/>
    <n v="91.97"/>
    <x v="4"/>
    <x v="2"/>
  </r>
  <r>
    <n v="45070"/>
    <x v="285"/>
    <x v="2"/>
    <x v="0"/>
    <x v="4"/>
    <x v="1697"/>
    <n v="16.66"/>
    <n v="3"/>
    <n v="3.33"/>
    <x v="4"/>
    <x v="2"/>
  </r>
  <r>
    <n v="45071"/>
    <x v="640"/>
    <x v="4"/>
    <x v="1"/>
    <x v="8"/>
    <x v="1698"/>
    <n v="24.96"/>
    <n v="4"/>
    <n v="6.24"/>
    <x v="4"/>
    <x v="2"/>
  </r>
  <r>
    <n v="45071"/>
    <x v="640"/>
    <x v="4"/>
    <x v="0"/>
    <x v="0"/>
    <x v="48"/>
    <n v="19.36"/>
    <n v="2"/>
    <n v="9.2899999999999991"/>
    <x v="4"/>
    <x v="2"/>
  </r>
  <r>
    <n v="45071"/>
    <x v="640"/>
    <x v="4"/>
    <x v="0"/>
    <x v="2"/>
    <x v="1194"/>
    <n v="1267.6500000000001"/>
    <n v="9"/>
    <n v="152.12"/>
    <x v="4"/>
    <x v="2"/>
  </r>
  <r>
    <n v="45072"/>
    <x v="102"/>
    <x v="0"/>
    <x v="0"/>
    <x v="0"/>
    <x v="1427"/>
    <n v="10.37"/>
    <n v="2"/>
    <n v="3.63"/>
    <x v="4"/>
    <x v="2"/>
  </r>
  <r>
    <n v="45072"/>
    <x v="102"/>
    <x v="0"/>
    <x v="1"/>
    <x v="5"/>
    <x v="1078"/>
    <n v="388.43"/>
    <n v="5"/>
    <n v="-88.78"/>
    <x v="4"/>
    <x v="2"/>
  </r>
  <r>
    <n v="45072"/>
    <x v="102"/>
    <x v="0"/>
    <x v="0"/>
    <x v="0"/>
    <x v="1396"/>
    <n v="14.35"/>
    <n v="3"/>
    <n v="5.2"/>
    <x v="4"/>
    <x v="2"/>
  </r>
  <r>
    <n v="45072"/>
    <x v="102"/>
    <x v="0"/>
    <x v="2"/>
    <x v="9"/>
    <x v="1699"/>
    <n v="63.99"/>
    <n v="1"/>
    <n v="-7.2"/>
    <x v="4"/>
    <x v="2"/>
  </r>
  <r>
    <n v="45072"/>
    <x v="263"/>
    <x v="44"/>
    <x v="0"/>
    <x v="0"/>
    <x v="381"/>
    <n v="19.440000000000001"/>
    <n v="3"/>
    <n v="9.33"/>
    <x v="4"/>
    <x v="2"/>
  </r>
  <r>
    <n v="45072"/>
    <x v="263"/>
    <x v="44"/>
    <x v="0"/>
    <x v="3"/>
    <x v="96"/>
    <n v="9.64"/>
    <n v="2"/>
    <n v="4.43"/>
    <x v="4"/>
    <x v="2"/>
  </r>
  <r>
    <n v="45072"/>
    <x v="263"/>
    <x v="44"/>
    <x v="0"/>
    <x v="0"/>
    <x v="1700"/>
    <n v="12.7"/>
    <n v="2"/>
    <n v="5.84"/>
    <x v="4"/>
    <x v="2"/>
  </r>
  <r>
    <n v="45072"/>
    <x v="263"/>
    <x v="44"/>
    <x v="1"/>
    <x v="8"/>
    <x v="568"/>
    <n v="41.37"/>
    <n v="3"/>
    <n v="17.38"/>
    <x v="4"/>
    <x v="2"/>
  </r>
  <r>
    <n v="45072"/>
    <x v="495"/>
    <x v="2"/>
    <x v="0"/>
    <x v="4"/>
    <x v="513"/>
    <n v="1.5"/>
    <n v="1"/>
    <n v="0.17"/>
    <x v="4"/>
    <x v="2"/>
  </r>
  <r>
    <n v="45072"/>
    <x v="495"/>
    <x v="2"/>
    <x v="0"/>
    <x v="12"/>
    <x v="1500"/>
    <n v="34.85"/>
    <n v="2"/>
    <n v="6.53"/>
    <x v="4"/>
    <x v="2"/>
  </r>
  <r>
    <n v="45072"/>
    <x v="149"/>
    <x v="3"/>
    <x v="0"/>
    <x v="7"/>
    <x v="60"/>
    <n v="5.94"/>
    <n v="3"/>
    <n v="0"/>
    <x v="4"/>
    <x v="2"/>
  </r>
  <r>
    <n v="45072"/>
    <x v="149"/>
    <x v="3"/>
    <x v="0"/>
    <x v="0"/>
    <x v="1504"/>
    <n v="45.36"/>
    <n v="7"/>
    <n v="21.77"/>
    <x v="4"/>
    <x v="2"/>
  </r>
  <r>
    <n v="45072"/>
    <x v="149"/>
    <x v="3"/>
    <x v="2"/>
    <x v="6"/>
    <x v="567"/>
    <n v="211.17"/>
    <n v="4"/>
    <n v="23.76"/>
    <x v="4"/>
    <x v="2"/>
  </r>
  <r>
    <n v="45072"/>
    <x v="149"/>
    <x v="3"/>
    <x v="1"/>
    <x v="5"/>
    <x v="1166"/>
    <n v="484.7"/>
    <n v="6"/>
    <n v="-84.82"/>
    <x v="4"/>
    <x v="2"/>
  </r>
  <r>
    <n v="45072"/>
    <x v="149"/>
    <x v="3"/>
    <x v="2"/>
    <x v="15"/>
    <x v="1409"/>
    <n v="371.98"/>
    <n v="3"/>
    <n v="116.24"/>
    <x v="4"/>
    <x v="2"/>
  </r>
  <r>
    <n v="45072"/>
    <x v="552"/>
    <x v="16"/>
    <x v="0"/>
    <x v="2"/>
    <x v="678"/>
    <n v="184.7"/>
    <n v="6"/>
    <n v="13.85"/>
    <x v="4"/>
    <x v="2"/>
  </r>
  <r>
    <n v="45072"/>
    <x v="552"/>
    <x v="16"/>
    <x v="2"/>
    <x v="9"/>
    <x v="1114"/>
    <n v="47.92"/>
    <n v="2"/>
    <n v="11.98"/>
    <x v="4"/>
    <x v="2"/>
  </r>
  <r>
    <n v="45072"/>
    <x v="752"/>
    <x v="21"/>
    <x v="1"/>
    <x v="8"/>
    <x v="682"/>
    <n v="26.94"/>
    <n v="3"/>
    <n v="11.31"/>
    <x v="4"/>
    <x v="2"/>
  </r>
  <r>
    <n v="45073"/>
    <x v="174"/>
    <x v="14"/>
    <x v="1"/>
    <x v="5"/>
    <x v="599"/>
    <n v="3504.9"/>
    <n v="5"/>
    <n v="700.98"/>
    <x v="4"/>
    <x v="2"/>
  </r>
  <r>
    <n v="45073"/>
    <x v="174"/>
    <x v="14"/>
    <x v="0"/>
    <x v="0"/>
    <x v="1544"/>
    <n v="144.12"/>
    <n v="3"/>
    <n v="69.180000000000007"/>
    <x v="4"/>
    <x v="2"/>
  </r>
  <r>
    <n v="45073"/>
    <x v="174"/>
    <x v="14"/>
    <x v="0"/>
    <x v="0"/>
    <x v="1481"/>
    <n v="314.55"/>
    <n v="3"/>
    <n v="150.97999999999999"/>
    <x v="4"/>
    <x v="2"/>
  </r>
  <r>
    <n v="45073"/>
    <x v="267"/>
    <x v="1"/>
    <x v="1"/>
    <x v="8"/>
    <x v="1251"/>
    <n v="25.18"/>
    <n v="3"/>
    <n v="-33.36"/>
    <x v="4"/>
    <x v="2"/>
  </r>
  <r>
    <n v="45073"/>
    <x v="267"/>
    <x v="1"/>
    <x v="1"/>
    <x v="8"/>
    <x v="335"/>
    <n v="5.58"/>
    <n v="2"/>
    <n v="-1.68"/>
    <x v="4"/>
    <x v="2"/>
  </r>
  <r>
    <n v="45073"/>
    <x v="267"/>
    <x v="1"/>
    <x v="0"/>
    <x v="2"/>
    <x v="1126"/>
    <n v="1297.3699999999999"/>
    <n v="9"/>
    <n v="97.3"/>
    <x v="4"/>
    <x v="2"/>
  </r>
  <r>
    <n v="45073"/>
    <x v="462"/>
    <x v="3"/>
    <x v="0"/>
    <x v="0"/>
    <x v="1089"/>
    <n v="13.38"/>
    <n v="2"/>
    <n v="6.15"/>
    <x v="4"/>
    <x v="2"/>
  </r>
  <r>
    <n v="45074"/>
    <x v="329"/>
    <x v="29"/>
    <x v="0"/>
    <x v="4"/>
    <x v="1192"/>
    <n v="185.88"/>
    <n v="6"/>
    <n v="50.19"/>
    <x v="4"/>
    <x v="2"/>
  </r>
  <r>
    <n v="45074"/>
    <x v="566"/>
    <x v="16"/>
    <x v="1"/>
    <x v="5"/>
    <x v="707"/>
    <n v="390.27"/>
    <n v="8"/>
    <n v="-24.39"/>
    <x v="4"/>
    <x v="2"/>
  </r>
  <r>
    <n v="45074"/>
    <x v="566"/>
    <x v="16"/>
    <x v="0"/>
    <x v="0"/>
    <x v="689"/>
    <n v="62.19"/>
    <n v="13"/>
    <n v="19.440000000000001"/>
    <x v="4"/>
    <x v="2"/>
  </r>
  <r>
    <n v="45074"/>
    <x v="68"/>
    <x v="3"/>
    <x v="0"/>
    <x v="12"/>
    <x v="820"/>
    <n v="262.24"/>
    <n v="2"/>
    <n v="78.67"/>
    <x v="4"/>
    <x v="2"/>
  </r>
  <r>
    <n v="45074"/>
    <x v="68"/>
    <x v="3"/>
    <x v="0"/>
    <x v="0"/>
    <x v="1226"/>
    <n v="182.72"/>
    <n v="8"/>
    <n v="84.05"/>
    <x v="4"/>
    <x v="2"/>
  </r>
  <r>
    <n v="45074"/>
    <x v="68"/>
    <x v="3"/>
    <x v="2"/>
    <x v="9"/>
    <x v="401"/>
    <n v="131.6"/>
    <n v="7"/>
    <n v="7.9"/>
    <x v="4"/>
    <x v="2"/>
  </r>
  <r>
    <n v="45074"/>
    <x v="68"/>
    <x v="3"/>
    <x v="0"/>
    <x v="3"/>
    <x v="745"/>
    <n v="22.72"/>
    <n v="4"/>
    <n v="7.38"/>
    <x v="4"/>
    <x v="2"/>
  </r>
  <r>
    <n v="45074"/>
    <x v="68"/>
    <x v="3"/>
    <x v="2"/>
    <x v="15"/>
    <x v="508"/>
    <n v="558.4"/>
    <n v="2"/>
    <n v="41.88"/>
    <x v="4"/>
    <x v="2"/>
  </r>
  <r>
    <n v="45074"/>
    <x v="150"/>
    <x v="20"/>
    <x v="0"/>
    <x v="14"/>
    <x v="1458"/>
    <n v="54.9"/>
    <n v="5"/>
    <n v="15.37"/>
    <x v="4"/>
    <x v="2"/>
  </r>
  <r>
    <n v="45074"/>
    <x v="451"/>
    <x v="1"/>
    <x v="2"/>
    <x v="6"/>
    <x v="387"/>
    <n v="286.39999999999998"/>
    <n v="1"/>
    <n v="25.06"/>
    <x v="4"/>
    <x v="2"/>
  </r>
  <r>
    <n v="45075"/>
    <x v="556"/>
    <x v="33"/>
    <x v="2"/>
    <x v="6"/>
    <x v="156"/>
    <n v="979.95"/>
    <n v="5"/>
    <n v="274.39"/>
    <x v="4"/>
    <x v="2"/>
  </r>
  <r>
    <n v="45075"/>
    <x v="556"/>
    <x v="33"/>
    <x v="0"/>
    <x v="3"/>
    <x v="475"/>
    <n v="22.75"/>
    <n v="5"/>
    <n v="11.38"/>
    <x v="4"/>
    <x v="2"/>
  </r>
  <r>
    <n v="45075"/>
    <x v="745"/>
    <x v="15"/>
    <x v="0"/>
    <x v="3"/>
    <x v="1664"/>
    <n v="11.28"/>
    <n v="3"/>
    <n v="-8.65"/>
    <x v="4"/>
    <x v="2"/>
  </r>
  <r>
    <n v="45075"/>
    <x v="745"/>
    <x v="15"/>
    <x v="0"/>
    <x v="4"/>
    <x v="182"/>
    <n v="4.45"/>
    <n v="2"/>
    <n v="0.33"/>
    <x v="4"/>
    <x v="2"/>
  </r>
  <r>
    <n v="45075"/>
    <x v="745"/>
    <x v="15"/>
    <x v="1"/>
    <x v="8"/>
    <x v="1290"/>
    <n v="44.76"/>
    <n v="3"/>
    <n v="14.55"/>
    <x v="4"/>
    <x v="2"/>
  </r>
  <r>
    <n v="45076"/>
    <x v="706"/>
    <x v="26"/>
    <x v="0"/>
    <x v="3"/>
    <x v="556"/>
    <n v="22.62"/>
    <n v="2"/>
    <n v="-15.08"/>
    <x v="4"/>
    <x v="2"/>
  </r>
  <r>
    <n v="45076"/>
    <x v="706"/>
    <x v="26"/>
    <x v="0"/>
    <x v="3"/>
    <x v="461"/>
    <n v="14.95"/>
    <n v="2"/>
    <n v="-11.96"/>
    <x v="4"/>
    <x v="2"/>
  </r>
  <r>
    <n v="45076"/>
    <x v="706"/>
    <x v="26"/>
    <x v="1"/>
    <x v="5"/>
    <x v="610"/>
    <n v="801.57"/>
    <n v="2"/>
    <n v="50.1"/>
    <x v="4"/>
    <x v="2"/>
  </r>
  <r>
    <n v="45076"/>
    <x v="706"/>
    <x v="26"/>
    <x v="0"/>
    <x v="3"/>
    <x v="1661"/>
    <n v="2.38"/>
    <n v="3"/>
    <n v="-1.9"/>
    <x v="4"/>
    <x v="2"/>
  </r>
  <r>
    <n v="45076"/>
    <x v="706"/>
    <x v="26"/>
    <x v="0"/>
    <x v="0"/>
    <x v="1289"/>
    <n v="32.79"/>
    <n v="1"/>
    <n v="11.89"/>
    <x v="4"/>
    <x v="2"/>
  </r>
  <r>
    <n v="45076"/>
    <x v="758"/>
    <x v="25"/>
    <x v="0"/>
    <x v="3"/>
    <x v="420"/>
    <n v="3.28"/>
    <n v="2"/>
    <n v="-2.63"/>
    <x v="4"/>
    <x v="2"/>
  </r>
  <r>
    <n v="45076"/>
    <x v="196"/>
    <x v="10"/>
    <x v="2"/>
    <x v="16"/>
    <x v="559"/>
    <n v="839.99"/>
    <n v="2"/>
    <n v="70"/>
    <x v="4"/>
    <x v="2"/>
  </r>
  <r>
    <n v="45076"/>
    <x v="123"/>
    <x v="6"/>
    <x v="1"/>
    <x v="13"/>
    <x v="1145"/>
    <n v="2275.5"/>
    <n v="10"/>
    <n v="386.84"/>
    <x v="4"/>
    <x v="2"/>
  </r>
  <r>
    <n v="45076"/>
    <x v="123"/>
    <x v="6"/>
    <x v="2"/>
    <x v="9"/>
    <x v="1146"/>
    <n v="1979.7"/>
    <n v="6"/>
    <n v="653.29999999999995"/>
    <x v="4"/>
    <x v="2"/>
  </r>
  <r>
    <n v="45076"/>
    <x v="123"/>
    <x v="6"/>
    <x v="0"/>
    <x v="1"/>
    <x v="1655"/>
    <n v="62.1"/>
    <n v="6"/>
    <n v="29.81"/>
    <x v="4"/>
    <x v="2"/>
  </r>
  <r>
    <n v="45076"/>
    <x v="176"/>
    <x v="10"/>
    <x v="0"/>
    <x v="12"/>
    <x v="256"/>
    <n v="123.92"/>
    <n v="5"/>
    <n v="9.2899999999999991"/>
    <x v="4"/>
    <x v="2"/>
  </r>
  <r>
    <n v="45076"/>
    <x v="483"/>
    <x v="3"/>
    <x v="0"/>
    <x v="0"/>
    <x v="1424"/>
    <n v="38.880000000000003"/>
    <n v="6"/>
    <n v="18.66"/>
    <x v="4"/>
    <x v="2"/>
  </r>
  <r>
    <n v="45076"/>
    <x v="306"/>
    <x v="21"/>
    <x v="0"/>
    <x v="12"/>
    <x v="1411"/>
    <n v="364.74"/>
    <n v="3"/>
    <n v="109.42"/>
    <x v="4"/>
    <x v="2"/>
  </r>
  <r>
    <n v="45076"/>
    <x v="306"/>
    <x v="21"/>
    <x v="1"/>
    <x v="8"/>
    <x v="1298"/>
    <n v="47.4"/>
    <n v="5"/>
    <n v="21.33"/>
    <x v="4"/>
    <x v="2"/>
  </r>
  <r>
    <n v="45076"/>
    <x v="306"/>
    <x v="21"/>
    <x v="0"/>
    <x v="2"/>
    <x v="304"/>
    <n v="49.76"/>
    <n v="4"/>
    <n v="13.93"/>
    <x v="4"/>
    <x v="2"/>
  </r>
  <r>
    <n v="45076"/>
    <x v="306"/>
    <x v="21"/>
    <x v="0"/>
    <x v="4"/>
    <x v="182"/>
    <n v="5.56"/>
    <n v="2"/>
    <n v="1.45"/>
    <x v="4"/>
    <x v="2"/>
  </r>
  <r>
    <n v="45076"/>
    <x v="306"/>
    <x v="21"/>
    <x v="0"/>
    <x v="0"/>
    <x v="1481"/>
    <n v="629.1"/>
    <n v="6"/>
    <n v="301.97000000000003"/>
    <x v="4"/>
    <x v="2"/>
  </r>
  <r>
    <n v="45076"/>
    <x v="306"/>
    <x v="21"/>
    <x v="0"/>
    <x v="4"/>
    <x v="1000"/>
    <n v="14.7"/>
    <n v="5"/>
    <n v="3.97"/>
    <x v="4"/>
    <x v="2"/>
  </r>
  <r>
    <n v="45076"/>
    <x v="306"/>
    <x v="21"/>
    <x v="0"/>
    <x v="0"/>
    <x v="869"/>
    <n v="45.36"/>
    <n v="7"/>
    <n v="21.77"/>
    <x v="4"/>
    <x v="2"/>
  </r>
  <r>
    <n v="45076"/>
    <x v="306"/>
    <x v="21"/>
    <x v="2"/>
    <x v="6"/>
    <x v="431"/>
    <n v="125.99"/>
    <n v="1"/>
    <n v="35.28"/>
    <x v="4"/>
    <x v="2"/>
  </r>
  <r>
    <n v="45076"/>
    <x v="739"/>
    <x v="3"/>
    <x v="1"/>
    <x v="8"/>
    <x v="1251"/>
    <n v="167.84"/>
    <n v="8"/>
    <n v="11.75"/>
    <x v="4"/>
    <x v="2"/>
  </r>
  <r>
    <n v="45076"/>
    <x v="615"/>
    <x v="6"/>
    <x v="0"/>
    <x v="10"/>
    <x v="732"/>
    <n v="26.55"/>
    <n v="9"/>
    <n v="12.74"/>
    <x v="4"/>
    <x v="2"/>
  </r>
  <r>
    <n v="45076"/>
    <x v="615"/>
    <x v="6"/>
    <x v="2"/>
    <x v="9"/>
    <x v="378"/>
    <n v="111.98"/>
    <n v="2"/>
    <n v="26.88"/>
    <x v="4"/>
    <x v="2"/>
  </r>
  <r>
    <n v="45076"/>
    <x v="372"/>
    <x v="0"/>
    <x v="2"/>
    <x v="6"/>
    <x v="1605"/>
    <n v="79.959999999999994"/>
    <n v="5"/>
    <n v="8"/>
    <x v="4"/>
    <x v="2"/>
  </r>
  <r>
    <n v="45076"/>
    <x v="372"/>
    <x v="0"/>
    <x v="2"/>
    <x v="9"/>
    <x v="378"/>
    <n v="223.96"/>
    <n v="5"/>
    <n v="11.2"/>
    <x v="4"/>
    <x v="2"/>
  </r>
  <r>
    <n v="45077"/>
    <x v="443"/>
    <x v="1"/>
    <x v="1"/>
    <x v="8"/>
    <x v="1701"/>
    <n v="32.06"/>
    <n v="3"/>
    <n v="-12.83"/>
    <x v="4"/>
    <x v="2"/>
  </r>
  <r>
    <n v="45077"/>
    <x v="443"/>
    <x v="1"/>
    <x v="0"/>
    <x v="0"/>
    <x v="720"/>
    <n v="18.5"/>
    <n v="4"/>
    <n v="6.7"/>
    <x v="4"/>
    <x v="2"/>
  </r>
  <r>
    <n v="45077"/>
    <x v="443"/>
    <x v="1"/>
    <x v="1"/>
    <x v="5"/>
    <x v="26"/>
    <n v="191.08"/>
    <n v="3"/>
    <n v="-38.22"/>
    <x v="4"/>
    <x v="2"/>
  </r>
  <r>
    <n v="45077"/>
    <x v="443"/>
    <x v="1"/>
    <x v="0"/>
    <x v="0"/>
    <x v="1427"/>
    <n v="10.37"/>
    <n v="2"/>
    <n v="3.63"/>
    <x v="4"/>
    <x v="2"/>
  </r>
  <r>
    <n v="45077"/>
    <x v="685"/>
    <x v="20"/>
    <x v="0"/>
    <x v="3"/>
    <x v="566"/>
    <n v="7.15"/>
    <n v="3"/>
    <n v="2.3199999999999998"/>
    <x v="4"/>
    <x v="2"/>
  </r>
  <r>
    <n v="45077"/>
    <x v="685"/>
    <x v="20"/>
    <x v="2"/>
    <x v="6"/>
    <x v="1249"/>
    <n v="179.7"/>
    <n v="6"/>
    <n v="88.05"/>
    <x v="4"/>
    <x v="2"/>
  </r>
  <r>
    <n v="45079"/>
    <x v="385"/>
    <x v="2"/>
    <x v="0"/>
    <x v="2"/>
    <x v="161"/>
    <n v="64.78"/>
    <n v="1"/>
    <n v="-12.96"/>
    <x v="5"/>
    <x v="2"/>
  </r>
  <r>
    <n v="45079"/>
    <x v="150"/>
    <x v="22"/>
    <x v="0"/>
    <x v="0"/>
    <x v="716"/>
    <n v="30.18"/>
    <n v="3"/>
    <n v="13.88"/>
    <x v="5"/>
    <x v="2"/>
  </r>
  <r>
    <n v="45079"/>
    <x v="150"/>
    <x v="22"/>
    <x v="0"/>
    <x v="3"/>
    <x v="374"/>
    <n v="51.65"/>
    <n v="12"/>
    <n v="18.72"/>
    <x v="5"/>
    <x v="2"/>
  </r>
  <r>
    <n v="45079"/>
    <x v="150"/>
    <x v="22"/>
    <x v="0"/>
    <x v="3"/>
    <x v="701"/>
    <n v="11.23"/>
    <n v="3"/>
    <n v="3.93"/>
    <x v="5"/>
    <x v="2"/>
  </r>
  <r>
    <n v="45080"/>
    <x v="85"/>
    <x v="3"/>
    <x v="1"/>
    <x v="13"/>
    <x v="1174"/>
    <n v="71.09"/>
    <n v="2"/>
    <n v="-1.78"/>
    <x v="5"/>
    <x v="2"/>
  </r>
  <r>
    <n v="45081"/>
    <x v="502"/>
    <x v="6"/>
    <x v="0"/>
    <x v="0"/>
    <x v="795"/>
    <n v="75.88"/>
    <n v="2"/>
    <n v="35.659999999999997"/>
    <x v="5"/>
    <x v="2"/>
  </r>
  <r>
    <n v="45081"/>
    <x v="318"/>
    <x v="1"/>
    <x v="0"/>
    <x v="0"/>
    <x v="186"/>
    <n v="25.92"/>
    <n v="5"/>
    <n v="9.4"/>
    <x v="5"/>
    <x v="2"/>
  </r>
  <r>
    <n v="45081"/>
    <x v="318"/>
    <x v="1"/>
    <x v="1"/>
    <x v="8"/>
    <x v="1579"/>
    <n v="419.68"/>
    <n v="5"/>
    <n v="-356.73"/>
    <x v="5"/>
    <x v="2"/>
  </r>
  <r>
    <n v="45081"/>
    <x v="318"/>
    <x v="1"/>
    <x v="1"/>
    <x v="8"/>
    <x v="626"/>
    <n v="11.69"/>
    <n v="3"/>
    <n v="-4.68"/>
    <x v="5"/>
    <x v="2"/>
  </r>
  <r>
    <n v="45081"/>
    <x v="318"/>
    <x v="1"/>
    <x v="2"/>
    <x v="6"/>
    <x v="1288"/>
    <n v="31.98"/>
    <n v="2"/>
    <n v="11.19"/>
    <x v="5"/>
    <x v="2"/>
  </r>
  <r>
    <n v="45081"/>
    <x v="318"/>
    <x v="1"/>
    <x v="1"/>
    <x v="13"/>
    <x v="436"/>
    <n v="177.23"/>
    <n v="5"/>
    <n v="-120.51"/>
    <x v="5"/>
    <x v="2"/>
  </r>
  <r>
    <n v="45081"/>
    <x v="318"/>
    <x v="1"/>
    <x v="1"/>
    <x v="8"/>
    <x v="1043"/>
    <n v="4.04"/>
    <n v="3"/>
    <n v="-2.83"/>
    <x v="5"/>
    <x v="2"/>
  </r>
  <r>
    <n v="45081"/>
    <x v="318"/>
    <x v="1"/>
    <x v="0"/>
    <x v="4"/>
    <x v="202"/>
    <n v="7.41"/>
    <n v="2"/>
    <n v="1.2"/>
    <x v="5"/>
    <x v="2"/>
  </r>
  <r>
    <n v="45081"/>
    <x v="647"/>
    <x v="20"/>
    <x v="0"/>
    <x v="0"/>
    <x v="371"/>
    <n v="14.94"/>
    <n v="3"/>
    <n v="7.02"/>
    <x v="5"/>
    <x v="2"/>
  </r>
  <r>
    <n v="45081"/>
    <x v="647"/>
    <x v="20"/>
    <x v="2"/>
    <x v="15"/>
    <x v="1702"/>
    <n v="1349.85"/>
    <n v="3"/>
    <n v="364.46"/>
    <x v="5"/>
    <x v="2"/>
  </r>
  <r>
    <n v="45081"/>
    <x v="647"/>
    <x v="20"/>
    <x v="1"/>
    <x v="11"/>
    <x v="430"/>
    <n v="136.78"/>
    <n v="1"/>
    <n v="5.13"/>
    <x v="5"/>
    <x v="2"/>
  </r>
  <r>
    <n v="45081"/>
    <x v="647"/>
    <x v="20"/>
    <x v="1"/>
    <x v="8"/>
    <x v="1112"/>
    <n v="61.12"/>
    <n v="4"/>
    <n v="20.78"/>
    <x v="5"/>
    <x v="2"/>
  </r>
  <r>
    <n v="45082"/>
    <x v="179"/>
    <x v="2"/>
    <x v="0"/>
    <x v="2"/>
    <x v="945"/>
    <n v="124.61"/>
    <n v="4"/>
    <n v="-23.36"/>
    <x v="5"/>
    <x v="2"/>
  </r>
  <r>
    <n v="45082"/>
    <x v="179"/>
    <x v="2"/>
    <x v="0"/>
    <x v="1"/>
    <x v="1678"/>
    <n v="7.56"/>
    <n v="3"/>
    <n v="2.65"/>
    <x v="5"/>
    <x v="2"/>
  </r>
  <r>
    <n v="45082"/>
    <x v="219"/>
    <x v="7"/>
    <x v="0"/>
    <x v="2"/>
    <x v="1126"/>
    <n v="360.38"/>
    <n v="2"/>
    <n v="93.7"/>
    <x v="5"/>
    <x v="2"/>
  </r>
  <r>
    <n v="45082"/>
    <x v="219"/>
    <x v="7"/>
    <x v="0"/>
    <x v="4"/>
    <x v="312"/>
    <n v="11.16"/>
    <n v="2"/>
    <n v="2.79"/>
    <x v="5"/>
    <x v="2"/>
  </r>
  <r>
    <n v="45082"/>
    <x v="219"/>
    <x v="7"/>
    <x v="0"/>
    <x v="1"/>
    <x v="1015"/>
    <n v="14.94"/>
    <n v="3"/>
    <n v="6.87"/>
    <x v="5"/>
    <x v="2"/>
  </r>
  <r>
    <n v="45082"/>
    <x v="74"/>
    <x v="3"/>
    <x v="0"/>
    <x v="3"/>
    <x v="263"/>
    <n v="21.55"/>
    <n v="6"/>
    <n v="7"/>
    <x v="5"/>
    <x v="2"/>
  </r>
  <r>
    <n v="45082"/>
    <x v="74"/>
    <x v="3"/>
    <x v="0"/>
    <x v="12"/>
    <x v="460"/>
    <n v="58.24"/>
    <n v="4"/>
    <n v="15.72"/>
    <x v="5"/>
    <x v="2"/>
  </r>
  <r>
    <n v="45082"/>
    <x v="590"/>
    <x v="22"/>
    <x v="0"/>
    <x v="14"/>
    <x v="654"/>
    <n v="61.38"/>
    <n v="6"/>
    <n v="15.96"/>
    <x v="5"/>
    <x v="2"/>
  </r>
  <r>
    <n v="45083"/>
    <x v="554"/>
    <x v="1"/>
    <x v="2"/>
    <x v="6"/>
    <x v="1603"/>
    <n v="328.22"/>
    <n v="4"/>
    <n v="28.72"/>
    <x v="5"/>
    <x v="2"/>
  </r>
  <r>
    <n v="45083"/>
    <x v="56"/>
    <x v="32"/>
    <x v="0"/>
    <x v="2"/>
    <x v="597"/>
    <n v="714.3"/>
    <n v="5"/>
    <n v="207.15"/>
    <x v="5"/>
    <x v="2"/>
  </r>
  <r>
    <n v="45083"/>
    <x v="759"/>
    <x v="32"/>
    <x v="0"/>
    <x v="0"/>
    <x v="1584"/>
    <n v="105.52"/>
    <n v="4"/>
    <n v="48.54"/>
    <x v="5"/>
    <x v="2"/>
  </r>
  <r>
    <n v="45083"/>
    <x v="584"/>
    <x v="13"/>
    <x v="2"/>
    <x v="9"/>
    <x v="833"/>
    <n v="179.94"/>
    <n v="6"/>
    <n v="75.569999999999993"/>
    <x v="5"/>
    <x v="2"/>
  </r>
  <r>
    <n v="45083"/>
    <x v="584"/>
    <x v="13"/>
    <x v="2"/>
    <x v="9"/>
    <x v="907"/>
    <n v="26.85"/>
    <n v="3"/>
    <n v="5.0999999999999996"/>
    <x v="5"/>
    <x v="2"/>
  </r>
  <r>
    <n v="45083"/>
    <x v="584"/>
    <x v="13"/>
    <x v="2"/>
    <x v="9"/>
    <x v="23"/>
    <n v="323.37"/>
    <n v="3"/>
    <n v="129.35"/>
    <x v="5"/>
    <x v="2"/>
  </r>
  <r>
    <n v="45083"/>
    <x v="584"/>
    <x v="13"/>
    <x v="0"/>
    <x v="0"/>
    <x v="1449"/>
    <n v="59.94"/>
    <n v="3"/>
    <n v="28.17"/>
    <x v="5"/>
    <x v="2"/>
  </r>
  <r>
    <n v="45083"/>
    <x v="584"/>
    <x v="13"/>
    <x v="0"/>
    <x v="3"/>
    <x v="830"/>
    <n v="64.14"/>
    <n v="3"/>
    <n v="30.79"/>
    <x v="5"/>
    <x v="2"/>
  </r>
  <r>
    <n v="45083"/>
    <x v="584"/>
    <x v="13"/>
    <x v="0"/>
    <x v="3"/>
    <x v="1149"/>
    <n v="11.67"/>
    <n v="3"/>
    <n v="5.6"/>
    <x v="5"/>
    <x v="2"/>
  </r>
  <r>
    <n v="45083"/>
    <x v="584"/>
    <x v="13"/>
    <x v="0"/>
    <x v="0"/>
    <x v="1703"/>
    <n v="12.96"/>
    <n v="2"/>
    <n v="6.22"/>
    <x v="5"/>
    <x v="2"/>
  </r>
  <r>
    <n v="45083"/>
    <x v="237"/>
    <x v="3"/>
    <x v="0"/>
    <x v="1"/>
    <x v="348"/>
    <n v="22.05"/>
    <n v="7"/>
    <n v="10.58"/>
    <x v="5"/>
    <x v="2"/>
  </r>
  <r>
    <n v="45083"/>
    <x v="237"/>
    <x v="3"/>
    <x v="0"/>
    <x v="0"/>
    <x v="1704"/>
    <n v="99.9"/>
    <n v="5"/>
    <n v="46.95"/>
    <x v="5"/>
    <x v="2"/>
  </r>
  <r>
    <n v="45083"/>
    <x v="5"/>
    <x v="3"/>
    <x v="2"/>
    <x v="6"/>
    <x v="352"/>
    <n v="3023.93"/>
    <n v="9"/>
    <n v="226.79"/>
    <x v="5"/>
    <x v="2"/>
  </r>
  <r>
    <n v="45083"/>
    <x v="5"/>
    <x v="3"/>
    <x v="2"/>
    <x v="9"/>
    <x v="802"/>
    <n v="26.96"/>
    <n v="2"/>
    <n v="3.77"/>
    <x v="5"/>
    <x v="2"/>
  </r>
  <r>
    <n v="45083"/>
    <x v="5"/>
    <x v="3"/>
    <x v="2"/>
    <x v="6"/>
    <x v="904"/>
    <n v="477.6"/>
    <n v="3"/>
    <n v="161.19"/>
    <x v="5"/>
    <x v="2"/>
  </r>
  <r>
    <n v="45083"/>
    <x v="760"/>
    <x v="10"/>
    <x v="1"/>
    <x v="8"/>
    <x v="400"/>
    <n v="466.32"/>
    <n v="3"/>
    <n v="34.97"/>
    <x v="5"/>
    <x v="2"/>
  </r>
  <r>
    <n v="45083"/>
    <x v="760"/>
    <x v="10"/>
    <x v="1"/>
    <x v="8"/>
    <x v="1224"/>
    <n v="82.64"/>
    <n v="2"/>
    <n v="0"/>
    <x v="5"/>
    <x v="2"/>
  </r>
  <r>
    <n v="45084"/>
    <x v="476"/>
    <x v="20"/>
    <x v="0"/>
    <x v="0"/>
    <x v="291"/>
    <n v="32.4"/>
    <n v="5"/>
    <n v="15.55"/>
    <x v="5"/>
    <x v="2"/>
  </r>
  <r>
    <n v="45084"/>
    <x v="365"/>
    <x v="3"/>
    <x v="0"/>
    <x v="3"/>
    <x v="1198"/>
    <n v="4.78"/>
    <n v="1"/>
    <n v="1.55"/>
    <x v="5"/>
    <x v="2"/>
  </r>
  <r>
    <n v="45084"/>
    <x v="365"/>
    <x v="3"/>
    <x v="0"/>
    <x v="0"/>
    <x v="862"/>
    <n v="4.7300000000000004"/>
    <n v="1"/>
    <n v="2.3199999999999998"/>
    <x v="5"/>
    <x v="2"/>
  </r>
  <r>
    <n v="45084"/>
    <x v="761"/>
    <x v="2"/>
    <x v="0"/>
    <x v="7"/>
    <x v="789"/>
    <n v="9.65"/>
    <n v="6"/>
    <n v="3.5"/>
    <x v="5"/>
    <x v="2"/>
  </r>
  <r>
    <n v="45086"/>
    <x v="193"/>
    <x v="3"/>
    <x v="2"/>
    <x v="6"/>
    <x v="1578"/>
    <n v="177.48"/>
    <n v="3"/>
    <n v="19.97"/>
    <x v="5"/>
    <x v="2"/>
  </r>
  <r>
    <n v="45086"/>
    <x v="460"/>
    <x v="16"/>
    <x v="2"/>
    <x v="15"/>
    <x v="1705"/>
    <n v="695.7"/>
    <n v="2"/>
    <n v="-27.83"/>
    <x v="5"/>
    <x v="2"/>
  </r>
  <r>
    <n v="45086"/>
    <x v="622"/>
    <x v="3"/>
    <x v="1"/>
    <x v="5"/>
    <x v="908"/>
    <n v="122.35"/>
    <n v="3"/>
    <n v="13.76"/>
    <x v="5"/>
    <x v="2"/>
  </r>
  <r>
    <n v="45086"/>
    <x v="499"/>
    <x v="28"/>
    <x v="1"/>
    <x v="13"/>
    <x v="1706"/>
    <n v="692.94"/>
    <n v="3"/>
    <n v="173.24"/>
    <x v="5"/>
    <x v="2"/>
  </r>
  <r>
    <n v="45087"/>
    <x v="635"/>
    <x v="3"/>
    <x v="0"/>
    <x v="1"/>
    <x v="1655"/>
    <n v="20.7"/>
    <n v="2"/>
    <n v="9.94"/>
    <x v="5"/>
    <x v="2"/>
  </r>
  <r>
    <n v="45087"/>
    <x v="635"/>
    <x v="3"/>
    <x v="1"/>
    <x v="13"/>
    <x v="1629"/>
    <n v="1335.68"/>
    <n v="4"/>
    <n v="-217.05"/>
    <x v="5"/>
    <x v="2"/>
  </r>
  <r>
    <n v="45087"/>
    <x v="635"/>
    <x v="3"/>
    <x v="0"/>
    <x v="0"/>
    <x v="291"/>
    <n v="32.4"/>
    <n v="5"/>
    <n v="15.55"/>
    <x v="5"/>
    <x v="2"/>
  </r>
  <r>
    <n v="45087"/>
    <x v="733"/>
    <x v="2"/>
    <x v="0"/>
    <x v="1"/>
    <x v="1165"/>
    <n v="23.62"/>
    <n v="8"/>
    <n v="7.97"/>
    <x v="5"/>
    <x v="2"/>
  </r>
  <r>
    <n v="45088"/>
    <x v="126"/>
    <x v="0"/>
    <x v="0"/>
    <x v="3"/>
    <x v="947"/>
    <n v="1.34"/>
    <n v="4"/>
    <n v="-2.15"/>
    <x v="5"/>
    <x v="2"/>
  </r>
  <r>
    <n v="45088"/>
    <x v="126"/>
    <x v="0"/>
    <x v="0"/>
    <x v="3"/>
    <x v="140"/>
    <n v="8.27"/>
    <n v="4"/>
    <n v="-13.65"/>
    <x v="5"/>
    <x v="2"/>
  </r>
  <r>
    <n v="45088"/>
    <x v="126"/>
    <x v="0"/>
    <x v="1"/>
    <x v="8"/>
    <x v="289"/>
    <n v="12.54"/>
    <n v="7"/>
    <n v="-9.09"/>
    <x v="5"/>
    <x v="2"/>
  </r>
  <r>
    <n v="45088"/>
    <x v="414"/>
    <x v="20"/>
    <x v="2"/>
    <x v="9"/>
    <x v="1300"/>
    <n v="239.97"/>
    <n v="3"/>
    <n v="71.989999999999995"/>
    <x v="5"/>
    <x v="2"/>
  </r>
  <r>
    <n v="45088"/>
    <x v="145"/>
    <x v="22"/>
    <x v="0"/>
    <x v="1"/>
    <x v="1323"/>
    <n v="14.62"/>
    <n v="2"/>
    <n v="6.87"/>
    <x v="5"/>
    <x v="2"/>
  </r>
  <r>
    <n v="45088"/>
    <x v="145"/>
    <x v="22"/>
    <x v="0"/>
    <x v="3"/>
    <x v="96"/>
    <n v="53.98"/>
    <n v="14"/>
    <n v="17.54"/>
    <x v="5"/>
    <x v="2"/>
  </r>
  <r>
    <n v="45088"/>
    <x v="145"/>
    <x v="22"/>
    <x v="2"/>
    <x v="9"/>
    <x v="1361"/>
    <n v="389.97"/>
    <n v="3"/>
    <n v="132.59"/>
    <x v="5"/>
    <x v="2"/>
  </r>
  <r>
    <n v="45088"/>
    <x v="9"/>
    <x v="3"/>
    <x v="1"/>
    <x v="13"/>
    <x v="177"/>
    <n v="902.71"/>
    <n v="3"/>
    <n v="33.85"/>
    <x v="5"/>
    <x v="2"/>
  </r>
  <r>
    <n v="45089"/>
    <x v="762"/>
    <x v="3"/>
    <x v="0"/>
    <x v="1"/>
    <x v="645"/>
    <n v="14.62"/>
    <n v="2"/>
    <n v="6.87"/>
    <x v="5"/>
    <x v="2"/>
  </r>
  <r>
    <n v="45089"/>
    <x v="660"/>
    <x v="33"/>
    <x v="0"/>
    <x v="12"/>
    <x v="425"/>
    <n v="208.16"/>
    <n v="1"/>
    <n v="56.2"/>
    <x v="5"/>
    <x v="2"/>
  </r>
  <r>
    <n v="45089"/>
    <x v="660"/>
    <x v="33"/>
    <x v="0"/>
    <x v="3"/>
    <x v="706"/>
    <n v="16.739999999999998"/>
    <n v="3"/>
    <n v="8.0399999999999991"/>
    <x v="5"/>
    <x v="2"/>
  </r>
  <r>
    <n v="45089"/>
    <x v="236"/>
    <x v="7"/>
    <x v="1"/>
    <x v="8"/>
    <x v="1436"/>
    <n v="47.04"/>
    <n v="3"/>
    <n v="18.350000000000001"/>
    <x v="5"/>
    <x v="2"/>
  </r>
  <r>
    <n v="45089"/>
    <x v="236"/>
    <x v="7"/>
    <x v="0"/>
    <x v="3"/>
    <x v="483"/>
    <n v="30.84"/>
    <n v="4"/>
    <n v="13.88"/>
    <x v="5"/>
    <x v="2"/>
  </r>
  <r>
    <n v="45089"/>
    <x v="236"/>
    <x v="7"/>
    <x v="0"/>
    <x v="2"/>
    <x v="1128"/>
    <n v="226.56"/>
    <n v="6"/>
    <n v="63.44"/>
    <x v="5"/>
    <x v="2"/>
  </r>
  <r>
    <n v="45089"/>
    <x v="236"/>
    <x v="7"/>
    <x v="0"/>
    <x v="10"/>
    <x v="681"/>
    <n v="115.02"/>
    <n v="9"/>
    <n v="51.76"/>
    <x v="5"/>
    <x v="2"/>
  </r>
  <r>
    <n v="45089"/>
    <x v="236"/>
    <x v="7"/>
    <x v="2"/>
    <x v="6"/>
    <x v="1506"/>
    <n v="68.040000000000006"/>
    <n v="7"/>
    <n v="19.73"/>
    <x v="5"/>
    <x v="2"/>
  </r>
  <r>
    <n v="45089"/>
    <x v="675"/>
    <x v="1"/>
    <x v="2"/>
    <x v="15"/>
    <x v="1707"/>
    <n v="1007.98"/>
    <n v="3"/>
    <n v="43.2"/>
    <x v="5"/>
    <x v="2"/>
  </r>
  <r>
    <n v="45089"/>
    <x v="675"/>
    <x v="1"/>
    <x v="0"/>
    <x v="0"/>
    <x v="1463"/>
    <n v="313.49"/>
    <n v="7"/>
    <n v="113.64"/>
    <x v="5"/>
    <x v="2"/>
  </r>
  <r>
    <n v="45089"/>
    <x v="353"/>
    <x v="1"/>
    <x v="0"/>
    <x v="0"/>
    <x v="741"/>
    <n v="23.12"/>
    <n v="5"/>
    <n v="8.3800000000000008"/>
    <x v="5"/>
    <x v="2"/>
  </r>
  <r>
    <n v="45089"/>
    <x v="710"/>
    <x v="20"/>
    <x v="0"/>
    <x v="0"/>
    <x v="1708"/>
    <n v="92.94"/>
    <n v="3"/>
    <n v="41.82"/>
    <x v="5"/>
    <x v="2"/>
  </r>
  <r>
    <n v="45089"/>
    <x v="710"/>
    <x v="20"/>
    <x v="0"/>
    <x v="12"/>
    <x v="1123"/>
    <n v="52.56"/>
    <n v="3"/>
    <n v="18.399999999999999"/>
    <x v="5"/>
    <x v="2"/>
  </r>
  <r>
    <n v="45089"/>
    <x v="400"/>
    <x v="3"/>
    <x v="0"/>
    <x v="0"/>
    <x v="1708"/>
    <n v="185.88"/>
    <n v="6"/>
    <n v="83.65"/>
    <x v="5"/>
    <x v="2"/>
  </r>
  <r>
    <n v="45089"/>
    <x v="400"/>
    <x v="3"/>
    <x v="0"/>
    <x v="0"/>
    <x v="1424"/>
    <n v="12.96"/>
    <n v="2"/>
    <n v="6.22"/>
    <x v="5"/>
    <x v="2"/>
  </r>
  <r>
    <n v="45089"/>
    <x v="299"/>
    <x v="0"/>
    <x v="0"/>
    <x v="12"/>
    <x v="1051"/>
    <n v="64.38"/>
    <n v="4"/>
    <n v="-160.96"/>
    <x v="5"/>
    <x v="2"/>
  </r>
  <r>
    <n v="45089"/>
    <x v="299"/>
    <x v="0"/>
    <x v="1"/>
    <x v="8"/>
    <x v="353"/>
    <n v="6.98"/>
    <n v="2"/>
    <n v="-4.54"/>
    <x v="5"/>
    <x v="2"/>
  </r>
  <r>
    <n v="45089"/>
    <x v="299"/>
    <x v="0"/>
    <x v="0"/>
    <x v="4"/>
    <x v="510"/>
    <n v="11.26"/>
    <n v="8"/>
    <n v="3.94"/>
    <x v="5"/>
    <x v="2"/>
  </r>
  <r>
    <n v="45089"/>
    <x v="299"/>
    <x v="0"/>
    <x v="0"/>
    <x v="0"/>
    <x v="1709"/>
    <n v="15.55"/>
    <n v="3"/>
    <n v="5.64"/>
    <x v="5"/>
    <x v="2"/>
  </r>
  <r>
    <n v="45089"/>
    <x v="299"/>
    <x v="0"/>
    <x v="1"/>
    <x v="5"/>
    <x v="927"/>
    <n v="379.37"/>
    <n v="2"/>
    <n v="-119.23"/>
    <x v="5"/>
    <x v="2"/>
  </r>
  <r>
    <n v="45089"/>
    <x v="299"/>
    <x v="0"/>
    <x v="0"/>
    <x v="2"/>
    <x v="163"/>
    <n v="67.540000000000006"/>
    <n v="9"/>
    <n v="6.75"/>
    <x v="5"/>
    <x v="2"/>
  </r>
  <r>
    <n v="45089"/>
    <x v="299"/>
    <x v="0"/>
    <x v="0"/>
    <x v="3"/>
    <x v="343"/>
    <n v="1.52"/>
    <n v="2"/>
    <n v="-2.67"/>
    <x v="5"/>
    <x v="2"/>
  </r>
  <r>
    <n v="45090"/>
    <x v="90"/>
    <x v="14"/>
    <x v="2"/>
    <x v="6"/>
    <x v="217"/>
    <n v="377.97"/>
    <n v="3"/>
    <n v="94.49"/>
    <x v="5"/>
    <x v="2"/>
  </r>
  <r>
    <n v="45090"/>
    <x v="331"/>
    <x v="42"/>
    <x v="0"/>
    <x v="1"/>
    <x v="821"/>
    <n v="18.899999999999999"/>
    <n v="3"/>
    <n v="8.69"/>
    <x v="5"/>
    <x v="2"/>
  </r>
  <r>
    <n v="45090"/>
    <x v="217"/>
    <x v="20"/>
    <x v="0"/>
    <x v="3"/>
    <x v="702"/>
    <n v="33.57"/>
    <n v="2"/>
    <n v="11.75"/>
    <x v="5"/>
    <x v="2"/>
  </r>
  <r>
    <n v="45091"/>
    <x v="298"/>
    <x v="3"/>
    <x v="0"/>
    <x v="4"/>
    <x v="1591"/>
    <n v="7.04"/>
    <n v="4"/>
    <n v="2.04"/>
    <x v="5"/>
    <x v="2"/>
  </r>
  <r>
    <n v="45091"/>
    <x v="298"/>
    <x v="3"/>
    <x v="1"/>
    <x v="8"/>
    <x v="1670"/>
    <n v="8.73"/>
    <n v="3"/>
    <n v="4.0999999999999996"/>
    <x v="5"/>
    <x v="2"/>
  </r>
  <r>
    <n v="45091"/>
    <x v="298"/>
    <x v="3"/>
    <x v="2"/>
    <x v="9"/>
    <x v="393"/>
    <n v="29.29"/>
    <n v="1"/>
    <n v="9.67"/>
    <x v="5"/>
    <x v="2"/>
  </r>
  <r>
    <n v="45091"/>
    <x v="298"/>
    <x v="3"/>
    <x v="0"/>
    <x v="4"/>
    <x v="1441"/>
    <n v="8.64"/>
    <n v="3"/>
    <n v="2.5099999999999998"/>
    <x v="5"/>
    <x v="2"/>
  </r>
  <r>
    <n v="45091"/>
    <x v="167"/>
    <x v="3"/>
    <x v="1"/>
    <x v="11"/>
    <x v="194"/>
    <n v="599.16999999999996"/>
    <n v="5"/>
    <n v="35.25"/>
    <x v="5"/>
    <x v="2"/>
  </r>
  <r>
    <n v="45091"/>
    <x v="290"/>
    <x v="3"/>
    <x v="1"/>
    <x v="13"/>
    <x v="1706"/>
    <n v="1293.49"/>
    <n v="7"/>
    <n v="80.84"/>
    <x v="5"/>
    <x v="2"/>
  </r>
  <r>
    <n v="45091"/>
    <x v="763"/>
    <x v="2"/>
    <x v="1"/>
    <x v="13"/>
    <x v="1681"/>
    <n v="337.18"/>
    <n v="2"/>
    <n v="-118.01"/>
    <x v="5"/>
    <x v="2"/>
  </r>
  <r>
    <n v="45091"/>
    <x v="98"/>
    <x v="16"/>
    <x v="0"/>
    <x v="3"/>
    <x v="1356"/>
    <n v="39.94"/>
    <n v="4"/>
    <n v="-26.62"/>
    <x v="5"/>
    <x v="2"/>
  </r>
  <r>
    <n v="45091"/>
    <x v="98"/>
    <x v="16"/>
    <x v="2"/>
    <x v="9"/>
    <x v="1509"/>
    <n v="18.46"/>
    <n v="2"/>
    <n v="2.31"/>
    <x v="5"/>
    <x v="2"/>
  </r>
  <r>
    <n v="45091"/>
    <x v="278"/>
    <x v="22"/>
    <x v="1"/>
    <x v="13"/>
    <x v="1138"/>
    <n v="1115.17"/>
    <n v="7"/>
    <n v="334.55"/>
    <x v="5"/>
    <x v="2"/>
  </r>
  <r>
    <n v="45092"/>
    <x v="462"/>
    <x v="0"/>
    <x v="0"/>
    <x v="0"/>
    <x v="1325"/>
    <n v="173.49"/>
    <n v="7"/>
    <n v="54.22"/>
    <x v="5"/>
    <x v="2"/>
  </r>
  <r>
    <n v="45093"/>
    <x v="649"/>
    <x v="3"/>
    <x v="0"/>
    <x v="0"/>
    <x v="1032"/>
    <n v="46.35"/>
    <n v="5"/>
    <n v="21.78"/>
    <x v="5"/>
    <x v="2"/>
  </r>
  <r>
    <n v="45093"/>
    <x v="594"/>
    <x v="15"/>
    <x v="2"/>
    <x v="15"/>
    <x v="1710"/>
    <n v="91.48"/>
    <n v="1"/>
    <n v="-1.83"/>
    <x v="5"/>
    <x v="2"/>
  </r>
  <r>
    <n v="45093"/>
    <x v="612"/>
    <x v="7"/>
    <x v="0"/>
    <x v="1"/>
    <x v="260"/>
    <n v="9.4499999999999993"/>
    <n v="3"/>
    <n v="4.54"/>
    <x v="5"/>
    <x v="2"/>
  </r>
  <r>
    <n v="45094"/>
    <x v="764"/>
    <x v="20"/>
    <x v="0"/>
    <x v="2"/>
    <x v="1549"/>
    <n v="208.56"/>
    <n v="6"/>
    <n v="52.14"/>
    <x v="5"/>
    <x v="2"/>
  </r>
  <r>
    <n v="45094"/>
    <x v="764"/>
    <x v="20"/>
    <x v="0"/>
    <x v="0"/>
    <x v="327"/>
    <n v="32.4"/>
    <n v="5"/>
    <n v="15.55"/>
    <x v="5"/>
    <x v="2"/>
  </r>
  <r>
    <n v="45094"/>
    <x v="764"/>
    <x v="20"/>
    <x v="1"/>
    <x v="5"/>
    <x v="1318"/>
    <n v="319.41000000000003"/>
    <n v="5"/>
    <n v="7.1"/>
    <x v="5"/>
    <x v="2"/>
  </r>
  <r>
    <n v="45094"/>
    <x v="764"/>
    <x v="20"/>
    <x v="0"/>
    <x v="0"/>
    <x v="126"/>
    <n v="14.56"/>
    <n v="2"/>
    <n v="6.99"/>
    <x v="5"/>
    <x v="2"/>
  </r>
  <r>
    <n v="45094"/>
    <x v="764"/>
    <x v="20"/>
    <x v="2"/>
    <x v="9"/>
    <x v="623"/>
    <n v="30"/>
    <n v="2"/>
    <n v="3.3"/>
    <x v="5"/>
    <x v="2"/>
  </r>
  <r>
    <n v="45094"/>
    <x v="764"/>
    <x v="20"/>
    <x v="0"/>
    <x v="3"/>
    <x v="958"/>
    <n v="48.48"/>
    <n v="4"/>
    <n v="16.36"/>
    <x v="5"/>
    <x v="2"/>
  </r>
  <r>
    <n v="45094"/>
    <x v="764"/>
    <x v="20"/>
    <x v="0"/>
    <x v="4"/>
    <x v="321"/>
    <n v="1.68"/>
    <n v="1"/>
    <n v="0.84"/>
    <x v="5"/>
    <x v="2"/>
  </r>
  <r>
    <n v="45094"/>
    <x v="466"/>
    <x v="3"/>
    <x v="0"/>
    <x v="0"/>
    <x v="657"/>
    <n v="111.96"/>
    <n v="2"/>
    <n v="54.86"/>
    <x v="5"/>
    <x v="2"/>
  </r>
  <r>
    <n v="45094"/>
    <x v="667"/>
    <x v="20"/>
    <x v="0"/>
    <x v="2"/>
    <x v="1160"/>
    <n v="40.74"/>
    <n v="3"/>
    <n v="0.41"/>
    <x v="5"/>
    <x v="2"/>
  </r>
  <r>
    <n v="45094"/>
    <x v="30"/>
    <x v="3"/>
    <x v="1"/>
    <x v="11"/>
    <x v="194"/>
    <n v="239.67"/>
    <n v="2"/>
    <n v="14.1"/>
    <x v="5"/>
    <x v="2"/>
  </r>
  <r>
    <n v="45094"/>
    <x v="30"/>
    <x v="3"/>
    <x v="0"/>
    <x v="1"/>
    <x v="1680"/>
    <n v="22.5"/>
    <n v="6"/>
    <n v="10.8"/>
    <x v="5"/>
    <x v="2"/>
  </r>
  <r>
    <n v="45094"/>
    <x v="30"/>
    <x v="3"/>
    <x v="0"/>
    <x v="0"/>
    <x v="1520"/>
    <n v="219.84"/>
    <n v="4"/>
    <n v="107.72"/>
    <x v="5"/>
    <x v="2"/>
  </r>
  <r>
    <n v="45094"/>
    <x v="164"/>
    <x v="26"/>
    <x v="1"/>
    <x v="8"/>
    <x v="97"/>
    <n v="266.35000000000002"/>
    <n v="3"/>
    <n v="-13.32"/>
    <x v="5"/>
    <x v="2"/>
  </r>
  <r>
    <n v="45094"/>
    <x v="164"/>
    <x v="26"/>
    <x v="1"/>
    <x v="5"/>
    <x v="1417"/>
    <n v="483.14"/>
    <n v="4"/>
    <n v="54.35"/>
    <x v="5"/>
    <x v="2"/>
  </r>
  <r>
    <n v="45094"/>
    <x v="85"/>
    <x v="37"/>
    <x v="0"/>
    <x v="3"/>
    <x v="1428"/>
    <n v="7.96"/>
    <n v="2"/>
    <n v="3.74"/>
    <x v="5"/>
    <x v="2"/>
  </r>
  <r>
    <n v="45094"/>
    <x v="85"/>
    <x v="37"/>
    <x v="2"/>
    <x v="6"/>
    <x v="11"/>
    <n v="566.97"/>
    <n v="3"/>
    <n v="153.08000000000001"/>
    <x v="5"/>
    <x v="2"/>
  </r>
  <r>
    <n v="45094"/>
    <x v="85"/>
    <x v="37"/>
    <x v="0"/>
    <x v="4"/>
    <x v="175"/>
    <n v="9.84"/>
    <n v="3"/>
    <n v="2.85"/>
    <x v="5"/>
    <x v="2"/>
  </r>
  <r>
    <n v="45094"/>
    <x v="491"/>
    <x v="20"/>
    <x v="1"/>
    <x v="13"/>
    <x v="92"/>
    <n v="376.87"/>
    <n v="3"/>
    <n v="-213.56"/>
    <x v="5"/>
    <x v="2"/>
  </r>
  <r>
    <n v="45095"/>
    <x v="239"/>
    <x v="1"/>
    <x v="0"/>
    <x v="0"/>
    <x v="1362"/>
    <n v="76.86"/>
    <n v="2"/>
    <n v="26.9"/>
    <x v="5"/>
    <x v="2"/>
  </r>
  <r>
    <n v="45095"/>
    <x v="660"/>
    <x v="2"/>
    <x v="0"/>
    <x v="0"/>
    <x v="829"/>
    <n v="6.85"/>
    <n v="2"/>
    <n v="2.14"/>
    <x v="5"/>
    <x v="2"/>
  </r>
  <r>
    <n v="45095"/>
    <x v="660"/>
    <x v="2"/>
    <x v="0"/>
    <x v="3"/>
    <x v="483"/>
    <n v="4.63"/>
    <n v="2"/>
    <n v="-3.86"/>
    <x v="5"/>
    <x v="2"/>
  </r>
  <r>
    <n v="45095"/>
    <x v="660"/>
    <x v="2"/>
    <x v="0"/>
    <x v="12"/>
    <x v="427"/>
    <n v="453.6"/>
    <n v="3"/>
    <n v="90.72"/>
    <x v="5"/>
    <x v="2"/>
  </r>
  <r>
    <n v="45096"/>
    <x v="385"/>
    <x v="3"/>
    <x v="0"/>
    <x v="0"/>
    <x v="84"/>
    <n v="17.12"/>
    <n v="2"/>
    <n v="8.0500000000000007"/>
    <x v="5"/>
    <x v="2"/>
  </r>
  <r>
    <n v="45097"/>
    <x v="352"/>
    <x v="7"/>
    <x v="2"/>
    <x v="9"/>
    <x v="623"/>
    <n v="45"/>
    <n v="3"/>
    <n v="4.95"/>
    <x v="5"/>
    <x v="2"/>
  </r>
  <r>
    <n v="45097"/>
    <x v="352"/>
    <x v="7"/>
    <x v="2"/>
    <x v="6"/>
    <x v="383"/>
    <n v="21.8"/>
    <n v="2"/>
    <n v="6.1"/>
    <x v="5"/>
    <x v="2"/>
  </r>
  <r>
    <n v="45097"/>
    <x v="679"/>
    <x v="3"/>
    <x v="0"/>
    <x v="4"/>
    <x v="491"/>
    <n v="5.16"/>
    <n v="2"/>
    <n v="1.34"/>
    <x v="5"/>
    <x v="2"/>
  </r>
  <r>
    <n v="45097"/>
    <x v="679"/>
    <x v="3"/>
    <x v="0"/>
    <x v="0"/>
    <x v="1382"/>
    <n v="38.880000000000003"/>
    <n v="6"/>
    <n v="18.66"/>
    <x v="5"/>
    <x v="2"/>
  </r>
  <r>
    <n v="45097"/>
    <x v="651"/>
    <x v="2"/>
    <x v="0"/>
    <x v="0"/>
    <x v="1711"/>
    <n v="45.06"/>
    <n v="8"/>
    <n v="15.21"/>
    <x v="5"/>
    <x v="2"/>
  </r>
  <r>
    <n v="45097"/>
    <x v="651"/>
    <x v="2"/>
    <x v="0"/>
    <x v="3"/>
    <x v="1386"/>
    <n v="29.72"/>
    <n v="6"/>
    <n v="-21.79"/>
    <x v="5"/>
    <x v="2"/>
  </r>
  <r>
    <n v="45097"/>
    <x v="651"/>
    <x v="2"/>
    <x v="0"/>
    <x v="0"/>
    <x v="1382"/>
    <n v="15.55"/>
    <n v="3"/>
    <n v="5.44"/>
    <x v="5"/>
    <x v="2"/>
  </r>
  <r>
    <n v="45097"/>
    <x v="651"/>
    <x v="2"/>
    <x v="0"/>
    <x v="12"/>
    <x v="1712"/>
    <n v="447.7"/>
    <n v="2"/>
    <n v="33.58"/>
    <x v="5"/>
    <x v="2"/>
  </r>
  <r>
    <n v="45097"/>
    <x v="554"/>
    <x v="3"/>
    <x v="0"/>
    <x v="0"/>
    <x v="257"/>
    <n v="46.76"/>
    <n v="7"/>
    <n v="22.44"/>
    <x v="5"/>
    <x v="2"/>
  </r>
  <r>
    <n v="45097"/>
    <x v="554"/>
    <x v="3"/>
    <x v="0"/>
    <x v="3"/>
    <x v="116"/>
    <n v="17.71"/>
    <n v="3"/>
    <n v="6.42"/>
    <x v="5"/>
    <x v="2"/>
  </r>
  <r>
    <n v="45097"/>
    <x v="554"/>
    <x v="3"/>
    <x v="0"/>
    <x v="12"/>
    <x v="188"/>
    <n v="21.78"/>
    <n v="2"/>
    <n v="5.66"/>
    <x v="5"/>
    <x v="2"/>
  </r>
  <r>
    <n v="45097"/>
    <x v="554"/>
    <x v="3"/>
    <x v="0"/>
    <x v="2"/>
    <x v="124"/>
    <n v="161.94"/>
    <n v="3"/>
    <n v="9.7200000000000006"/>
    <x v="5"/>
    <x v="2"/>
  </r>
  <r>
    <n v="45097"/>
    <x v="554"/>
    <x v="3"/>
    <x v="1"/>
    <x v="5"/>
    <x v="1604"/>
    <n v="161.57"/>
    <n v="2"/>
    <n v="-8.08"/>
    <x v="5"/>
    <x v="2"/>
  </r>
  <r>
    <n v="45097"/>
    <x v="400"/>
    <x v="0"/>
    <x v="2"/>
    <x v="9"/>
    <x v="833"/>
    <n v="95.97"/>
    <n v="4"/>
    <n v="26.39"/>
    <x v="5"/>
    <x v="2"/>
  </r>
  <r>
    <n v="45097"/>
    <x v="400"/>
    <x v="0"/>
    <x v="0"/>
    <x v="0"/>
    <x v="1453"/>
    <n v="10.37"/>
    <n v="2"/>
    <n v="3.63"/>
    <x v="5"/>
    <x v="2"/>
  </r>
  <r>
    <n v="45097"/>
    <x v="183"/>
    <x v="39"/>
    <x v="2"/>
    <x v="9"/>
    <x v="162"/>
    <n v="6.9"/>
    <n v="1"/>
    <n v="0.55000000000000004"/>
    <x v="5"/>
    <x v="2"/>
  </r>
  <r>
    <n v="45097"/>
    <x v="183"/>
    <x v="39"/>
    <x v="1"/>
    <x v="8"/>
    <x v="192"/>
    <n v="57.69"/>
    <n v="3"/>
    <n v="23.65"/>
    <x v="5"/>
    <x v="2"/>
  </r>
  <r>
    <n v="45098"/>
    <x v="423"/>
    <x v="20"/>
    <x v="0"/>
    <x v="3"/>
    <x v="529"/>
    <n v="36.56"/>
    <n v="5"/>
    <n v="12.8"/>
    <x v="5"/>
    <x v="2"/>
  </r>
  <r>
    <n v="45098"/>
    <x v="423"/>
    <x v="20"/>
    <x v="0"/>
    <x v="3"/>
    <x v="164"/>
    <n v="186.14"/>
    <n v="6"/>
    <n v="60.5"/>
    <x v="5"/>
    <x v="2"/>
  </r>
  <r>
    <n v="45098"/>
    <x v="423"/>
    <x v="20"/>
    <x v="1"/>
    <x v="11"/>
    <x v="469"/>
    <n v="353.57"/>
    <n v="2"/>
    <n v="-44.2"/>
    <x v="5"/>
    <x v="2"/>
  </r>
  <r>
    <n v="45098"/>
    <x v="590"/>
    <x v="1"/>
    <x v="0"/>
    <x v="3"/>
    <x v="950"/>
    <n v="0.84"/>
    <n v="1"/>
    <n v="-1.34"/>
    <x v="5"/>
    <x v="2"/>
  </r>
  <r>
    <n v="45100"/>
    <x v="576"/>
    <x v="20"/>
    <x v="0"/>
    <x v="1"/>
    <x v="956"/>
    <n v="122.12"/>
    <n v="4"/>
    <n v="56.18"/>
    <x v="5"/>
    <x v="2"/>
  </r>
  <r>
    <n v="45100"/>
    <x v="576"/>
    <x v="20"/>
    <x v="0"/>
    <x v="1"/>
    <x v="1092"/>
    <n v="18.45"/>
    <n v="5"/>
    <n v="8.67"/>
    <x v="5"/>
    <x v="2"/>
  </r>
  <r>
    <n v="45100"/>
    <x v="576"/>
    <x v="20"/>
    <x v="0"/>
    <x v="2"/>
    <x v="1567"/>
    <n v="324.89999999999998"/>
    <n v="5"/>
    <n v="38.99"/>
    <x v="5"/>
    <x v="2"/>
  </r>
  <r>
    <n v="45100"/>
    <x v="576"/>
    <x v="20"/>
    <x v="0"/>
    <x v="0"/>
    <x v="1422"/>
    <n v="146.72999999999999"/>
    <n v="3"/>
    <n v="68.959999999999994"/>
    <x v="5"/>
    <x v="2"/>
  </r>
  <r>
    <n v="45100"/>
    <x v="576"/>
    <x v="20"/>
    <x v="0"/>
    <x v="7"/>
    <x v="1713"/>
    <n v="3.96"/>
    <n v="2"/>
    <n v="1.47"/>
    <x v="5"/>
    <x v="2"/>
  </r>
  <r>
    <n v="45100"/>
    <x v="585"/>
    <x v="20"/>
    <x v="0"/>
    <x v="14"/>
    <x v="104"/>
    <n v="835.17"/>
    <n v="7"/>
    <n v="16.7"/>
    <x v="5"/>
    <x v="2"/>
  </r>
  <r>
    <n v="45100"/>
    <x v="131"/>
    <x v="3"/>
    <x v="0"/>
    <x v="2"/>
    <x v="1440"/>
    <n v="93.68"/>
    <n v="4"/>
    <n v="25.29"/>
    <x v="5"/>
    <x v="2"/>
  </r>
  <r>
    <n v="45100"/>
    <x v="131"/>
    <x v="3"/>
    <x v="0"/>
    <x v="1"/>
    <x v="553"/>
    <n v="21.93"/>
    <n v="3"/>
    <n v="10.31"/>
    <x v="5"/>
    <x v="2"/>
  </r>
  <r>
    <n v="45100"/>
    <x v="131"/>
    <x v="3"/>
    <x v="2"/>
    <x v="6"/>
    <x v="855"/>
    <n v="862.34"/>
    <n v="7"/>
    <n v="97.01"/>
    <x v="5"/>
    <x v="2"/>
  </r>
  <r>
    <n v="45100"/>
    <x v="131"/>
    <x v="3"/>
    <x v="0"/>
    <x v="0"/>
    <x v="653"/>
    <n v="19.98"/>
    <n v="1"/>
    <n v="9.39"/>
    <x v="5"/>
    <x v="2"/>
  </r>
  <r>
    <n v="45100"/>
    <x v="533"/>
    <x v="20"/>
    <x v="0"/>
    <x v="1"/>
    <x v="1165"/>
    <n v="25.83"/>
    <n v="7"/>
    <n v="12.14"/>
    <x v="5"/>
    <x v="2"/>
  </r>
  <r>
    <n v="45101"/>
    <x v="649"/>
    <x v="3"/>
    <x v="2"/>
    <x v="6"/>
    <x v="65"/>
    <n v="38.24"/>
    <n v="4"/>
    <n v="-9.56"/>
    <x v="5"/>
    <x v="2"/>
  </r>
  <r>
    <n v="45101"/>
    <x v="19"/>
    <x v="18"/>
    <x v="2"/>
    <x v="6"/>
    <x v="952"/>
    <n v="440.91"/>
    <n v="9"/>
    <n v="123.45"/>
    <x v="5"/>
    <x v="2"/>
  </r>
  <r>
    <n v="45101"/>
    <x v="526"/>
    <x v="0"/>
    <x v="0"/>
    <x v="12"/>
    <x v="1500"/>
    <n v="8.7100000000000009"/>
    <n v="2"/>
    <n v="-19.600000000000001"/>
    <x v="5"/>
    <x v="2"/>
  </r>
  <r>
    <n v="45101"/>
    <x v="655"/>
    <x v="3"/>
    <x v="2"/>
    <x v="15"/>
    <x v="1640"/>
    <n v="4476.8"/>
    <n v="4"/>
    <n v="503.64"/>
    <x v="5"/>
    <x v="2"/>
  </r>
  <r>
    <n v="45101"/>
    <x v="655"/>
    <x v="3"/>
    <x v="0"/>
    <x v="0"/>
    <x v="600"/>
    <n v="104.85"/>
    <n v="1"/>
    <n v="50.33"/>
    <x v="5"/>
    <x v="2"/>
  </r>
  <r>
    <n v="45101"/>
    <x v="655"/>
    <x v="3"/>
    <x v="0"/>
    <x v="12"/>
    <x v="1051"/>
    <n v="241.44"/>
    <n v="3"/>
    <n v="72.430000000000007"/>
    <x v="5"/>
    <x v="2"/>
  </r>
  <r>
    <n v="45102"/>
    <x v="161"/>
    <x v="2"/>
    <x v="1"/>
    <x v="5"/>
    <x v="249"/>
    <n v="422.06"/>
    <n v="3"/>
    <n v="-18.09"/>
    <x v="5"/>
    <x v="2"/>
  </r>
  <r>
    <n v="45102"/>
    <x v="161"/>
    <x v="2"/>
    <x v="0"/>
    <x v="3"/>
    <x v="1469"/>
    <n v="38.090000000000003"/>
    <n v="4"/>
    <n v="-27.93"/>
    <x v="5"/>
    <x v="2"/>
  </r>
  <r>
    <n v="45102"/>
    <x v="161"/>
    <x v="2"/>
    <x v="0"/>
    <x v="2"/>
    <x v="874"/>
    <n v="254.35"/>
    <n v="6"/>
    <n v="-50.87"/>
    <x v="5"/>
    <x v="2"/>
  </r>
  <r>
    <n v="45102"/>
    <x v="83"/>
    <x v="3"/>
    <x v="0"/>
    <x v="12"/>
    <x v="38"/>
    <n v="60.81"/>
    <n v="3"/>
    <n v="17.03"/>
    <x v="5"/>
    <x v="2"/>
  </r>
  <r>
    <n v="45102"/>
    <x v="391"/>
    <x v="0"/>
    <x v="1"/>
    <x v="5"/>
    <x v="94"/>
    <n v="85.25"/>
    <n v="2"/>
    <n v="-6.09"/>
    <x v="5"/>
    <x v="2"/>
  </r>
  <r>
    <n v="45102"/>
    <x v="391"/>
    <x v="0"/>
    <x v="1"/>
    <x v="8"/>
    <x v="1714"/>
    <n v="32.71"/>
    <n v="2"/>
    <n v="-26.17"/>
    <x v="5"/>
    <x v="2"/>
  </r>
  <r>
    <n v="45103"/>
    <x v="130"/>
    <x v="20"/>
    <x v="0"/>
    <x v="4"/>
    <x v="793"/>
    <n v="14.7"/>
    <n v="5"/>
    <n v="6.62"/>
    <x v="5"/>
    <x v="2"/>
  </r>
  <r>
    <n v="45103"/>
    <x v="130"/>
    <x v="20"/>
    <x v="0"/>
    <x v="2"/>
    <x v="1194"/>
    <n v="704.25"/>
    <n v="5"/>
    <n v="84.51"/>
    <x v="5"/>
    <x v="2"/>
  </r>
  <r>
    <n v="45103"/>
    <x v="344"/>
    <x v="43"/>
    <x v="0"/>
    <x v="2"/>
    <x v="1142"/>
    <n v="14.9"/>
    <n v="5"/>
    <n v="1.04"/>
    <x v="5"/>
    <x v="2"/>
  </r>
  <r>
    <n v="45103"/>
    <x v="314"/>
    <x v="0"/>
    <x v="2"/>
    <x v="9"/>
    <x v="1715"/>
    <n v="13.62"/>
    <n v="2"/>
    <n v="3.57"/>
    <x v="5"/>
    <x v="2"/>
  </r>
  <r>
    <n v="45103"/>
    <x v="416"/>
    <x v="3"/>
    <x v="1"/>
    <x v="8"/>
    <x v="977"/>
    <n v="22.14"/>
    <n v="3"/>
    <n v="6.42"/>
    <x v="5"/>
    <x v="2"/>
  </r>
  <r>
    <n v="45103"/>
    <x v="765"/>
    <x v="1"/>
    <x v="0"/>
    <x v="4"/>
    <x v="1363"/>
    <n v="5.3"/>
    <n v="3"/>
    <n v="0.46"/>
    <x v="5"/>
    <x v="2"/>
  </r>
  <r>
    <n v="45103"/>
    <x v="659"/>
    <x v="14"/>
    <x v="0"/>
    <x v="0"/>
    <x v="1289"/>
    <n v="368.91"/>
    <n v="9"/>
    <n v="180.77"/>
    <x v="5"/>
    <x v="2"/>
  </r>
  <r>
    <n v="45103"/>
    <x v="659"/>
    <x v="14"/>
    <x v="0"/>
    <x v="3"/>
    <x v="170"/>
    <n v="8.02"/>
    <n v="1"/>
    <n v="3.77"/>
    <x v="5"/>
    <x v="2"/>
  </r>
  <r>
    <n v="45103"/>
    <x v="659"/>
    <x v="14"/>
    <x v="0"/>
    <x v="2"/>
    <x v="434"/>
    <n v="171.04"/>
    <n v="4"/>
    <n v="44.47"/>
    <x v="5"/>
    <x v="2"/>
  </r>
  <r>
    <n v="45103"/>
    <x v="512"/>
    <x v="3"/>
    <x v="0"/>
    <x v="14"/>
    <x v="1673"/>
    <n v="231.72"/>
    <n v="2"/>
    <n v="11.59"/>
    <x v="5"/>
    <x v="2"/>
  </r>
  <r>
    <n v="45103"/>
    <x v="512"/>
    <x v="3"/>
    <x v="0"/>
    <x v="7"/>
    <x v="500"/>
    <n v="17.899999999999999"/>
    <n v="5"/>
    <n v="8.9499999999999993"/>
    <x v="5"/>
    <x v="2"/>
  </r>
  <r>
    <n v="45103"/>
    <x v="512"/>
    <x v="3"/>
    <x v="0"/>
    <x v="0"/>
    <x v="1399"/>
    <n v="12.48"/>
    <n v="2"/>
    <n v="5.62"/>
    <x v="5"/>
    <x v="2"/>
  </r>
  <r>
    <n v="45103"/>
    <x v="379"/>
    <x v="20"/>
    <x v="2"/>
    <x v="9"/>
    <x v="1541"/>
    <n v="20.97"/>
    <n v="3"/>
    <n v="9.02"/>
    <x v="5"/>
    <x v="2"/>
  </r>
  <r>
    <n v="45103"/>
    <x v="379"/>
    <x v="20"/>
    <x v="2"/>
    <x v="9"/>
    <x v="1571"/>
    <n v="139.96"/>
    <n v="4"/>
    <n v="9.8000000000000007"/>
    <x v="5"/>
    <x v="2"/>
  </r>
  <r>
    <n v="45103"/>
    <x v="379"/>
    <x v="20"/>
    <x v="1"/>
    <x v="8"/>
    <x v="1716"/>
    <n v="37.74"/>
    <n v="3"/>
    <n v="12.83"/>
    <x v="5"/>
    <x v="2"/>
  </r>
  <r>
    <n v="45103"/>
    <x v="766"/>
    <x v="4"/>
    <x v="2"/>
    <x v="6"/>
    <x v="981"/>
    <n v="135.94999999999999"/>
    <n v="1"/>
    <n v="39.43"/>
    <x v="5"/>
    <x v="2"/>
  </r>
  <r>
    <n v="45104"/>
    <x v="121"/>
    <x v="1"/>
    <x v="0"/>
    <x v="0"/>
    <x v="1089"/>
    <n v="37.46"/>
    <n v="7"/>
    <n v="12.18"/>
    <x v="5"/>
    <x v="2"/>
  </r>
  <r>
    <n v="45104"/>
    <x v="121"/>
    <x v="1"/>
    <x v="1"/>
    <x v="5"/>
    <x v="435"/>
    <n v="539.66"/>
    <n v="3"/>
    <n v="-7.71"/>
    <x v="5"/>
    <x v="2"/>
  </r>
  <r>
    <n v="45104"/>
    <x v="461"/>
    <x v="3"/>
    <x v="2"/>
    <x v="6"/>
    <x v="217"/>
    <n v="201.58"/>
    <n v="2"/>
    <n v="12.6"/>
    <x v="5"/>
    <x v="2"/>
  </r>
  <r>
    <n v="45105"/>
    <x v="334"/>
    <x v="1"/>
    <x v="2"/>
    <x v="6"/>
    <x v="860"/>
    <n v="359.98"/>
    <n v="3"/>
    <n v="36"/>
    <x v="5"/>
    <x v="2"/>
  </r>
  <r>
    <n v="45105"/>
    <x v="10"/>
    <x v="3"/>
    <x v="0"/>
    <x v="3"/>
    <x v="309"/>
    <n v="7.75"/>
    <n v="3"/>
    <n v="2.81"/>
    <x v="5"/>
    <x v="2"/>
  </r>
  <r>
    <n v="45105"/>
    <x v="10"/>
    <x v="3"/>
    <x v="0"/>
    <x v="3"/>
    <x v="637"/>
    <n v="33.57"/>
    <n v="2"/>
    <n v="11.75"/>
    <x v="5"/>
    <x v="2"/>
  </r>
  <r>
    <n v="45105"/>
    <x v="652"/>
    <x v="23"/>
    <x v="1"/>
    <x v="5"/>
    <x v="1331"/>
    <n v="121.96"/>
    <n v="2"/>
    <n v="20.73"/>
    <x v="5"/>
    <x v="2"/>
  </r>
  <r>
    <n v="45105"/>
    <x v="652"/>
    <x v="23"/>
    <x v="0"/>
    <x v="12"/>
    <x v="1280"/>
    <n v="8.74"/>
    <n v="2"/>
    <n v="2.27"/>
    <x v="5"/>
    <x v="2"/>
  </r>
  <r>
    <n v="45105"/>
    <x v="652"/>
    <x v="23"/>
    <x v="0"/>
    <x v="0"/>
    <x v="842"/>
    <n v="61.96"/>
    <n v="2"/>
    <n v="27.88"/>
    <x v="5"/>
    <x v="2"/>
  </r>
  <r>
    <n v="45105"/>
    <x v="652"/>
    <x v="23"/>
    <x v="0"/>
    <x v="3"/>
    <x v="1428"/>
    <n v="7.96"/>
    <n v="2"/>
    <n v="3.74"/>
    <x v="5"/>
    <x v="2"/>
  </r>
  <r>
    <n v="45105"/>
    <x v="652"/>
    <x v="23"/>
    <x v="0"/>
    <x v="12"/>
    <x v="52"/>
    <n v="275.24"/>
    <n v="4"/>
    <n v="121.11"/>
    <x v="5"/>
    <x v="2"/>
  </r>
  <r>
    <n v="45106"/>
    <x v="261"/>
    <x v="9"/>
    <x v="0"/>
    <x v="2"/>
    <x v="555"/>
    <n v="191.88"/>
    <n v="6"/>
    <n v="19.190000000000001"/>
    <x v="5"/>
    <x v="2"/>
  </r>
  <r>
    <n v="45107"/>
    <x v="413"/>
    <x v="4"/>
    <x v="0"/>
    <x v="4"/>
    <x v="698"/>
    <n v="35.97"/>
    <n v="3"/>
    <n v="9.7100000000000009"/>
    <x v="5"/>
    <x v="2"/>
  </r>
  <r>
    <n v="45107"/>
    <x v="413"/>
    <x v="4"/>
    <x v="1"/>
    <x v="11"/>
    <x v="1212"/>
    <n v="1266.8599999999999"/>
    <n v="7"/>
    <n v="291.38"/>
    <x v="5"/>
    <x v="2"/>
  </r>
  <r>
    <n v="45107"/>
    <x v="303"/>
    <x v="1"/>
    <x v="2"/>
    <x v="9"/>
    <x v="907"/>
    <n v="50.12"/>
    <n v="7"/>
    <n v="-0.63"/>
    <x v="5"/>
    <x v="2"/>
  </r>
  <r>
    <n v="45108"/>
    <x v="705"/>
    <x v="9"/>
    <x v="0"/>
    <x v="3"/>
    <x v="745"/>
    <n v="14.2"/>
    <n v="2"/>
    <n v="6.53"/>
    <x v="6"/>
    <x v="2"/>
  </r>
  <r>
    <n v="45108"/>
    <x v="705"/>
    <x v="9"/>
    <x v="0"/>
    <x v="0"/>
    <x v="801"/>
    <n v="12.96"/>
    <n v="2"/>
    <n v="6.22"/>
    <x v="6"/>
    <x v="2"/>
  </r>
  <r>
    <n v="45108"/>
    <x v="705"/>
    <x v="9"/>
    <x v="0"/>
    <x v="3"/>
    <x v="1223"/>
    <n v="58.34"/>
    <n v="2"/>
    <n v="28"/>
    <x v="6"/>
    <x v="2"/>
  </r>
  <r>
    <n v="45108"/>
    <x v="306"/>
    <x v="27"/>
    <x v="2"/>
    <x v="16"/>
    <x v="1478"/>
    <n v="1499.95"/>
    <n v="5"/>
    <n v="449.99"/>
    <x v="6"/>
    <x v="2"/>
  </r>
  <r>
    <n v="45108"/>
    <x v="720"/>
    <x v="20"/>
    <x v="0"/>
    <x v="1"/>
    <x v="1199"/>
    <n v="30.53"/>
    <n v="1"/>
    <n v="14.04"/>
    <x v="6"/>
    <x v="2"/>
  </r>
  <r>
    <n v="45108"/>
    <x v="720"/>
    <x v="20"/>
    <x v="2"/>
    <x v="9"/>
    <x v="754"/>
    <n v="30.84"/>
    <n v="3"/>
    <n v="6.17"/>
    <x v="6"/>
    <x v="2"/>
  </r>
  <r>
    <n v="45108"/>
    <x v="720"/>
    <x v="20"/>
    <x v="0"/>
    <x v="0"/>
    <x v="1279"/>
    <n v="75.06"/>
    <n v="9"/>
    <n v="33.78"/>
    <x v="6"/>
    <x v="2"/>
  </r>
  <r>
    <n v="45108"/>
    <x v="327"/>
    <x v="22"/>
    <x v="0"/>
    <x v="3"/>
    <x v="253"/>
    <n v="2.5"/>
    <n v="1"/>
    <n v="0.9"/>
    <x v="6"/>
    <x v="2"/>
  </r>
  <r>
    <n v="45109"/>
    <x v="169"/>
    <x v="3"/>
    <x v="1"/>
    <x v="5"/>
    <x v="580"/>
    <n v="195.18"/>
    <n v="1"/>
    <n v="19.52"/>
    <x v="6"/>
    <x v="2"/>
  </r>
  <r>
    <n v="45109"/>
    <x v="175"/>
    <x v="6"/>
    <x v="0"/>
    <x v="4"/>
    <x v="1717"/>
    <n v="7.7"/>
    <n v="2"/>
    <n v="3.16"/>
    <x v="6"/>
    <x v="2"/>
  </r>
  <r>
    <n v="45109"/>
    <x v="400"/>
    <x v="0"/>
    <x v="1"/>
    <x v="5"/>
    <x v="1022"/>
    <n v="528.42999999999995"/>
    <n v="5"/>
    <n v="0"/>
    <x v="6"/>
    <x v="2"/>
  </r>
  <r>
    <n v="45109"/>
    <x v="400"/>
    <x v="0"/>
    <x v="0"/>
    <x v="0"/>
    <x v="1588"/>
    <n v="41.47"/>
    <n v="8"/>
    <n v="14.52"/>
    <x v="6"/>
    <x v="2"/>
  </r>
  <r>
    <n v="45110"/>
    <x v="606"/>
    <x v="3"/>
    <x v="0"/>
    <x v="0"/>
    <x v="571"/>
    <n v="12.96"/>
    <n v="2"/>
    <n v="6.22"/>
    <x v="6"/>
    <x v="2"/>
  </r>
  <r>
    <n v="45110"/>
    <x v="606"/>
    <x v="3"/>
    <x v="0"/>
    <x v="7"/>
    <x v="1525"/>
    <n v="3.96"/>
    <n v="2"/>
    <n v="0.08"/>
    <x v="6"/>
    <x v="2"/>
  </r>
  <r>
    <n v="45110"/>
    <x v="78"/>
    <x v="20"/>
    <x v="0"/>
    <x v="12"/>
    <x v="1718"/>
    <n v="706.86"/>
    <n v="7"/>
    <n v="197.92"/>
    <x v="6"/>
    <x v="2"/>
  </r>
  <r>
    <n v="45110"/>
    <x v="76"/>
    <x v="2"/>
    <x v="0"/>
    <x v="0"/>
    <x v="705"/>
    <n v="123.92"/>
    <n v="5"/>
    <n v="38.729999999999997"/>
    <x v="6"/>
    <x v="2"/>
  </r>
  <r>
    <n v="45111"/>
    <x v="266"/>
    <x v="3"/>
    <x v="1"/>
    <x v="8"/>
    <x v="112"/>
    <n v="25.4"/>
    <n v="5"/>
    <n v="8.64"/>
    <x v="6"/>
    <x v="2"/>
  </r>
  <r>
    <n v="45111"/>
    <x v="266"/>
    <x v="3"/>
    <x v="0"/>
    <x v="10"/>
    <x v="611"/>
    <n v="43.96"/>
    <n v="2"/>
    <n v="20.66"/>
    <x v="6"/>
    <x v="2"/>
  </r>
  <r>
    <n v="45111"/>
    <x v="266"/>
    <x v="3"/>
    <x v="1"/>
    <x v="11"/>
    <x v="1248"/>
    <n v="1279.17"/>
    <n v="5"/>
    <n v="225.74"/>
    <x v="6"/>
    <x v="2"/>
  </r>
  <r>
    <n v="45111"/>
    <x v="266"/>
    <x v="3"/>
    <x v="0"/>
    <x v="2"/>
    <x v="132"/>
    <n v="27.92"/>
    <n v="4"/>
    <n v="0.56000000000000005"/>
    <x v="6"/>
    <x v="2"/>
  </r>
  <r>
    <n v="45111"/>
    <x v="81"/>
    <x v="22"/>
    <x v="1"/>
    <x v="8"/>
    <x v="112"/>
    <n v="25.4"/>
    <n v="5"/>
    <n v="8.64"/>
    <x v="6"/>
    <x v="2"/>
  </r>
  <r>
    <n v="45111"/>
    <x v="81"/>
    <x v="22"/>
    <x v="2"/>
    <x v="6"/>
    <x v="1578"/>
    <n v="177.48"/>
    <n v="3"/>
    <n v="19.97"/>
    <x v="6"/>
    <x v="2"/>
  </r>
  <r>
    <n v="45111"/>
    <x v="81"/>
    <x v="22"/>
    <x v="2"/>
    <x v="6"/>
    <x v="1511"/>
    <n v="71.98"/>
    <n v="3"/>
    <n v="9"/>
    <x v="6"/>
    <x v="2"/>
  </r>
  <r>
    <n v="45114"/>
    <x v="571"/>
    <x v="16"/>
    <x v="0"/>
    <x v="14"/>
    <x v="622"/>
    <n v="45.58"/>
    <n v="7"/>
    <n v="5.13"/>
    <x v="6"/>
    <x v="2"/>
  </r>
  <r>
    <n v="45114"/>
    <x v="195"/>
    <x v="3"/>
    <x v="1"/>
    <x v="8"/>
    <x v="562"/>
    <n v="215.65"/>
    <n v="5"/>
    <n v="73.319999999999993"/>
    <x v="6"/>
    <x v="2"/>
  </r>
  <r>
    <n v="45114"/>
    <x v="45"/>
    <x v="1"/>
    <x v="1"/>
    <x v="8"/>
    <x v="1310"/>
    <n v="60.29"/>
    <n v="8"/>
    <n v="-27.13"/>
    <x v="6"/>
    <x v="2"/>
  </r>
  <r>
    <n v="45114"/>
    <x v="45"/>
    <x v="1"/>
    <x v="0"/>
    <x v="7"/>
    <x v="779"/>
    <n v="2.63"/>
    <n v="1"/>
    <n v="0.82"/>
    <x v="6"/>
    <x v="2"/>
  </r>
  <r>
    <n v="45114"/>
    <x v="45"/>
    <x v="1"/>
    <x v="0"/>
    <x v="0"/>
    <x v="1071"/>
    <n v="23.69"/>
    <n v="9"/>
    <n v="7.7"/>
    <x v="6"/>
    <x v="2"/>
  </r>
  <r>
    <n v="45114"/>
    <x v="45"/>
    <x v="1"/>
    <x v="1"/>
    <x v="5"/>
    <x v="1434"/>
    <n v="253.37"/>
    <n v="2"/>
    <n v="-14.48"/>
    <x v="6"/>
    <x v="2"/>
  </r>
  <r>
    <n v="45114"/>
    <x v="757"/>
    <x v="3"/>
    <x v="1"/>
    <x v="5"/>
    <x v="1322"/>
    <n v="287.97000000000003"/>
    <n v="4"/>
    <n v="-3.6"/>
    <x v="6"/>
    <x v="2"/>
  </r>
  <r>
    <n v="45114"/>
    <x v="757"/>
    <x v="3"/>
    <x v="2"/>
    <x v="16"/>
    <x v="1252"/>
    <n v="2799.96"/>
    <n v="5"/>
    <n v="944.99"/>
    <x v="6"/>
    <x v="2"/>
  </r>
  <r>
    <n v="45114"/>
    <x v="757"/>
    <x v="3"/>
    <x v="0"/>
    <x v="0"/>
    <x v="819"/>
    <n v="48.94"/>
    <n v="1"/>
    <n v="24.47"/>
    <x v="6"/>
    <x v="2"/>
  </r>
  <r>
    <n v="45114"/>
    <x v="570"/>
    <x v="2"/>
    <x v="0"/>
    <x v="1"/>
    <x v="893"/>
    <n v="10.08"/>
    <n v="2"/>
    <n v="3.28"/>
    <x v="6"/>
    <x v="2"/>
  </r>
  <r>
    <n v="45114"/>
    <x v="570"/>
    <x v="2"/>
    <x v="2"/>
    <x v="6"/>
    <x v="659"/>
    <n v="59.99"/>
    <n v="1"/>
    <n v="-13"/>
    <x v="6"/>
    <x v="2"/>
  </r>
  <r>
    <n v="45114"/>
    <x v="570"/>
    <x v="2"/>
    <x v="0"/>
    <x v="3"/>
    <x v="343"/>
    <n v="5.72"/>
    <n v="5"/>
    <n v="-4.76"/>
    <x v="6"/>
    <x v="2"/>
  </r>
  <r>
    <n v="45114"/>
    <x v="570"/>
    <x v="2"/>
    <x v="0"/>
    <x v="3"/>
    <x v="898"/>
    <n v="9.42"/>
    <n v="5"/>
    <n v="-7.85"/>
    <x v="6"/>
    <x v="2"/>
  </r>
  <r>
    <n v="45114"/>
    <x v="655"/>
    <x v="27"/>
    <x v="0"/>
    <x v="0"/>
    <x v="291"/>
    <n v="12.96"/>
    <n v="2"/>
    <n v="6.22"/>
    <x v="6"/>
    <x v="2"/>
  </r>
  <r>
    <n v="45114"/>
    <x v="655"/>
    <x v="27"/>
    <x v="0"/>
    <x v="4"/>
    <x v="666"/>
    <n v="45.98"/>
    <n v="2"/>
    <n v="12.87"/>
    <x v="6"/>
    <x v="2"/>
  </r>
  <r>
    <n v="45115"/>
    <x v="759"/>
    <x v="0"/>
    <x v="2"/>
    <x v="6"/>
    <x v="1613"/>
    <n v="863.64"/>
    <n v="9"/>
    <n v="107.96"/>
    <x v="6"/>
    <x v="2"/>
  </r>
  <r>
    <n v="45115"/>
    <x v="759"/>
    <x v="0"/>
    <x v="0"/>
    <x v="4"/>
    <x v="137"/>
    <n v="47.62"/>
    <n v="3"/>
    <n v="3.57"/>
    <x v="6"/>
    <x v="2"/>
  </r>
  <r>
    <n v="45115"/>
    <x v="364"/>
    <x v="26"/>
    <x v="0"/>
    <x v="3"/>
    <x v="1356"/>
    <n v="19.97"/>
    <n v="2"/>
    <n v="-13.31"/>
    <x v="6"/>
    <x v="2"/>
  </r>
  <r>
    <n v="45115"/>
    <x v="364"/>
    <x v="26"/>
    <x v="0"/>
    <x v="2"/>
    <x v="565"/>
    <n v="33.49"/>
    <n v="7"/>
    <n v="-1.26"/>
    <x v="6"/>
    <x v="2"/>
  </r>
  <r>
    <n v="45115"/>
    <x v="364"/>
    <x v="26"/>
    <x v="0"/>
    <x v="3"/>
    <x v="1045"/>
    <n v="8.74"/>
    <n v="4"/>
    <n v="-6.12"/>
    <x v="6"/>
    <x v="2"/>
  </r>
  <r>
    <n v="45115"/>
    <x v="364"/>
    <x v="26"/>
    <x v="1"/>
    <x v="5"/>
    <x v="782"/>
    <n v="662.88"/>
    <n v="3"/>
    <n v="74.569999999999993"/>
    <x v="6"/>
    <x v="2"/>
  </r>
  <r>
    <n v="45115"/>
    <x v="393"/>
    <x v="22"/>
    <x v="2"/>
    <x v="6"/>
    <x v="1094"/>
    <n v="107.98"/>
    <n v="1"/>
    <n v="9.4499999999999993"/>
    <x v="6"/>
    <x v="2"/>
  </r>
  <r>
    <n v="45115"/>
    <x v="393"/>
    <x v="22"/>
    <x v="0"/>
    <x v="3"/>
    <x v="274"/>
    <n v="19.3"/>
    <n v="3"/>
    <n v="6.03"/>
    <x v="6"/>
    <x v="2"/>
  </r>
  <r>
    <n v="45115"/>
    <x v="368"/>
    <x v="16"/>
    <x v="2"/>
    <x v="6"/>
    <x v="1719"/>
    <n v="823.96"/>
    <n v="5"/>
    <n v="51.5"/>
    <x v="6"/>
    <x v="2"/>
  </r>
  <r>
    <n v="45115"/>
    <x v="368"/>
    <x v="16"/>
    <x v="0"/>
    <x v="0"/>
    <x v="733"/>
    <n v="15.98"/>
    <n v="2"/>
    <n v="5"/>
    <x v="6"/>
    <x v="2"/>
  </r>
  <r>
    <n v="45115"/>
    <x v="424"/>
    <x v="43"/>
    <x v="0"/>
    <x v="0"/>
    <x v="310"/>
    <n v="12.96"/>
    <n v="2"/>
    <n v="6.22"/>
    <x v="6"/>
    <x v="2"/>
  </r>
  <r>
    <n v="45116"/>
    <x v="104"/>
    <x v="20"/>
    <x v="1"/>
    <x v="5"/>
    <x v="668"/>
    <n v="408.01"/>
    <n v="2"/>
    <n v="72.53"/>
    <x v="6"/>
    <x v="2"/>
  </r>
  <r>
    <n v="45116"/>
    <x v="104"/>
    <x v="20"/>
    <x v="1"/>
    <x v="8"/>
    <x v="392"/>
    <n v="165.28"/>
    <n v="4"/>
    <n v="14.88"/>
    <x v="6"/>
    <x v="2"/>
  </r>
  <r>
    <n v="45117"/>
    <x v="158"/>
    <x v="12"/>
    <x v="0"/>
    <x v="2"/>
    <x v="1462"/>
    <n v="16.77"/>
    <n v="2"/>
    <n v="1.47"/>
    <x v="6"/>
    <x v="2"/>
  </r>
  <r>
    <n v="45117"/>
    <x v="564"/>
    <x v="0"/>
    <x v="0"/>
    <x v="2"/>
    <x v="1194"/>
    <n v="338.04"/>
    <n v="3"/>
    <n v="-33.799999999999997"/>
    <x v="6"/>
    <x v="2"/>
  </r>
  <r>
    <n v="45117"/>
    <x v="564"/>
    <x v="0"/>
    <x v="0"/>
    <x v="4"/>
    <x v="456"/>
    <n v="154.24"/>
    <n v="4"/>
    <n v="17.350000000000001"/>
    <x v="6"/>
    <x v="2"/>
  </r>
  <r>
    <n v="45117"/>
    <x v="327"/>
    <x v="12"/>
    <x v="0"/>
    <x v="3"/>
    <x v="461"/>
    <n v="44.86"/>
    <n v="6"/>
    <n v="-35.880000000000003"/>
    <x v="6"/>
    <x v="2"/>
  </r>
  <r>
    <n v="45117"/>
    <x v="400"/>
    <x v="2"/>
    <x v="2"/>
    <x v="15"/>
    <x v="1720"/>
    <n v="341.99"/>
    <n v="3"/>
    <n v="-319.19"/>
    <x v="6"/>
    <x v="2"/>
  </r>
  <r>
    <n v="45119"/>
    <x v="94"/>
    <x v="3"/>
    <x v="2"/>
    <x v="6"/>
    <x v="726"/>
    <n v="95.76"/>
    <n v="6"/>
    <n v="7.18"/>
    <x v="6"/>
    <x v="2"/>
  </r>
  <r>
    <n v="45121"/>
    <x v="442"/>
    <x v="12"/>
    <x v="2"/>
    <x v="6"/>
    <x v="1222"/>
    <n v="380.86"/>
    <n v="8"/>
    <n v="38.090000000000003"/>
    <x v="6"/>
    <x v="2"/>
  </r>
  <r>
    <n v="45121"/>
    <x v="633"/>
    <x v="2"/>
    <x v="0"/>
    <x v="14"/>
    <x v="1006"/>
    <n v="11.63"/>
    <n v="2"/>
    <n v="1.02"/>
    <x v="6"/>
    <x v="2"/>
  </r>
  <r>
    <n v="45121"/>
    <x v="490"/>
    <x v="20"/>
    <x v="0"/>
    <x v="2"/>
    <x v="329"/>
    <n v="11.21"/>
    <n v="1"/>
    <n v="3.36"/>
    <x v="6"/>
    <x v="2"/>
  </r>
  <r>
    <n v="45121"/>
    <x v="490"/>
    <x v="20"/>
    <x v="0"/>
    <x v="3"/>
    <x v="595"/>
    <n v="9.14"/>
    <n v="3"/>
    <n v="3.2"/>
    <x v="6"/>
    <x v="2"/>
  </r>
  <r>
    <n v="45121"/>
    <x v="490"/>
    <x v="20"/>
    <x v="0"/>
    <x v="7"/>
    <x v="789"/>
    <n v="14.07"/>
    <n v="7"/>
    <n v="6.89"/>
    <x v="6"/>
    <x v="2"/>
  </r>
  <r>
    <n v="45121"/>
    <x v="490"/>
    <x v="20"/>
    <x v="0"/>
    <x v="4"/>
    <x v="588"/>
    <n v="41.86"/>
    <n v="7"/>
    <n v="10.47"/>
    <x v="6"/>
    <x v="2"/>
  </r>
  <r>
    <n v="45121"/>
    <x v="490"/>
    <x v="20"/>
    <x v="0"/>
    <x v="3"/>
    <x v="105"/>
    <n v="8.5399999999999991"/>
    <n v="2"/>
    <n v="2.88"/>
    <x v="6"/>
    <x v="2"/>
  </r>
  <r>
    <n v="45121"/>
    <x v="490"/>
    <x v="20"/>
    <x v="1"/>
    <x v="11"/>
    <x v="1212"/>
    <n v="579.14"/>
    <n v="4"/>
    <n v="21.72"/>
    <x v="6"/>
    <x v="2"/>
  </r>
  <r>
    <n v="45121"/>
    <x v="240"/>
    <x v="0"/>
    <x v="2"/>
    <x v="6"/>
    <x v="1721"/>
    <n v="419.94"/>
    <n v="7"/>
    <n v="52.49"/>
    <x v="6"/>
    <x v="2"/>
  </r>
  <r>
    <n v="45121"/>
    <x v="696"/>
    <x v="20"/>
    <x v="0"/>
    <x v="3"/>
    <x v="3"/>
    <n v="14.16"/>
    <n v="2"/>
    <n v="5.13"/>
    <x v="6"/>
    <x v="2"/>
  </r>
  <r>
    <n v="45121"/>
    <x v="663"/>
    <x v="33"/>
    <x v="2"/>
    <x v="9"/>
    <x v="1065"/>
    <n v="29"/>
    <n v="2"/>
    <n v="7.25"/>
    <x v="6"/>
    <x v="2"/>
  </r>
  <r>
    <n v="45121"/>
    <x v="238"/>
    <x v="20"/>
    <x v="0"/>
    <x v="7"/>
    <x v="779"/>
    <n v="29.61"/>
    <n v="9"/>
    <n v="13.32"/>
    <x v="6"/>
    <x v="2"/>
  </r>
  <r>
    <n v="45121"/>
    <x v="143"/>
    <x v="0"/>
    <x v="0"/>
    <x v="0"/>
    <x v="1520"/>
    <n v="219.84"/>
    <n v="5"/>
    <n v="79.69"/>
    <x v="6"/>
    <x v="2"/>
  </r>
  <r>
    <n v="45121"/>
    <x v="767"/>
    <x v="4"/>
    <x v="0"/>
    <x v="3"/>
    <x v="1550"/>
    <n v="36.4"/>
    <n v="5"/>
    <n v="17.11"/>
    <x v="6"/>
    <x v="2"/>
  </r>
  <r>
    <n v="45121"/>
    <x v="767"/>
    <x v="4"/>
    <x v="1"/>
    <x v="8"/>
    <x v="1412"/>
    <n v="51.75"/>
    <n v="1"/>
    <n v="15.53"/>
    <x v="6"/>
    <x v="2"/>
  </r>
  <r>
    <n v="45121"/>
    <x v="745"/>
    <x v="3"/>
    <x v="2"/>
    <x v="6"/>
    <x v="527"/>
    <n v="110.38"/>
    <n v="3"/>
    <n v="12.42"/>
    <x v="6"/>
    <x v="2"/>
  </r>
  <r>
    <n v="45121"/>
    <x v="745"/>
    <x v="3"/>
    <x v="0"/>
    <x v="12"/>
    <x v="1184"/>
    <n v="151.62"/>
    <n v="7"/>
    <n v="50.03"/>
    <x v="6"/>
    <x v="2"/>
  </r>
  <r>
    <n v="45121"/>
    <x v="745"/>
    <x v="3"/>
    <x v="1"/>
    <x v="8"/>
    <x v="1475"/>
    <n v="30.8"/>
    <n v="4"/>
    <n v="10.16"/>
    <x v="6"/>
    <x v="2"/>
  </r>
  <r>
    <n v="45122"/>
    <x v="511"/>
    <x v="27"/>
    <x v="0"/>
    <x v="14"/>
    <x v="1722"/>
    <n v="44.4"/>
    <n v="5"/>
    <n v="12.43"/>
    <x v="6"/>
    <x v="2"/>
  </r>
  <r>
    <n v="45122"/>
    <x v="231"/>
    <x v="11"/>
    <x v="1"/>
    <x v="5"/>
    <x v="342"/>
    <n v="230.28"/>
    <n v="3"/>
    <n v="23.03"/>
    <x v="6"/>
    <x v="2"/>
  </r>
  <r>
    <n v="45122"/>
    <x v="231"/>
    <x v="11"/>
    <x v="0"/>
    <x v="0"/>
    <x v="189"/>
    <n v="105.52"/>
    <n v="5"/>
    <n v="34.29"/>
    <x v="6"/>
    <x v="2"/>
  </r>
  <r>
    <n v="45123"/>
    <x v="450"/>
    <x v="0"/>
    <x v="0"/>
    <x v="2"/>
    <x v="1034"/>
    <n v="37.22"/>
    <n v="3"/>
    <n v="3.72"/>
    <x v="6"/>
    <x v="2"/>
  </r>
  <r>
    <n v="45123"/>
    <x v="450"/>
    <x v="0"/>
    <x v="0"/>
    <x v="0"/>
    <x v="1279"/>
    <n v="20.02"/>
    <n v="3"/>
    <n v="6.26"/>
    <x v="6"/>
    <x v="2"/>
  </r>
  <r>
    <n v="45123"/>
    <x v="74"/>
    <x v="2"/>
    <x v="2"/>
    <x v="6"/>
    <x v="463"/>
    <n v="143.97999999999999"/>
    <n v="3"/>
    <n v="-28.8"/>
    <x v="6"/>
    <x v="2"/>
  </r>
  <r>
    <n v="45123"/>
    <x v="74"/>
    <x v="2"/>
    <x v="2"/>
    <x v="6"/>
    <x v="522"/>
    <n v="494.38"/>
    <n v="4"/>
    <n v="-115.35"/>
    <x v="6"/>
    <x v="2"/>
  </r>
  <r>
    <n v="45123"/>
    <x v="74"/>
    <x v="2"/>
    <x v="0"/>
    <x v="14"/>
    <x v="817"/>
    <n v="5.84"/>
    <n v="2"/>
    <n v="0.73"/>
    <x v="6"/>
    <x v="2"/>
  </r>
  <r>
    <n v="45123"/>
    <x v="231"/>
    <x v="0"/>
    <x v="1"/>
    <x v="8"/>
    <x v="626"/>
    <n v="9.5500000000000007"/>
    <n v="3"/>
    <n v="-3.82"/>
    <x v="6"/>
    <x v="2"/>
  </r>
  <r>
    <n v="45123"/>
    <x v="104"/>
    <x v="9"/>
    <x v="0"/>
    <x v="10"/>
    <x v="229"/>
    <n v="10.199999999999999"/>
    <n v="5"/>
    <n v="4.79"/>
    <x v="6"/>
    <x v="2"/>
  </r>
  <r>
    <n v="45123"/>
    <x v="104"/>
    <x v="9"/>
    <x v="0"/>
    <x v="4"/>
    <x v="222"/>
    <n v="22.32"/>
    <n v="3"/>
    <n v="5.58"/>
    <x v="6"/>
    <x v="2"/>
  </r>
  <r>
    <n v="45123"/>
    <x v="104"/>
    <x v="9"/>
    <x v="0"/>
    <x v="3"/>
    <x v="96"/>
    <n v="24.1"/>
    <n v="5"/>
    <n v="11.09"/>
    <x v="6"/>
    <x v="2"/>
  </r>
  <r>
    <n v="45123"/>
    <x v="104"/>
    <x v="9"/>
    <x v="2"/>
    <x v="9"/>
    <x v="1207"/>
    <n v="75.98"/>
    <n v="2"/>
    <n v="18.239999999999998"/>
    <x v="6"/>
    <x v="2"/>
  </r>
  <r>
    <n v="45123"/>
    <x v="104"/>
    <x v="9"/>
    <x v="0"/>
    <x v="3"/>
    <x v="309"/>
    <n v="6.46"/>
    <n v="2"/>
    <n v="3.17"/>
    <x v="6"/>
    <x v="2"/>
  </r>
  <r>
    <n v="45123"/>
    <x v="104"/>
    <x v="9"/>
    <x v="0"/>
    <x v="0"/>
    <x v="1723"/>
    <n v="60.12"/>
    <n v="9"/>
    <n v="28.86"/>
    <x v="6"/>
    <x v="2"/>
  </r>
  <r>
    <n v="45124"/>
    <x v="141"/>
    <x v="3"/>
    <x v="0"/>
    <x v="2"/>
    <x v="945"/>
    <n v="77.88"/>
    <n v="2"/>
    <n v="3.89"/>
    <x v="6"/>
    <x v="2"/>
  </r>
  <r>
    <n v="45124"/>
    <x v="212"/>
    <x v="23"/>
    <x v="0"/>
    <x v="12"/>
    <x v="1305"/>
    <n v="162.63999999999999"/>
    <n v="2"/>
    <n v="45.54"/>
    <x v="6"/>
    <x v="2"/>
  </r>
  <r>
    <n v="45124"/>
    <x v="212"/>
    <x v="23"/>
    <x v="2"/>
    <x v="6"/>
    <x v="904"/>
    <n v="597"/>
    <n v="3"/>
    <n v="280.58999999999997"/>
    <x v="6"/>
    <x v="2"/>
  </r>
  <r>
    <n v="45124"/>
    <x v="212"/>
    <x v="23"/>
    <x v="0"/>
    <x v="0"/>
    <x v="267"/>
    <n v="55.48"/>
    <n v="1"/>
    <n v="26.63"/>
    <x v="6"/>
    <x v="2"/>
  </r>
  <r>
    <n v="45124"/>
    <x v="182"/>
    <x v="24"/>
    <x v="0"/>
    <x v="0"/>
    <x v="429"/>
    <n v="21.93"/>
    <n v="3"/>
    <n v="10.09"/>
    <x v="6"/>
    <x v="2"/>
  </r>
  <r>
    <n v="45124"/>
    <x v="182"/>
    <x v="24"/>
    <x v="0"/>
    <x v="2"/>
    <x v="144"/>
    <n v="242.94"/>
    <n v="3"/>
    <n v="4.8600000000000003"/>
    <x v="6"/>
    <x v="2"/>
  </r>
  <r>
    <n v="45124"/>
    <x v="182"/>
    <x v="24"/>
    <x v="0"/>
    <x v="0"/>
    <x v="1636"/>
    <n v="7.64"/>
    <n v="1"/>
    <n v="3.74"/>
    <x v="6"/>
    <x v="2"/>
  </r>
  <r>
    <n v="45124"/>
    <x v="182"/>
    <x v="24"/>
    <x v="0"/>
    <x v="0"/>
    <x v="729"/>
    <n v="51.84"/>
    <n v="8"/>
    <n v="25.4"/>
    <x v="6"/>
    <x v="2"/>
  </r>
  <r>
    <n v="45124"/>
    <x v="182"/>
    <x v="24"/>
    <x v="0"/>
    <x v="2"/>
    <x v="27"/>
    <n v="265.17"/>
    <n v="1"/>
    <n v="47.73"/>
    <x v="6"/>
    <x v="2"/>
  </r>
  <r>
    <n v="45124"/>
    <x v="380"/>
    <x v="22"/>
    <x v="1"/>
    <x v="8"/>
    <x v="66"/>
    <n v="12.42"/>
    <n v="3"/>
    <n v="4.47"/>
    <x v="6"/>
    <x v="2"/>
  </r>
  <r>
    <n v="45124"/>
    <x v="380"/>
    <x v="22"/>
    <x v="2"/>
    <x v="9"/>
    <x v="1724"/>
    <n v="428.4"/>
    <n v="3"/>
    <n v="89.96"/>
    <x v="6"/>
    <x v="2"/>
  </r>
  <r>
    <n v="45124"/>
    <x v="380"/>
    <x v="22"/>
    <x v="1"/>
    <x v="8"/>
    <x v="1725"/>
    <n v="24.75"/>
    <n v="5"/>
    <n v="10.89"/>
    <x v="6"/>
    <x v="2"/>
  </r>
  <r>
    <n v="45124"/>
    <x v="380"/>
    <x v="22"/>
    <x v="0"/>
    <x v="1"/>
    <x v="37"/>
    <n v="87.71"/>
    <n v="7"/>
    <n v="41.22"/>
    <x v="6"/>
    <x v="2"/>
  </r>
  <r>
    <n v="45124"/>
    <x v="380"/>
    <x v="22"/>
    <x v="0"/>
    <x v="2"/>
    <x v="1549"/>
    <n v="69.52"/>
    <n v="2"/>
    <n v="17.38"/>
    <x v="6"/>
    <x v="2"/>
  </r>
  <r>
    <n v="45124"/>
    <x v="380"/>
    <x v="22"/>
    <x v="2"/>
    <x v="6"/>
    <x v="1621"/>
    <n v="20.78"/>
    <n v="2"/>
    <n v="-4.68"/>
    <x v="6"/>
    <x v="2"/>
  </r>
  <r>
    <n v="45124"/>
    <x v="380"/>
    <x v="22"/>
    <x v="0"/>
    <x v="3"/>
    <x v="251"/>
    <n v="12.82"/>
    <n v="3"/>
    <n v="4.17"/>
    <x v="6"/>
    <x v="2"/>
  </r>
  <r>
    <n v="45124"/>
    <x v="372"/>
    <x v="20"/>
    <x v="0"/>
    <x v="12"/>
    <x v="484"/>
    <n v="45.96"/>
    <n v="2"/>
    <n v="13.79"/>
    <x v="6"/>
    <x v="2"/>
  </r>
  <r>
    <n v="45125"/>
    <x v="637"/>
    <x v="26"/>
    <x v="1"/>
    <x v="5"/>
    <x v="668"/>
    <n v="544.01"/>
    <n v="3"/>
    <n v="40.799999999999997"/>
    <x v="6"/>
    <x v="2"/>
  </r>
  <r>
    <n v="45125"/>
    <x v="637"/>
    <x v="26"/>
    <x v="0"/>
    <x v="3"/>
    <x v="1496"/>
    <n v="1.87"/>
    <n v="3"/>
    <n v="-1.44"/>
    <x v="6"/>
    <x v="2"/>
  </r>
  <r>
    <n v="45125"/>
    <x v="637"/>
    <x v="26"/>
    <x v="1"/>
    <x v="5"/>
    <x v="47"/>
    <n v="854.35"/>
    <n v="3"/>
    <n v="10.68"/>
    <x v="6"/>
    <x v="2"/>
  </r>
  <r>
    <n v="45125"/>
    <x v="637"/>
    <x v="26"/>
    <x v="0"/>
    <x v="2"/>
    <x v="1726"/>
    <n v="593.57000000000005"/>
    <n v="2"/>
    <n v="0"/>
    <x v="6"/>
    <x v="2"/>
  </r>
  <r>
    <n v="45125"/>
    <x v="637"/>
    <x v="26"/>
    <x v="0"/>
    <x v="2"/>
    <x v="1194"/>
    <n v="338.04"/>
    <n v="3"/>
    <n v="-33.799999999999997"/>
    <x v="6"/>
    <x v="2"/>
  </r>
  <r>
    <n v="45125"/>
    <x v="121"/>
    <x v="5"/>
    <x v="1"/>
    <x v="5"/>
    <x v="433"/>
    <n v="140.81"/>
    <n v="1"/>
    <n v="39.43"/>
    <x v="6"/>
    <x v="2"/>
  </r>
  <r>
    <n v="45125"/>
    <x v="359"/>
    <x v="12"/>
    <x v="0"/>
    <x v="14"/>
    <x v="1486"/>
    <n v="33.799999999999997"/>
    <n v="5"/>
    <n v="4.2300000000000004"/>
    <x v="6"/>
    <x v="2"/>
  </r>
  <r>
    <n v="45125"/>
    <x v="743"/>
    <x v="0"/>
    <x v="2"/>
    <x v="9"/>
    <x v="1221"/>
    <n v="15.58"/>
    <n v="3"/>
    <n v="3.31"/>
    <x v="6"/>
    <x v="2"/>
  </r>
  <r>
    <n v="45125"/>
    <x v="608"/>
    <x v="12"/>
    <x v="2"/>
    <x v="6"/>
    <x v="1727"/>
    <n v="55.99"/>
    <n v="1"/>
    <n v="3.5"/>
    <x v="6"/>
    <x v="2"/>
  </r>
  <r>
    <n v="45125"/>
    <x v="646"/>
    <x v="2"/>
    <x v="0"/>
    <x v="4"/>
    <x v="1591"/>
    <n v="11.26"/>
    <n v="8"/>
    <n v="1.27"/>
    <x v="6"/>
    <x v="2"/>
  </r>
  <r>
    <n v="45125"/>
    <x v="646"/>
    <x v="2"/>
    <x v="0"/>
    <x v="2"/>
    <x v="1303"/>
    <n v="284.08"/>
    <n v="10"/>
    <n v="24.86"/>
    <x v="6"/>
    <x v="2"/>
  </r>
  <r>
    <n v="45125"/>
    <x v="646"/>
    <x v="2"/>
    <x v="0"/>
    <x v="0"/>
    <x v="1515"/>
    <n v="18.5"/>
    <n v="4"/>
    <n v="6.7"/>
    <x v="6"/>
    <x v="2"/>
  </r>
  <r>
    <n v="45126"/>
    <x v="55"/>
    <x v="29"/>
    <x v="1"/>
    <x v="8"/>
    <x v="1376"/>
    <n v="185.58"/>
    <n v="6"/>
    <n v="76.09"/>
    <x v="6"/>
    <x v="2"/>
  </r>
  <r>
    <n v="45126"/>
    <x v="55"/>
    <x v="29"/>
    <x v="0"/>
    <x v="3"/>
    <x v="164"/>
    <n v="77.56"/>
    <n v="2"/>
    <n v="35.68"/>
    <x v="6"/>
    <x v="2"/>
  </r>
  <r>
    <n v="45126"/>
    <x v="55"/>
    <x v="29"/>
    <x v="0"/>
    <x v="2"/>
    <x v="1125"/>
    <n v="87.92"/>
    <n v="4"/>
    <n v="0.88"/>
    <x v="6"/>
    <x v="2"/>
  </r>
  <r>
    <n v="45126"/>
    <x v="55"/>
    <x v="29"/>
    <x v="0"/>
    <x v="0"/>
    <x v="1025"/>
    <n v="245.94"/>
    <n v="6"/>
    <n v="120.51"/>
    <x v="6"/>
    <x v="2"/>
  </r>
  <r>
    <n v="45126"/>
    <x v="55"/>
    <x v="29"/>
    <x v="0"/>
    <x v="3"/>
    <x v="1513"/>
    <n v="8.6"/>
    <n v="1"/>
    <n v="4.04"/>
    <x v="6"/>
    <x v="2"/>
  </r>
  <r>
    <n v="45126"/>
    <x v="55"/>
    <x v="29"/>
    <x v="1"/>
    <x v="11"/>
    <x v="1061"/>
    <n v="504.9"/>
    <n v="5"/>
    <n v="126.23"/>
    <x v="6"/>
    <x v="2"/>
  </r>
  <r>
    <n v="45126"/>
    <x v="492"/>
    <x v="3"/>
    <x v="2"/>
    <x v="6"/>
    <x v="584"/>
    <n v="35.979999999999997"/>
    <n v="2"/>
    <n v="4.5"/>
    <x v="6"/>
    <x v="2"/>
  </r>
  <r>
    <n v="45126"/>
    <x v="492"/>
    <x v="3"/>
    <x v="2"/>
    <x v="9"/>
    <x v="1361"/>
    <n v="389.97"/>
    <n v="3"/>
    <n v="132.59"/>
    <x v="6"/>
    <x v="2"/>
  </r>
  <r>
    <n v="45127"/>
    <x v="137"/>
    <x v="20"/>
    <x v="2"/>
    <x v="6"/>
    <x v="764"/>
    <n v="89.95"/>
    <n v="5"/>
    <n v="43.18"/>
    <x v="6"/>
    <x v="2"/>
  </r>
  <r>
    <n v="45128"/>
    <x v="369"/>
    <x v="2"/>
    <x v="0"/>
    <x v="3"/>
    <x v="871"/>
    <n v="1.94"/>
    <n v="1"/>
    <n v="-1.29"/>
    <x v="6"/>
    <x v="2"/>
  </r>
  <r>
    <n v="45128"/>
    <x v="739"/>
    <x v="10"/>
    <x v="0"/>
    <x v="4"/>
    <x v="1728"/>
    <n v="18.66"/>
    <n v="2"/>
    <n v="1.4"/>
    <x v="6"/>
    <x v="2"/>
  </r>
  <r>
    <n v="45128"/>
    <x v="739"/>
    <x v="10"/>
    <x v="0"/>
    <x v="3"/>
    <x v="515"/>
    <n v="11.09"/>
    <n v="7"/>
    <n v="-8.1300000000000008"/>
    <x v="6"/>
    <x v="2"/>
  </r>
  <r>
    <n v="45128"/>
    <x v="739"/>
    <x v="10"/>
    <x v="0"/>
    <x v="2"/>
    <x v="451"/>
    <n v="66.69"/>
    <n v="1"/>
    <n v="4.17"/>
    <x v="6"/>
    <x v="2"/>
  </r>
  <r>
    <n v="45128"/>
    <x v="739"/>
    <x v="10"/>
    <x v="0"/>
    <x v="2"/>
    <x v="892"/>
    <n v="99.49"/>
    <n v="2"/>
    <n v="8.7100000000000009"/>
    <x v="6"/>
    <x v="2"/>
  </r>
  <r>
    <n v="45128"/>
    <x v="443"/>
    <x v="25"/>
    <x v="0"/>
    <x v="1"/>
    <x v="685"/>
    <n v="6.26"/>
    <n v="3"/>
    <n v="2.04"/>
    <x v="6"/>
    <x v="2"/>
  </r>
  <r>
    <n v="45128"/>
    <x v="443"/>
    <x v="25"/>
    <x v="1"/>
    <x v="5"/>
    <x v="877"/>
    <n v="363.92"/>
    <n v="5"/>
    <n v="0"/>
    <x v="6"/>
    <x v="2"/>
  </r>
  <r>
    <n v="45128"/>
    <x v="105"/>
    <x v="3"/>
    <x v="0"/>
    <x v="10"/>
    <x v="1042"/>
    <n v="419.9"/>
    <n v="5"/>
    <n v="197.35"/>
    <x v="6"/>
    <x v="2"/>
  </r>
  <r>
    <n v="45128"/>
    <x v="105"/>
    <x v="3"/>
    <x v="0"/>
    <x v="1"/>
    <x v="1358"/>
    <n v="3.15"/>
    <n v="1"/>
    <n v="1.51"/>
    <x v="6"/>
    <x v="2"/>
  </r>
  <r>
    <n v="45129"/>
    <x v="729"/>
    <x v="3"/>
    <x v="0"/>
    <x v="1"/>
    <x v="1358"/>
    <n v="6.3"/>
    <n v="2"/>
    <n v="3.02"/>
    <x v="6"/>
    <x v="2"/>
  </r>
  <r>
    <n v="45129"/>
    <x v="740"/>
    <x v="2"/>
    <x v="0"/>
    <x v="4"/>
    <x v="337"/>
    <n v="4.16"/>
    <n v="2"/>
    <n v="0.36"/>
    <x v="6"/>
    <x v="2"/>
  </r>
  <r>
    <n v="45129"/>
    <x v="740"/>
    <x v="2"/>
    <x v="1"/>
    <x v="8"/>
    <x v="747"/>
    <n v="11.65"/>
    <n v="2"/>
    <n v="3.35"/>
    <x v="6"/>
    <x v="2"/>
  </r>
  <r>
    <n v="45129"/>
    <x v="380"/>
    <x v="14"/>
    <x v="2"/>
    <x v="9"/>
    <x v="1507"/>
    <n v="109.95"/>
    <n v="1"/>
    <n v="36.28"/>
    <x v="6"/>
    <x v="2"/>
  </r>
  <r>
    <n v="45129"/>
    <x v="380"/>
    <x v="14"/>
    <x v="0"/>
    <x v="2"/>
    <x v="917"/>
    <n v="965.85"/>
    <n v="5"/>
    <n v="135.22"/>
    <x v="6"/>
    <x v="2"/>
  </r>
  <r>
    <n v="45129"/>
    <x v="380"/>
    <x v="14"/>
    <x v="0"/>
    <x v="4"/>
    <x v="1263"/>
    <n v="29.2"/>
    <n v="5"/>
    <n v="10.51"/>
    <x v="6"/>
    <x v="2"/>
  </r>
  <r>
    <n v="45129"/>
    <x v="380"/>
    <x v="14"/>
    <x v="0"/>
    <x v="0"/>
    <x v="1040"/>
    <n v="32.4"/>
    <n v="5"/>
    <n v="15.55"/>
    <x v="6"/>
    <x v="2"/>
  </r>
  <r>
    <n v="45129"/>
    <x v="61"/>
    <x v="17"/>
    <x v="0"/>
    <x v="14"/>
    <x v="1340"/>
    <n v="86.2"/>
    <n v="5"/>
    <n v="25"/>
    <x v="6"/>
    <x v="2"/>
  </r>
  <r>
    <n v="45129"/>
    <x v="591"/>
    <x v="36"/>
    <x v="0"/>
    <x v="12"/>
    <x v="1173"/>
    <n v="37.68"/>
    <n v="2"/>
    <n v="10.55"/>
    <x v="6"/>
    <x v="2"/>
  </r>
  <r>
    <n v="45129"/>
    <x v="591"/>
    <x v="36"/>
    <x v="0"/>
    <x v="0"/>
    <x v="757"/>
    <n v="51.84"/>
    <n v="8"/>
    <n v="24.88"/>
    <x v="6"/>
    <x v="2"/>
  </r>
  <r>
    <n v="45129"/>
    <x v="591"/>
    <x v="36"/>
    <x v="1"/>
    <x v="8"/>
    <x v="1393"/>
    <n v="27.42"/>
    <n v="3"/>
    <n v="9.32"/>
    <x v="6"/>
    <x v="2"/>
  </r>
  <r>
    <n v="45129"/>
    <x v="591"/>
    <x v="36"/>
    <x v="0"/>
    <x v="3"/>
    <x v="106"/>
    <n v="5.4"/>
    <n v="3"/>
    <n v="2.59"/>
    <x v="6"/>
    <x v="2"/>
  </r>
  <r>
    <n v="45130"/>
    <x v="403"/>
    <x v="16"/>
    <x v="0"/>
    <x v="4"/>
    <x v="864"/>
    <n v="35.22"/>
    <n v="2"/>
    <n v="2.64"/>
    <x v="6"/>
    <x v="2"/>
  </r>
  <r>
    <n v="45130"/>
    <x v="403"/>
    <x v="16"/>
    <x v="0"/>
    <x v="12"/>
    <x v="1344"/>
    <n v="23.7"/>
    <n v="2"/>
    <n v="6.52"/>
    <x v="6"/>
    <x v="2"/>
  </r>
  <r>
    <n v="45130"/>
    <x v="403"/>
    <x v="16"/>
    <x v="2"/>
    <x v="15"/>
    <x v="1359"/>
    <n v="265.48"/>
    <n v="1"/>
    <n v="-111.5"/>
    <x v="6"/>
    <x v="2"/>
  </r>
  <r>
    <n v="45130"/>
    <x v="82"/>
    <x v="1"/>
    <x v="0"/>
    <x v="3"/>
    <x v="767"/>
    <n v="11.42"/>
    <n v="4"/>
    <n v="-18.84"/>
    <x v="6"/>
    <x v="2"/>
  </r>
  <r>
    <n v="45130"/>
    <x v="74"/>
    <x v="0"/>
    <x v="0"/>
    <x v="4"/>
    <x v="1729"/>
    <n v="4.45"/>
    <n v="2"/>
    <n v="0.33"/>
    <x v="6"/>
    <x v="2"/>
  </r>
  <r>
    <n v="45130"/>
    <x v="74"/>
    <x v="0"/>
    <x v="0"/>
    <x v="0"/>
    <x v="1388"/>
    <n v="5.18"/>
    <n v="1"/>
    <n v="1.81"/>
    <x v="6"/>
    <x v="2"/>
  </r>
  <r>
    <n v="45130"/>
    <x v="74"/>
    <x v="0"/>
    <x v="0"/>
    <x v="4"/>
    <x v="487"/>
    <n v="175.92"/>
    <n v="5"/>
    <n v="15.39"/>
    <x v="6"/>
    <x v="2"/>
  </r>
  <r>
    <n v="45130"/>
    <x v="74"/>
    <x v="0"/>
    <x v="0"/>
    <x v="3"/>
    <x v="56"/>
    <n v="4.75"/>
    <n v="4"/>
    <n v="-8.32"/>
    <x v="6"/>
    <x v="2"/>
  </r>
  <r>
    <n v="45130"/>
    <x v="74"/>
    <x v="0"/>
    <x v="0"/>
    <x v="14"/>
    <x v="1268"/>
    <n v="13.34"/>
    <n v="2"/>
    <n v="1"/>
    <x v="6"/>
    <x v="2"/>
  </r>
  <r>
    <n v="45130"/>
    <x v="325"/>
    <x v="0"/>
    <x v="2"/>
    <x v="6"/>
    <x v="227"/>
    <n v="115.14"/>
    <n v="8"/>
    <n v="11.51"/>
    <x v="6"/>
    <x v="2"/>
  </r>
  <r>
    <n v="45131"/>
    <x v="504"/>
    <x v="20"/>
    <x v="1"/>
    <x v="5"/>
    <x v="1136"/>
    <n v="253.76"/>
    <n v="2"/>
    <n v="31.02"/>
    <x v="6"/>
    <x v="2"/>
  </r>
  <r>
    <n v="45131"/>
    <x v="229"/>
    <x v="8"/>
    <x v="0"/>
    <x v="4"/>
    <x v="54"/>
    <n v="73.2"/>
    <n v="5"/>
    <n v="21.23"/>
    <x v="6"/>
    <x v="2"/>
  </r>
  <r>
    <n v="45132"/>
    <x v="42"/>
    <x v="3"/>
    <x v="0"/>
    <x v="3"/>
    <x v="604"/>
    <n v="119.62"/>
    <n v="8"/>
    <n v="40.369999999999997"/>
    <x v="6"/>
    <x v="2"/>
  </r>
  <r>
    <n v="45132"/>
    <x v="42"/>
    <x v="3"/>
    <x v="1"/>
    <x v="8"/>
    <x v="14"/>
    <n v="255.76"/>
    <n v="4"/>
    <n v="81.84"/>
    <x v="6"/>
    <x v="2"/>
  </r>
  <r>
    <n v="45132"/>
    <x v="42"/>
    <x v="3"/>
    <x v="1"/>
    <x v="5"/>
    <x v="322"/>
    <n v="241.57"/>
    <n v="2"/>
    <n v="18.12"/>
    <x v="6"/>
    <x v="2"/>
  </r>
  <r>
    <n v="45132"/>
    <x v="42"/>
    <x v="3"/>
    <x v="1"/>
    <x v="8"/>
    <x v="1475"/>
    <n v="69.3"/>
    <n v="9"/>
    <n v="22.87"/>
    <x v="6"/>
    <x v="2"/>
  </r>
  <r>
    <n v="45132"/>
    <x v="710"/>
    <x v="10"/>
    <x v="2"/>
    <x v="16"/>
    <x v="377"/>
    <n v="1439.98"/>
    <n v="4"/>
    <n v="192"/>
    <x v="6"/>
    <x v="2"/>
  </r>
  <r>
    <n v="45132"/>
    <x v="768"/>
    <x v="3"/>
    <x v="0"/>
    <x v="7"/>
    <x v="500"/>
    <n v="21.48"/>
    <n v="6"/>
    <n v="10.74"/>
    <x v="6"/>
    <x v="2"/>
  </r>
  <r>
    <n v="45132"/>
    <x v="390"/>
    <x v="10"/>
    <x v="0"/>
    <x v="12"/>
    <x v="1510"/>
    <n v="243.88"/>
    <n v="5"/>
    <n v="27.44"/>
    <x v="6"/>
    <x v="2"/>
  </r>
  <r>
    <n v="45132"/>
    <x v="484"/>
    <x v="0"/>
    <x v="0"/>
    <x v="1"/>
    <x v="1676"/>
    <n v="15.71"/>
    <n v="4"/>
    <n v="5.7"/>
    <x v="6"/>
    <x v="2"/>
  </r>
  <r>
    <n v="45132"/>
    <x v="711"/>
    <x v="29"/>
    <x v="0"/>
    <x v="2"/>
    <x v="110"/>
    <n v="7.89"/>
    <n v="1"/>
    <n v="0.32"/>
    <x v="6"/>
    <x v="2"/>
  </r>
  <r>
    <n v="45132"/>
    <x v="711"/>
    <x v="29"/>
    <x v="0"/>
    <x v="0"/>
    <x v="800"/>
    <n v="65.5"/>
    <n v="5"/>
    <n v="32.1"/>
    <x v="6"/>
    <x v="2"/>
  </r>
  <r>
    <n v="45132"/>
    <x v="711"/>
    <x v="29"/>
    <x v="1"/>
    <x v="13"/>
    <x v="1637"/>
    <n v="2430.08"/>
    <n v="8"/>
    <n v="388.81"/>
    <x v="6"/>
    <x v="2"/>
  </r>
  <r>
    <n v="45132"/>
    <x v="307"/>
    <x v="6"/>
    <x v="0"/>
    <x v="3"/>
    <x v="594"/>
    <n v="10.44"/>
    <n v="1"/>
    <n v="4.8"/>
    <x v="6"/>
    <x v="2"/>
  </r>
  <r>
    <n v="45132"/>
    <x v="734"/>
    <x v="0"/>
    <x v="0"/>
    <x v="10"/>
    <x v="1077"/>
    <n v="20.94"/>
    <n v="1"/>
    <n v="7.07"/>
    <x v="6"/>
    <x v="2"/>
  </r>
  <r>
    <n v="45132"/>
    <x v="288"/>
    <x v="3"/>
    <x v="0"/>
    <x v="4"/>
    <x v="974"/>
    <n v="37.17"/>
    <n v="9"/>
    <n v="11.15"/>
    <x v="6"/>
    <x v="2"/>
  </r>
  <r>
    <n v="45132"/>
    <x v="562"/>
    <x v="21"/>
    <x v="0"/>
    <x v="0"/>
    <x v="1219"/>
    <n v="20.62"/>
    <n v="2"/>
    <n v="9.69"/>
    <x v="6"/>
    <x v="2"/>
  </r>
  <r>
    <n v="45132"/>
    <x v="562"/>
    <x v="21"/>
    <x v="2"/>
    <x v="9"/>
    <x v="1286"/>
    <n v="124.25"/>
    <n v="7"/>
    <n v="48.46"/>
    <x v="6"/>
    <x v="2"/>
  </r>
  <r>
    <n v="45132"/>
    <x v="562"/>
    <x v="21"/>
    <x v="2"/>
    <x v="6"/>
    <x v="1222"/>
    <n v="297.55"/>
    <n v="5"/>
    <n v="83.31"/>
    <x v="6"/>
    <x v="2"/>
  </r>
  <r>
    <n v="45132"/>
    <x v="562"/>
    <x v="21"/>
    <x v="1"/>
    <x v="5"/>
    <x v="946"/>
    <n v="403.56"/>
    <n v="4"/>
    <n v="96.85"/>
    <x v="6"/>
    <x v="2"/>
  </r>
  <r>
    <n v="45132"/>
    <x v="562"/>
    <x v="21"/>
    <x v="1"/>
    <x v="8"/>
    <x v="169"/>
    <n v="95.2"/>
    <n v="5"/>
    <n v="27.61"/>
    <x v="6"/>
    <x v="2"/>
  </r>
  <r>
    <n v="45135"/>
    <x v="528"/>
    <x v="14"/>
    <x v="0"/>
    <x v="7"/>
    <x v="78"/>
    <n v="20.440000000000001"/>
    <n v="7"/>
    <n v="9.1999999999999993"/>
    <x v="6"/>
    <x v="2"/>
  </r>
  <r>
    <n v="45135"/>
    <x v="528"/>
    <x v="14"/>
    <x v="0"/>
    <x v="0"/>
    <x v="172"/>
    <n v="109.92"/>
    <n v="2"/>
    <n v="53.86"/>
    <x v="6"/>
    <x v="2"/>
  </r>
  <r>
    <n v="45135"/>
    <x v="580"/>
    <x v="3"/>
    <x v="0"/>
    <x v="1"/>
    <x v="131"/>
    <n v="18.899999999999999"/>
    <n v="3"/>
    <n v="8.69"/>
    <x v="6"/>
    <x v="2"/>
  </r>
  <r>
    <n v="45135"/>
    <x v="635"/>
    <x v="2"/>
    <x v="1"/>
    <x v="11"/>
    <x v="69"/>
    <n v="177.45"/>
    <n v="5"/>
    <n v="-78.08"/>
    <x v="6"/>
    <x v="2"/>
  </r>
  <r>
    <n v="45135"/>
    <x v="635"/>
    <x v="2"/>
    <x v="0"/>
    <x v="3"/>
    <x v="1391"/>
    <n v="1369.76"/>
    <n v="6"/>
    <n v="-913.18"/>
    <x v="6"/>
    <x v="2"/>
  </r>
  <r>
    <n v="45135"/>
    <x v="635"/>
    <x v="2"/>
    <x v="0"/>
    <x v="12"/>
    <x v="936"/>
    <n v="9.48"/>
    <n v="3"/>
    <n v="0.71"/>
    <x v="6"/>
    <x v="2"/>
  </r>
  <r>
    <n v="45135"/>
    <x v="429"/>
    <x v="0"/>
    <x v="1"/>
    <x v="8"/>
    <x v="691"/>
    <n v="24.7"/>
    <n v="5"/>
    <n v="-9.8800000000000008"/>
    <x v="6"/>
    <x v="2"/>
  </r>
  <r>
    <n v="45135"/>
    <x v="429"/>
    <x v="0"/>
    <x v="1"/>
    <x v="8"/>
    <x v="1730"/>
    <n v="302.72000000000003"/>
    <n v="5"/>
    <n v="-378.4"/>
    <x v="6"/>
    <x v="2"/>
  </r>
  <r>
    <n v="45136"/>
    <x v="4"/>
    <x v="2"/>
    <x v="0"/>
    <x v="2"/>
    <x v="874"/>
    <n v="84.78"/>
    <n v="2"/>
    <n v="-16.96"/>
    <x v="6"/>
    <x v="2"/>
  </r>
  <r>
    <n v="45136"/>
    <x v="517"/>
    <x v="16"/>
    <x v="0"/>
    <x v="3"/>
    <x v="1005"/>
    <n v="2.21"/>
    <n v="3"/>
    <n v="-1.48"/>
    <x v="6"/>
    <x v="2"/>
  </r>
  <r>
    <n v="45136"/>
    <x v="718"/>
    <x v="25"/>
    <x v="0"/>
    <x v="2"/>
    <x v="923"/>
    <n v="704.76"/>
    <n v="5"/>
    <n v="26.43"/>
    <x v="6"/>
    <x v="2"/>
  </r>
  <r>
    <n v="45136"/>
    <x v="718"/>
    <x v="25"/>
    <x v="0"/>
    <x v="3"/>
    <x v="812"/>
    <n v="27.4"/>
    <n v="3"/>
    <n v="-20.09"/>
    <x v="6"/>
    <x v="2"/>
  </r>
  <r>
    <n v="45137"/>
    <x v="471"/>
    <x v="0"/>
    <x v="0"/>
    <x v="3"/>
    <x v="962"/>
    <n v="9.26"/>
    <n v="3"/>
    <n v="-13.9"/>
    <x v="6"/>
    <x v="2"/>
  </r>
  <r>
    <n v="45137"/>
    <x v="175"/>
    <x v="1"/>
    <x v="0"/>
    <x v="1"/>
    <x v="1731"/>
    <n v="9.25"/>
    <n v="4"/>
    <n v="3.12"/>
    <x v="6"/>
    <x v="2"/>
  </r>
  <r>
    <n v="45137"/>
    <x v="175"/>
    <x v="1"/>
    <x v="0"/>
    <x v="2"/>
    <x v="1380"/>
    <n v="1036.6199999999999"/>
    <n v="2"/>
    <n v="51.83"/>
    <x v="6"/>
    <x v="2"/>
  </r>
  <r>
    <n v="45137"/>
    <x v="274"/>
    <x v="3"/>
    <x v="0"/>
    <x v="12"/>
    <x v="1295"/>
    <n v="715.64"/>
    <n v="2"/>
    <n v="178.91"/>
    <x v="6"/>
    <x v="2"/>
  </r>
  <r>
    <n v="45138"/>
    <x v="318"/>
    <x v="14"/>
    <x v="0"/>
    <x v="12"/>
    <x v="447"/>
    <n v="283.14"/>
    <n v="4"/>
    <n v="72.36"/>
    <x v="6"/>
    <x v="2"/>
  </r>
  <r>
    <n v="45138"/>
    <x v="318"/>
    <x v="14"/>
    <x v="2"/>
    <x v="6"/>
    <x v="1517"/>
    <n v="635.96"/>
    <n v="4"/>
    <n v="165.35"/>
    <x v="6"/>
    <x v="2"/>
  </r>
  <r>
    <n v="45138"/>
    <x v="318"/>
    <x v="14"/>
    <x v="2"/>
    <x v="6"/>
    <x v="996"/>
    <n v="118.99"/>
    <n v="1"/>
    <n v="33.32"/>
    <x v="6"/>
    <x v="2"/>
  </r>
  <r>
    <n v="45138"/>
    <x v="318"/>
    <x v="14"/>
    <x v="1"/>
    <x v="8"/>
    <x v="50"/>
    <n v="272.94"/>
    <n v="3"/>
    <n v="30.02"/>
    <x v="6"/>
    <x v="2"/>
  </r>
  <r>
    <n v="45138"/>
    <x v="123"/>
    <x v="3"/>
    <x v="1"/>
    <x v="13"/>
    <x v="1301"/>
    <n v="863.13"/>
    <n v="7"/>
    <n v="-32.369999999999997"/>
    <x v="6"/>
    <x v="2"/>
  </r>
  <r>
    <n v="45139"/>
    <x v="113"/>
    <x v="0"/>
    <x v="0"/>
    <x v="0"/>
    <x v="371"/>
    <n v="19.649999999999999"/>
    <n v="2"/>
    <n v="6.63"/>
    <x v="7"/>
    <x v="2"/>
  </r>
  <r>
    <n v="45139"/>
    <x v="93"/>
    <x v="3"/>
    <x v="2"/>
    <x v="6"/>
    <x v="402"/>
    <n v="1039.73"/>
    <n v="2"/>
    <n v="90.98"/>
    <x v="7"/>
    <x v="2"/>
  </r>
  <r>
    <n v="45139"/>
    <x v="93"/>
    <x v="3"/>
    <x v="0"/>
    <x v="12"/>
    <x v="484"/>
    <n v="45.96"/>
    <n v="2"/>
    <n v="13.79"/>
    <x v="7"/>
    <x v="2"/>
  </r>
  <r>
    <n v="45139"/>
    <x v="580"/>
    <x v="2"/>
    <x v="1"/>
    <x v="8"/>
    <x v="1732"/>
    <n v="19.309999999999999"/>
    <n v="2"/>
    <n v="3.14"/>
    <x v="7"/>
    <x v="2"/>
  </r>
  <r>
    <n v="45140"/>
    <x v="45"/>
    <x v="3"/>
    <x v="1"/>
    <x v="13"/>
    <x v="1733"/>
    <n v="136.46"/>
    <n v="2"/>
    <n v="15.35"/>
    <x v="7"/>
    <x v="2"/>
  </r>
  <r>
    <n v="45140"/>
    <x v="45"/>
    <x v="3"/>
    <x v="2"/>
    <x v="6"/>
    <x v="1695"/>
    <n v="333.58"/>
    <n v="3"/>
    <n v="33.36"/>
    <x v="7"/>
    <x v="2"/>
  </r>
  <r>
    <n v="45140"/>
    <x v="45"/>
    <x v="3"/>
    <x v="0"/>
    <x v="3"/>
    <x v="1274"/>
    <n v="12.54"/>
    <n v="2"/>
    <n v="4.7"/>
    <x v="7"/>
    <x v="2"/>
  </r>
  <r>
    <n v="45141"/>
    <x v="769"/>
    <x v="39"/>
    <x v="0"/>
    <x v="10"/>
    <x v="41"/>
    <n v="81.540000000000006"/>
    <n v="3"/>
    <n v="38.32"/>
    <x v="7"/>
    <x v="2"/>
  </r>
  <r>
    <n v="45141"/>
    <x v="769"/>
    <x v="39"/>
    <x v="2"/>
    <x v="9"/>
    <x v="1734"/>
    <n v="167.28"/>
    <n v="12"/>
    <n v="23.42"/>
    <x v="7"/>
    <x v="2"/>
  </r>
  <r>
    <n v="45142"/>
    <x v="770"/>
    <x v="6"/>
    <x v="0"/>
    <x v="14"/>
    <x v="1342"/>
    <n v="35.06"/>
    <n v="2"/>
    <n v="10.52"/>
    <x v="7"/>
    <x v="2"/>
  </r>
  <r>
    <n v="45142"/>
    <x v="770"/>
    <x v="6"/>
    <x v="0"/>
    <x v="1"/>
    <x v="218"/>
    <n v="4.13"/>
    <n v="1"/>
    <n v="1.9"/>
    <x v="7"/>
    <x v="2"/>
  </r>
  <r>
    <n v="45142"/>
    <x v="770"/>
    <x v="6"/>
    <x v="1"/>
    <x v="8"/>
    <x v="557"/>
    <n v="109.8"/>
    <n v="9"/>
    <n v="46.12"/>
    <x v="7"/>
    <x v="2"/>
  </r>
  <r>
    <n v="45142"/>
    <x v="770"/>
    <x v="6"/>
    <x v="0"/>
    <x v="1"/>
    <x v="1735"/>
    <n v="9.82"/>
    <n v="2"/>
    <n v="4.8099999999999996"/>
    <x v="7"/>
    <x v="2"/>
  </r>
  <r>
    <n v="45142"/>
    <x v="565"/>
    <x v="1"/>
    <x v="0"/>
    <x v="3"/>
    <x v="1428"/>
    <n v="3.98"/>
    <n v="5"/>
    <n v="-6.57"/>
    <x v="7"/>
    <x v="2"/>
  </r>
  <r>
    <n v="45142"/>
    <x v="49"/>
    <x v="3"/>
    <x v="2"/>
    <x v="6"/>
    <x v="482"/>
    <n v="302.38"/>
    <n v="2"/>
    <n v="30.24"/>
    <x v="7"/>
    <x v="2"/>
  </r>
  <r>
    <n v="45142"/>
    <x v="49"/>
    <x v="3"/>
    <x v="0"/>
    <x v="3"/>
    <x v="93"/>
    <n v="20.95"/>
    <n v="3"/>
    <n v="7.07"/>
    <x v="7"/>
    <x v="2"/>
  </r>
  <r>
    <n v="45142"/>
    <x v="49"/>
    <x v="3"/>
    <x v="0"/>
    <x v="3"/>
    <x v="73"/>
    <n v="11.78"/>
    <n v="3"/>
    <n v="3.98"/>
    <x v="7"/>
    <x v="2"/>
  </r>
  <r>
    <n v="45143"/>
    <x v="591"/>
    <x v="33"/>
    <x v="0"/>
    <x v="4"/>
    <x v="1398"/>
    <n v="197.05"/>
    <n v="7"/>
    <n v="59.12"/>
    <x v="7"/>
    <x v="2"/>
  </r>
  <r>
    <n v="45144"/>
    <x v="123"/>
    <x v="20"/>
    <x v="0"/>
    <x v="0"/>
    <x v="371"/>
    <n v="70.88"/>
    <n v="2"/>
    <n v="33.31"/>
    <x v="7"/>
    <x v="2"/>
  </r>
  <r>
    <n v="45144"/>
    <x v="339"/>
    <x v="3"/>
    <x v="2"/>
    <x v="6"/>
    <x v="1519"/>
    <n v="211.17"/>
    <n v="4"/>
    <n v="18.48"/>
    <x v="7"/>
    <x v="2"/>
  </r>
  <r>
    <n v="45144"/>
    <x v="272"/>
    <x v="20"/>
    <x v="0"/>
    <x v="4"/>
    <x v="6"/>
    <n v="38.340000000000003"/>
    <n v="9"/>
    <n v="15.72"/>
    <x v="7"/>
    <x v="2"/>
  </r>
  <r>
    <n v="45145"/>
    <x v="360"/>
    <x v="22"/>
    <x v="2"/>
    <x v="9"/>
    <x v="941"/>
    <n v="179.97"/>
    <n v="3"/>
    <n v="86.39"/>
    <x v="7"/>
    <x v="2"/>
  </r>
  <r>
    <n v="45146"/>
    <x v="453"/>
    <x v="0"/>
    <x v="0"/>
    <x v="7"/>
    <x v="995"/>
    <n v="11.17"/>
    <n v="4"/>
    <n v="3.63"/>
    <x v="7"/>
    <x v="2"/>
  </r>
  <r>
    <n v="45146"/>
    <x v="453"/>
    <x v="0"/>
    <x v="0"/>
    <x v="0"/>
    <x v="1651"/>
    <n v="53.95"/>
    <n v="3"/>
    <n v="17.53"/>
    <x v="7"/>
    <x v="2"/>
  </r>
  <r>
    <n v="45146"/>
    <x v="619"/>
    <x v="29"/>
    <x v="0"/>
    <x v="7"/>
    <x v="12"/>
    <n v="23.34"/>
    <n v="3"/>
    <n v="0.23"/>
    <x v="7"/>
    <x v="2"/>
  </r>
  <r>
    <n v="45146"/>
    <x v="683"/>
    <x v="3"/>
    <x v="1"/>
    <x v="13"/>
    <x v="1161"/>
    <n v="513.02"/>
    <n v="2"/>
    <n v="12.83"/>
    <x v="7"/>
    <x v="2"/>
  </r>
  <r>
    <n v="45146"/>
    <x v="683"/>
    <x v="3"/>
    <x v="0"/>
    <x v="12"/>
    <x v="1305"/>
    <n v="487.92"/>
    <n v="6"/>
    <n v="136.62"/>
    <x v="7"/>
    <x v="2"/>
  </r>
  <r>
    <n v="45146"/>
    <x v="683"/>
    <x v="3"/>
    <x v="0"/>
    <x v="3"/>
    <x v="595"/>
    <n v="15.24"/>
    <n v="5"/>
    <n v="5.33"/>
    <x v="7"/>
    <x v="2"/>
  </r>
  <r>
    <n v="45146"/>
    <x v="309"/>
    <x v="39"/>
    <x v="0"/>
    <x v="0"/>
    <x v="875"/>
    <n v="10.56"/>
    <n v="2"/>
    <n v="4.75"/>
    <x v="7"/>
    <x v="2"/>
  </r>
  <r>
    <n v="45147"/>
    <x v="454"/>
    <x v="25"/>
    <x v="0"/>
    <x v="0"/>
    <x v="1017"/>
    <n v="30.82"/>
    <n v="9"/>
    <n v="9.6300000000000008"/>
    <x v="7"/>
    <x v="2"/>
  </r>
  <r>
    <n v="45147"/>
    <x v="454"/>
    <x v="25"/>
    <x v="2"/>
    <x v="6"/>
    <x v="1570"/>
    <n v="44.78"/>
    <n v="2"/>
    <n v="4.4800000000000004"/>
    <x v="7"/>
    <x v="2"/>
  </r>
  <r>
    <n v="45147"/>
    <x v="454"/>
    <x v="25"/>
    <x v="0"/>
    <x v="12"/>
    <x v="783"/>
    <n v="569.54"/>
    <n v="4"/>
    <n v="64.069999999999993"/>
    <x v="7"/>
    <x v="2"/>
  </r>
  <r>
    <n v="45147"/>
    <x v="292"/>
    <x v="15"/>
    <x v="0"/>
    <x v="3"/>
    <x v="575"/>
    <n v="4.34"/>
    <n v="3"/>
    <n v="-3.04"/>
    <x v="7"/>
    <x v="2"/>
  </r>
  <r>
    <n v="45147"/>
    <x v="292"/>
    <x v="15"/>
    <x v="0"/>
    <x v="3"/>
    <x v="1649"/>
    <n v="11.88"/>
    <n v="5"/>
    <n v="-7.92"/>
    <x v="7"/>
    <x v="2"/>
  </r>
  <r>
    <n v="45149"/>
    <x v="428"/>
    <x v="39"/>
    <x v="0"/>
    <x v="0"/>
    <x v="1382"/>
    <n v="32.4"/>
    <n v="5"/>
    <n v="15.55"/>
    <x v="7"/>
    <x v="2"/>
  </r>
  <r>
    <n v="45149"/>
    <x v="428"/>
    <x v="39"/>
    <x v="0"/>
    <x v="3"/>
    <x v="1198"/>
    <n v="41.86"/>
    <n v="7"/>
    <n v="19.260000000000002"/>
    <x v="7"/>
    <x v="2"/>
  </r>
  <r>
    <n v="45149"/>
    <x v="428"/>
    <x v="39"/>
    <x v="0"/>
    <x v="3"/>
    <x v="164"/>
    <n v="77.56"/>
    <n v="2"/>
    <n v="35.68"/>
    <x v="7"/>
    <x v="2"/>
  </r>
  <r>
    <n v="45150"/>
    <x v="641"/>
    <x v="30"/>
    <x v="0"/>
    <x v="0"/>
    <x v="300"/>
    <n v="6.48"/>
    <n v="1"/>
    <n v="3.11"/>
    <x v="7"/>
    <x v="2"/>
  </r>
  <r>
    <n v="45150"/>
    <x v="752"/>
    <x v="0"/>
    <x v="2"/>
    <x v="9"/>
    <x v="1552"/>
    <n v="1399.94"/>
    <n v="7"/>
    <n v="52.5"/>
    <x v="7"/>
    <x v="2"/>
  </r>
  <r>
    <n v="45150"/>
    <x v="288"/>
    <x v="20"/>
    <x v="1"/>
    <x v="5"/>
    <x v="100"/>
    <n v="145.76"/>
    <n v="2"/>
    <n v="-8.1"/>
    <x v="7"/>
    <x v="2"/>
  </r>
  <r>
    <n v="45150"/>
    <x v="599"/>
    <x v="16"/>
    <x v="1"/>
    <x v="13"/>
    <x v="1060"/>
    <n v="562.29"/>
    <n v="7"/>
    <n v="-255.59"/>
    <x v="7"/>
    <x v="2"/>
  </r>
  <r>
    <n v="45150"/>
    <x v="377"/>
    <x v="20"/>
    <x v="1"/>
    <x v="13"/>
    <x v="1348"/>
    <n v="209.15"/>
    <n v="2"/>
    <n v="-66.23"/>
    <x v="7"/>
    <x v="2"/>
  </r>
  <r>
    <n v="45150"/>
    <x v="377"/>
    <x v="20"/>
    <x v="0"/>
    <x v="2"/>
    <x v="27"/>
    <n v="1591.02"/>
    <n v="6"/>
    <n v="286.38"/>
    <x v="7"/>
    <x v="2"/>
  </r>
  <r>
    <n v="45150"/>
    <x v="35"/>
    <x v="2"/>
    <x v="0"/>
    <x v="4"/>
    <x v="1728"/>
    <n v="37.31"/>
    <n v="4"/>
    <n v="2.8"/>
    <x v="7"/>
    <x v="2"/>
  </r>
  <r>
    <n v="45151"/>
    <x v="313"/>
    <x v="25"/>
    <x v="0"/>
    <x v="3"/>
    <x v="701"/>
    <n v="11.23"/>
    <n v="8"/>
    <n v="-8.24"/>
    <x v="7"/>
    <x v="2"/>
  </r>
  <r>
    <n v="45151"/>
    <x v="313"/>
    <x v="25"/>
    <x v="0"/>
    <x v="0"/>
    <x v="371"/>
    <n v="10.27"/>
    <n v="3"/>
    <n v="3.21"/>
    <x v="7"/>
    <x v="2"/>
  </r>
  <r>
    <n v="45151"/>
    <x v="161"/>
    <x v="21"/>
    <x v="1"/>
    <x v="11"/>
    <x v="238"/>
    <n v="241.96"/>
    <n v="2"/>
    <n v="24.2"/>
    <x v="7"/>
    <x v="2"/>
  </r>
  <r>
    <n v="45151"/>
    <x v="161"/>
    <x v="21"/>
    <x v="0"/>
    <x v="3"/>
    <x v="245"/>
    <n v="8.52"/>
    <n v="3"/>
    <n v="4.17"/>
    <x v="7"/>
    <x v="2"/>
  </r>
  <r>
    <n v="45151"/>
    <x v="459"/>
    <x v="8"/>
    <x v="0"/>
    <x v="12"/>
    <x v="394"/>
    <n v="17.34"/>
    <n v="2"/>
    <n v="4.68"/>
    <x v="7"/>
    <x v="2"/>
  </r>
  <r>
    <n v="45151"/>
    <x v="459"/>
    <x v="8"/>
    <x v="2"/>
    <x v="9"/>
    <x v="530"/>
    <n v="71.98"/>
    <n v="2"/>
    <n v="15.12"/>
    <x v="7"/>
    <x v="2"/>
  </r>
  <r>
    <n v="45151"/>
    <x v="503"/>
    <x v="6"/>
    <x v="0"/>
    <x v="3"/>
    <x v="706"/>
    <n v="22.32"/>
    <n v="4"/>
    <n v="10.71"/>
    <x v="7"/>
    <x v="2"/>
  </r>
  <r>
    <n v="45151"/>
    <x v="503"/>
    <x v="6"/>
    <x v="0"/>
    <x v="1"/>
    <x v="798"/>
    <n v="103.6"/>
    <n v="7"/>
    <n v="51.8"/>
    <x v="7"/>
    <x v="2"/>
  </r>
  <r>
    <n v="45151"/>
    <x v="189"/>
    <x v="0"/>
    <x v="0"/>
    <x v="14"/>
    <x v="1673"/>
    <n v="185.38"/>
    <n v="2"/>
    <n v="-34.76"/>
    <x v="7"/>
    <x v="2"/>
  </r>
  <r>
    <n v="45151"/>
    <x v="189"/>
    <x v="0"/>
    <x v="0"/>
    <x v="12"/>
    <x v="133"/>
    <n v="58.92"/>
    <n v="1"/>
    <n v="-153.19999999999999"/>
    <x v="7"/>
    <x v="2"/>
  </r>
  <r>
    <n v="45152"/>
    <x v="747"/>
    <x v="3"/>
    <x v="0"/>
    <x v="0"/>
    <x v="1736"/>
    <n v="15.54"/>
    <n v="3"/>
    <n v="7.61"/>
    <x v="7"/>
    <x v="2"/>
  </r>
  <r>
    <n v="45152"/>
    <x v="747"/>
    <x v="3"/>
    <x v="2"/>
    <x v="15"/>
    <x v="499"/>
    <n v="105.55"/>
    <n v="6"/>
    <n v="35.619999999999997"/>
    <x v="7"/>
    <x v="2"/>
  </r>
  <r>
    <n v="45152"/>
    <x v="546"/>
    <x v="15"/>
    <x v="0"/>
    <x v="0"/>
    <x v="571"/>
    <n v="15.55"/>
    <n v="3"/>
    <n v="5.44"/>
    <x v="7"/>
    <x v="2"/>
  </r>
  <r>
    <n v="45152"/>
    <x v="153"/>
    <x v="10"/>
    <x v="2"/>
    <x v="6"/>
    <x v="1443"/>
    <n v="259.89999999999998"/>
    <n v="2"/>
    <n v="-56.31"/>
    <x v="7"/>
    <x v="2"/>
  </r>
  <r>
    <n v="45152"/>
    <x v="153"/>
    <x v="10"/>
    <x v="2"/>
    <x v="6"/>
    <x v="412"/>
    <n v="247.19"/>
    <n v="2"/>
    <n v="-49.44"/>
    <x v="7"/>
    <x v="2"/>
  </r>
  <r>
    <n v="45152"/>
    <x v="153"/>
    <x v="10"/>
    <x v="2"/>
    <x v="9"/>
    <x v="1620"/>
    <n v="279.95999999999998"/>
    <n v="5"/>
    <n v="48.99"/>
    <x v="7"/>
    <x v="2"/>
  </r>
  <r>
    <n v="45153"/>
    <x v="297"/>
    <x v="26"/>
    <x v="0"/>
    <x v="3"/>
    <x v="702"/>
    <n v="18.88"/>
    <n v="3"/>
    <n v="-13.85"/>
    <x v="7"/>
    <x v="2"/>
  </r>
  <r>
    <n v="45153"/>
    <x v="297"/>
    <x v="26"/>
    <x v="0"/>
    <x v="12"/>
    <x v="704"/>
    <n v="122.33"/>
    <n v="3"/>
    <n v="12.23"/>
    <x v="7"/>
    <x v="2"/>
  </r>
  <r>
    <n v="45153"/>
    <x v="563"/>
    <x v="3"/>
    <x v="2"/>
    <x v="6"/>
    <x v="1064"/>
    <n v="71.98"/>
    <n v="3"/>
    <n v="7.2"/>
    <x v="7"/>
    <x v="2"/>
  </r>
  <r>
    <n v="45153"/>
    <x v="563"/>
    <x v="3"/>
    <x v="0"/>
    <x v="1"/>
    <x v="348"/>
    <n v="3.15"/>
    <n v="1"/>
    <n v="1.51"/>
    <x v="7"/>
    <x v="2"/>
  </r>
  <r>
    <n v="45153"/>
    <x v="405"/>
    <x v="16"/>
    <x v="2"/>
    <x v="6"/>
    <x v="504"/>
    <n v="705.54"/>
    <n v="7"/>
    <n v="70.55"/>
    <x v="7"/>
    <x v="2"/>
  </r>
  <r>
    <n v="45153"/>
    <x v="757"/>
    <x v="25"/>
    <x v="1"/>
    <x v="5"/>
    <x v="433"/>
    <n v="225.3"/>
    <n v="2"/>
    <n v="22.53"/>
    <x v="7"/>
    <x v="2"/>
  </r>
  <r>
    <n v="45153"/>
    <x v="649"/>
    <x v="3"/>
    <x v="1"/>
    <x v="8"/>
    <x v="511"/>
    <n v="312.02999999999997"/>
    <n v="3"/>
    <n v="43.68"/>
    <x v="7"/>
    <x v="2"/>
  </r>
  <r>
    <n v="45153"/>
    <x v="649"/>
    <x v="3"/>
    <x v="0"/>
    <x v="2"/>
    <x v="565"/>
    <n v="17.940000000000001"/>
    <n v="3"/>
    <n v="3.05"/>
    <x v="7"/>
    <x v="2"/>
  </r>
  <r>
    <n v="45153"/>
    <x v="649"/>
    <x v="3"/>
    <x v="2"/>
    <x v="6"/>
    <x v="35"/>
    <n v="165.6"/>
    <n v="3"/>
    <n v="10.35"/>
    <x v="7"/>
    <x v="2"/>
  </r>
  <r>
    <n v="45153"/>
    <x v="649"/>
    <x v="3"/>
    <x v="0"/>
    <x v="0"/>
    <x v="1737"/>
    <n v="37.520000000000003"/>
    <n v="4"/>
    <n v="18.010000000000002"/>
    <x v="7"/>
    <x v="2"/>
  </r>
  <r>
    <n v="45154"/>
    <x v="500"/>
    <x v="3"/>
    <x v="0"/>
    <x v="10"/>
    <x v="909"/>
    <n v="10.86"/>
    <n v="3"/>
    <n v="5.0999999999999996"/>
    <x v="7"/>
    <x v="2"/>
  </r>
  <r>
    <n v="45154"/>
    <x v="771"/>
    <x v="3"/>
    <x v="1"/>
    <x v="13"/>
    <x v="593"/>
    <n v="161.28"/>
    <n v="2"/>
    <n v="12.1"/>
    <x v="7"/>
    <x v="2"/>
  </r>
  <r>
    <n v="45154"/>
    <x v="355"/>
    <x v="3"/>
    <x v="0"/>
    <x v="0"/>
    <x v="727"/>
    <n v="32.4"/>
    <n v="5"/>
    <n v="15.55"/>
    <x v="7"/>
    <x v="2"/>
  </r>
  <r>
    <n v="45155"/>
    <x v="685"/>
    <x v="22"/>
    <x v="0"/>
    <x v="3"/>
    <x v="832"/>
    <n v="15.71"/>
    <n v="4"/>
    <n v="5.7"/>
    <x v="7"/>
    <x v="2"/>
  </r>
  <r>
    <n v="45156"/>
    <x v="698"/>
    <x v="20"/>
    <x v="0"/>
    <x v="12"/>
    <x v="587"/>
    <n v="355.32"/>
    <n v="9"/>
    <n v="99.49"/>
    <x v="7"/>
    <x v="2"/>
  </r>
  <r>
    <n v="45156"/>
    <x v="480"/>
    <x v="20"/>
    <x v="2"/>
    <x v="6"/>
    <x v="577"/>
    <n v="39.99"/>
    <n v="1"/>
    <n v="11.6"/>
    <x v="7"/>
    <x v="2"/>
  </r>
  <r>
    <n v="45156"/>
    <x v="40"/>
    <x v="0"/>
    <x v="0"/>
    <x v="3"/>
    <x v="140"/>
    <n v="2.0699999999999998"/>
    <n v="1"/>
    <n v="-3.41"/>
    <x v="7"/>
    <x v="2"/>
  </r>
  <r>
    <n v="45156"/>
    <x v="40"/>
    <x v="0"/>
    <x v="0"/>
    <x v="0"/>
    <x v="800"/>
    <n v="83.84"/>
    <n v="8"/>
    <n v="30.39"/>
    <x v="7"/>
    <x v="2"/>
  </r>
  <r>
    <n v="45156"/>
    <x v="338"/>
    <x v="0"/>
    <x v="1"/>
    <x v="8"/>
    <x v="626"/>
    <n v="9.5500000000000007"/>
    <n v="3"/>
    <n v="-3.82"/>
    <x v="7"/>
    <x v="2"/>
  </r>
  <r>
    <n v="45156"/>
    <x v="338"/>
    <x v="0"/>
    <x v="1"/>
    <x v="8"/>
    <x v="1001"/>
    <n v="5.34"/>
    <n v="4"/>
    <n v="-2.14"/>
    <x v="7"/>
    <x v="2"/>
  </r>
  <r>
    <n v="45157"/>
    <x v="218"/>
    <x v="20"/>
    <x v="0"/>
    <x v="3"/>
    <x v="79"/>
    <n v="146.69"/>
    <n v="6"/>
    <n v="55.01"/>
    <x v="7"/>
    <x v="2"/>
  </r>
  <r>
    <n v="45157"/>
    <x v="218"/>
    <x v="20"/>
    <x v="0"/>
    <x v="3"/>
    <x v="1644"/>
    <n v="276.77999999999997"/>
    <n v="2"/>
    <n v="89.95"/>
    <x v="7"/>
    <x v="2"/>
  </r>
  <r>
    <n v="45157"/>
    <x v="218"/>
    <x v="20"/>
    <x v="0"/>
    <x v="3"/>
    <x v="130"/>
    <n v="25.32"/>
    <n v="5"/>
    <n v="9.18"/>
    <x v="7"/>
    <x v="2"/>
  </r>
  <r>
    <n v="45158"/>
    <x v="233"/>
    <x v="14"/>
    <x v="2"/>
    <x v="6"/>
    <x v="1516"/>
    <n v="14.78"/>
    <n v="2"/>
    <n v="3.99"/>
    <x v="7"/>
    <x v="2"/>
  </r>
  <r>
    <n v="45159"/>
    <x v="720"/>
    <x v="25"/>
    <x v="0"/>
    <x v="1"/>
    <x v="564"/>
    <n v="9.2200000000000006"/>
    <n v="4"/>
    <n v="3.34"/>
    <x v="7"/>
    <x v="2"/>
  </r>
  <r>
    <n v="45159"/>
    <x v="720"/>
    <x v="25"/>
    <x v="0"/>
    <x v="14"/>
    <x v="1342"/>
    <n v="28.05"/>
    <n v="2"/>
    <n v="3.51"/>
    <x v="7"/>
    <x v="2"/>
  </r>
  <r>
    <n v="45159"/>
    <x v="81"/>
    <x v="2"/>
    <x v="1"/>
    <x v="13"/>
    <x v="1312"/>
    <n v="815.29"/>
    <n v="9"/>
    <n v="-339.71"/>
    <x v="7"/>
    <x v="2"/>
  </r>
  <r>
    <n v="45159"/>
    <x v="759"/>
    <x v="3"/>
    <x v="0"/>
    <x v="3"/>
    <x v="1649"/>
    <n v="12.67"/>
    <n v="2"/>
    <n v="4.75"/>
    <x v="7"/>
    <x v="2"/>
  </r>
  <r>
    <n v="45159"/>
    <x v="759"/>
    <x v="3"/>
    <x v="2"/>
    <x v="6"/>
    <x v="1502"/>
    <n v="91.96"/>
    <n v="5"/>
    <n v="-20.69"/>
    <x v="7"/>
    <x v="2"/>
  </r>
  <r>
    <n v="45159"/>
    <x v="759"/>
    <x v="3"/>
    <x v="2"/>
    <x v="9"/>
    <x v="711"/>
    <n v="254.97"/>
    <n v="3"/>
    <n v="91.79"/>
    <x v="7"/>
    <x v="2"/>
  </r>
  <r>
    <n v="45159"/>
    <x v="759"/>
    <x v="3"/>
    <x v="2"/>
    <x v="6"/>
    <x v="1482"/>
    <n v="31.98"/>
    <n v="2"/>
    <n v="-8"/>
    <x v="7"/>
    <x v="2"/>
  </r>
  <r>
    <n v="45159"/>
    <x v="759"/>
    <x v="3"/>
    <x v="1"/>
    <x v="13"/>
    <x v="748"/>
    <n v="2887.06"/>
    <n v="9"/>
    <n v="180.44"/>
    <x v="7"/>
    <x v="2"/>
  </r>
  <r>
    <n v="45159"/>
    <x v="759"/>
    <x v="3"/>
    <x v="0"/>
    <x v="0"/>
    <x v="1257"/>
    <n v="12.96"/>
    <n v="2"/>
    <n v="6.22"/>
    <x v="7"/>
    <x v="2"/>
  </r>
  <r>
    <n v="45159"/>
    <x v="759"/>
    <x v="3"/>
    <x v="0"/>
    <x v="0"/>
    <x v="1373"/>
    <n v="47.52"/>
    <n v="9"/>
    <n v="21.38"/>
    <x v="7"/>
    <x v="2"/>
  </r>
  <r>
    <n v="45159"/>
    <x v="468"/>
    <x v="22"/>
    <x v="0"/>
    <x v="3"/>
    <x v="950"/>
    <n v="33.44"/>
    <n v="10"/>
    <n v="11.7"/>
    <x v="7"/>
    <x v="2"/>
  </r>
  <r>
    <n v="45159"/>
    <x v="144"/>
    <x v="20"/>
    <x v="1"/>
    <x v="5"/>
    <x v="877"/>
    <n v="573.16999999999996"/>
    <n v="7"/>
    <n v="63.69"/>
    <x v="7"/>
    <x v="2"/>
  </r>
  <r>
    <n v="45160"/>
    <x v="353"/>
    <x v="10"/>
    <x v="0"/>
    <x v="12"/>
    <x v="1349"/>
    <n v="113.55"/>
    <n v="2"/>
    <n v="8.52"/>
    <x v="7"/>
    <x v="2"/>
  </r>
  <r>
    <n v="45160"/>
    <x v="353"/>
    <x v="10"/>
    <x v="0"/>
    <x v="3"/>
    <x v="82"/>
    <n v="3.32"/>
    <n v="2"/>
    <n v="-2.65"/>
    <x v="7"/>
    <x v="2"/>
  </r>
  <r>
    <n v="45160"/>
    <x v="353"/>
    <x v="10"/>
    <x v="0"/>
    <x v="10"/>
    <x v="239"/>
    <n v="134.29"/>
    <n v="2"/>
    <n v="45.32"/>
    <x v="7"/>
    <x v="2"/>
  </r>
  <r>
    <n v="45160"/>
    <x v="118"/>
    <x v="0"/>
    <x v="0"/>
    <x v="3"/>
    <x v="39"/>
    <n v="4.3099999999999996"/>
    <n v="2"/>
    <n v="-6.9"/>
    <x v="7"/>
    <x v="2"/>
  </r>
  <r>
    <n v="45160"/>
    <x v="320"/>
    <x v="11"/>
    <x v="0"/>
    <x v="3"/>
    <x v="1267"/>
    <n v="26.35"/>
    <n v="8"/>
    <n v="-18.45"/>
    <x v="7"/>
    <x v="2"/>
  </r>
  <r>
    <n v="45160"/>
    <x v="486"/>
    <x v="22"/>
    <x v="0"/>
    <x v="0"/>
    <x v="1382"/>
    <n v="19.440000000000001"/>
    <n v="3"/>
    <n v="9.33"/>
    <x v="7"/>
    <x v="2"/>
  </r>
  <r>
    <n v="45160"/>
    <x v="529"/>
    <x v="26"/>
    <x v="1"/>
    <x v="8"/>
    <x v="675"/>
    <n v="98.33"/>
    <n v="3"/>
    <n v="9.83"/>
    <x v="7"/>
    <x v="2"/>
  </r>
  <r>
    <n v="45160"/>
    <x v="203"/>
    <x v="3"/>
    <x v="0"/>
    <x v="4"/>
    <x v="1441"/>
    <n v="5.76"/>
    <n v="2"/>
    <n v="1.67"/>
    <x v="7"/>
    <x v="2"/>
  </r>
  <r>
    <n v="45161"/>
    <x v="772"/>
    <x v="0"/>
    <x v="0"/>
    <x v="2"/>
    <x v="2"/>
    <n v="727.3"/>
    <n v="8"/>
    <n v="-172.73"/>
    <x v="7"/>
    <x v="2"/>
  </r>
  <r>
    <n v="45161"/>
    <x v="772"/>
    <x v="0"/>
    <x v="1"/>
    <x v="8"/>
    <x v="1310"/>
    <n v="22.61"/>
    <n v="3"/>
    <n v="-10.17"/>
    <x v="7"/>
    <x v="2"/>
  </r>
  <r>
    <n v="45161"/>
    <x v="772"/>
    <x v="0"/>
    <x v="2"/>
    <x v="9"/>
    <x v="640"/>
    <n v="666.4"/>
    <n v="7"/>
    <n v="-33.32"/>
    <x v="7"/>
    <x v="2"/>
  </r>
  <r>
    <n v="45161"/>
    <x v="282"/>
    <x v="22"/>
    <x v="2"/>
    <x v="15"/>
    <x v="508"/>
    <n v="837.6"/>
    <n v="3"/>
    <n v="62.82"/>
    <x v="7"/>
    <x v="2"/>
  </r>
  <r>
    <n v="45161"/>
    <x v="282"/>
    <x v="22"/>
    <x v="0"/>
    <x v="10"/>
    <x v="41"/>
    <n v="135.9"/>
    <n v="5"/>
    <n v="63.87"/>
    <x v="7"/>
    <x v="2"/>
  </r>
  <r>
    <n v="45161"/>
    <x v="282"/>
    <x v="22"/>
    <x v="0"/>
    <x v="0"/>
    <x v="741"/>
    <n v="34.68"/>
    <n v="6"/>
    <n v="16.989999999999998"/>
    <x v="7"/>
    <x v="2"/>
  </r>
  <r>
    <n v="45161"/>
    <x v="282"/>
    <x v="22"/>
    <x v="1"/>
    <x v="5"/>
    <x v="1078"/>
    <n v="532.70000000000005"/>
    <n v="6"/>
    <n v="-39.950000000000003"/>
    <x v="7"/>
    <x v="2"/>
  </r>
  <r>
    <n v="45161"/>
    <x v="282"/>
    <x v="22"/>
    <x v="0"/>
    <x v="12"/>
    <x v="882"/>
    <n v="43.1"/>
    <n v="5"/>
    <n v="11.21"/>
    <x v="7"/>
    <x v="2"/>
  </r>
  <r>
    <n v="45161"/>
    <x v="282"/>
    <x v="22"/>
    <x v="0"/>
    <x v="14"/>
    <x v="1183"/>
    <n v="15.88"/>
    <n v="4"/>
    <n v="0.16"/>
    <x v="7"/>
    <x v="2"/>
  </r>
  <r>
    <n v="45161"/>
    <x v="359"/>
    <x v="20"/>
    <x v="0"/>
    <x v="4"/>
    <x v="6"/>
    <n v="21.3"/>
    <n v="5"/>
    <n v="8.73"/>
    <x v="7"/>
    <x v="2"/>
  </r>
  <r>
    <n v="45161"/>
    <x v="359"/>
    <x v="20"/>
    <x v="0"/>
    <x v="12"/>
    <x v="425"/>
    <n v="1040.8"/>
    <n v="5"/>
    <n v="281.02"/>
    <x v="7"/>
    <x v="2"/>
  </r>
  <r>
    <n v="45161"/>
    <x v="359"/>
    <x v="20"/>
    <x v="0"/>
    <x v="4"/>
    <x v="1099"/>
    <n v="29.34"/>
    <n v="6"/>
    <n v="7.92"/>
    <x v="7"/>
    <x v="2"/>
  </r>
  <r>
    <n v="45161"/>
    <x v="338"/>
    <x v="21"/>
    <x v="0"/>
    <x v="1"/>
    <x v="893"/>
    <n v="25.2"/>
    <n v="4"/>
    <n v="11.59"/>
    <x v="7"/>
    <x v="2"/>
  </r>
  <r>
    <n v="45161"/>
    <x v="338"/>
    <x v="21"/>
    <x v="0"/>
    <x v="1"/>
    <x v="1738"/>
    <n v="37.590000000000003"/>
    <n v="3"/>
    <n v="17.670000000000002"/>
    <x v="7"/>
    <x v="2"/>
  </r>
  <r>
    <n v="45161"/>
    <x v="338"/>
    <x v="21"/>
    <x v="0"/>
    <x v="2"/>
    <x v="788"/>
    <n v="14.97"/>
    <n v="1"/>
    <n v="4.1900000000000004"/>
    <x v="7"/>
    <x v="2"/>
  </r>
  <r>
    <n v="45161"/>
    <x v="338"/>
    <x v="21"/>
    <x v="2"/>
    <x v="9"/>
    <x v="968"/>
    <n v="1.98"/>
    <n v="2"/>
    <n v="0.89"/>
    <x v="7"/>
    <x v="2"/>
  </r>
  <r>
    <n v="45164"/>
    <x v="334"/>
    <x v="3"/>
    <x v="0"/>
    <x v="7"/>
    <x v="1739"/>
    <n v="10.23"/>
    <n v="3"/>
    <n v="4.91"/>
    <x v="7"/>
    <x v="2"/>
  </r>
  <r>
    <n v="45164"/>
    <x v="334"/>
    <x v="3"/>
    <x v="0"/>
    <x v="0"/>
    <x v="1029"/>
    <n v="154.9"/>
    <n v="5"/>
    <n v="69.709999999999994"/>
    <x v="7"/>
    <x v="2"/>
  </r>
  <r>
    <n v="45164"/>
    <x v="49"/>
    <x v="0"/>
    <x v="2"/>
    <x v="9"/>
    <x v="671"/>
    <n v="159.97999999999999"/>
    <n v="2"/>
    <n v="44"/>
    <x v="7"/>
    <x v="2"/>
  </r>
  <r>
    <n v="45164"/>
    <x v="49"/>
    <x v="0"/>
    <x v="1"/>
    <x v="5"/>
    <x v="580"/>
    <n v="1024.72"/>
    <n v="6"/>
    <n v="-29.28"/>
    <x v="7"/>
    <x v="2"/>
  </r>
  <r>
    <n v="45164"/>
    <x v="309"/>
    <x v="22"/>
    <x v="0"/>
    <x v="0"/>
    <x v="727"/>
    <n v="6.48"/>
    <n v="1"/>
    <n v="3.11"/>
    <x v="7"/>
    <x v="2"/>
  </r>
  <r>
    <n v="45164"/>
    <x v="351"/>
    <x v="3"/>
    <x v="1"/>
    <x v="5"/>
    <x v="610"/>
    <n v="1603.14"/>
    <n v="4"/>
    <n v="100.2"/>
    <x v="7"/>
    <x v="2"/>
  </r>
  <r>
    <n v="45164"/>
    <x v="422"/>
    <x v="2"/>
    <x v="0"/>
    <x v="4"/>
    <x v="667"/>
    <n v="5.47"/>
    <n v="3"/>
    <n v="1.64"/>
    <x v="7"/>
    <x v="2"/>
  </r>
  <r>
    <n v="45164"/>
    <x v="422"/>
    <x v="2"/>
    <x v="2"/>
    <x v="9"/>
    <x v="833"/>
    <n v="47.98"/>
    <n v="2"/>
    <n v="13.2"/>
    <x v="7"/>
    <x v="2"/>
  </r>
  <r>
    <n v="45164"/>
    <x v="324"/>
    <x v="3"/>
    <x v="0"/>
    <x v="4"/>
    <x v="146"/>
    <n v="8.26"/>
    <n v="2"/>
    <n v="3.8"/>
    <x v="7"/>
    <x v="2"/>
  </r>
  <r>
    <n v="45164"/>
    <x v="696"/>
    <x v="20"/>
    <x v="2"/>
    <x v="6"/>
    <x v="1740"/>
    <n v="33"/>
    <n v="6"/>
    <n v="8.25"/>
    <x v="7"/>
    <x v="2"/>
  </r>
  <r>
    <n v="45164"/>
    <x v="696"/>
    <x v="20"/>
    <x v="2"/>
    <x v="9"/>
    <x v="399"/>
    <n v="249.95"/>
    <n v="5"/>
    <n v="87.48"/>
    <x v="7"/>
    <x v="2"/>
  </r>
  <r>
    <n v="45164"/>
    <x v="301"/>
    <x v="21"/>
    <x v="2"/>
    <x v="9"/>
    <x v="632"/>
    <n v="47.97"/>
    <n v="3"/>
    <n v="14.87"/>
    <x v="7"/>
    <x v="2"/>
  </r>
  <r>
    <n v="45164"/>
    <x v="182"/>
    <x v="14"/>
    <x v="0"/>
    <x v="0"/>
    <x v="1611"/>
    <n v="11.56"/>
    <n v="2"/>
    <n v="5.66"/>
    <x v="7"/>
    <x v="2"/>
  </r>
  <r>
    <n v="45164"/>
    <x v="182"/>
    <x v="14"/>
    <x v="2"/>
    <x v="6"/>
    <x v="1095"/>
    <n v="209.97"/>
    <n v="3"/>
    <n v="58.79"/>
    <x v="7"/>
    <x v="2"/>
  </r>
  <r>
    <n v="45164"/>
    <x v="182"/>
    <x v="14"/>
    <x v="1"/>
    <x v="13"/>
    <x v="534"/>
    <n v="447.84"/>
    <n v="4"/>
    <n v="98.52"/>
    <x v="7"/>
    <x v="2"/>
  </r>
  <r>
    <n v="45164"/>
    <x v="182"/>
    <x v="14"/>
    <x v="2"/>
    <x v="9"/>
    <x v="552"/>
    <n v="479.97"/>
    <n v="3"/>
    <n v="163.19"/>
    <x v="7"/>
    <x v="2"/>
  </r>
  <r>
    <n v="45164"/>
    <x v="182"/>
    <x v="14"/>
    <x v="0"/>
    <x v="4"/>
    <x v="375"/>
    <n v="8.64"/>
    <n v="3"/>
    <n v="2.5099999999999998"/>
    <x v="7"/>
    <x v="2"/>
  </r>
  <r>
    <n v="45164"/>
    <x v="21"/>
    <x v="4"/>
    <x v="1"/>
    <x v="8"/>
    <x v="403"/>
    <n v="186.54"/>
    <n v="3"/>
    <n v="41.04"/>
    <x v="7"/>
    <x v="2"/>
  </r>
  <r>
    <n v="45164"/>
    <x v="687"/>
    <x v="20"/>
    <x v="0"/>
    <x v="3"/>
    <x v="1461"/>
    <n v="146.69"/>
    <n v="8"/>
    <n v="45.84"/>
    <x v="7"/>
    <x v="2"/>
  </r>
  <r>
    <n v="45164"/>
    <x v="642"/>
    <x v="16"/>
    <x v="0"/>
    <x v="0"/>
    <x v="426"/>
    <n v="31.01"/>
    <n v="1"/>
    <n v="11.24"/>
    <x v="7"/>
    <x v="2"/>
  </r>
  <r>
    <n v="45165"/>
    <x v="567"/>
    <x v="0"/>
    <x v="0"/>
    <x v="14"/>
    <x v="277"/>
    <n v="51.52"/>
    <n v="5"/>
    <n v="-10.95"/>
    <x v="7"/>
    <x v="2"/>
  </r>
  <r>
    <n v="45165"/>
    <x v="567"/>
    <x v="0"/>
    <x v="0"/>
    <x v="0"/>
    <x v="1287"/>
    <n v="3.53"/>
    <n v="1"/>
    <n v="1.1499999999999999"/>
    <x v="7"/>
    <x v="2"/>
  </r>
  <r>
    <n v="45165"/>
    <x v="567"/>
    <x v="0"/>
    <x v="0"/>
    <x v="0"/>
    <x v="1515"/>
    <n v="4.62"/>
    <n v="1"/>
    <n v="1.68"/>
    <x v="7"/>
    <x v="2"/>
  </r>
  <r>
    <n v="45165"/>
    <x v="567"/>
    <x v="0"/>
    <x v="0"/>
    <x v="14"/>
    <x v="1340"/>
    <n v="55.17"/>
    <n v="4"/>
    <n v="6.21"/>
    <x v="7"/>
    <x v="2"/>
  </r>
  <r>
    <n v="45165"/>
    <x v="764"/>
    <x v="32"/>
    <x v="0"/>
    <x v="0"/>
    <x v="207"/>
    <n v="122.97"/>
    <n v="3"/>
    <n v="60.26"/>
    <x v="7"/>
    <x v="2"/>
  </r>
  <r>
    <n v="45165"/>
    <x v="764"/>
    <x v="32"/>
    <x v="1"/>
    <x v="13"/>
    <x v="670"/>
    <n v="244.62"/>
    <n v="1"/>
    <n v="20.97"/>
    <x v="7"/>
    <x v="2"/>
  </r>
  <r>
    <n v="45165"/>
    <x v="764"/>
    <x v="32"/>
    <x v="2"/>
    <x v="6"/>
    <x v="1288"/>
    <n v="59.97"/>
    <n v="3"/>
    <n v="28.79"/>
    <x v="7"/>
    <x v="2"/>
  </r>
  <r>
    <n v="45165"/>
    <x v="764"/>
    <x v="32"/>
    <x v="0"/>
    <x v="0"/>
    <x v="1674"/>
    <n v="81.540000000000006"/>
    <n v="9"/>
    <n v="36.69"/>
    <x v="7"/>
    <x v="2"/>
  </r>
  <r>
    <n v="45165"/>
    <x v="764"/>
    <x v="32"/>
    <x v="0"/>
    <x v="7"/>
    <x v="78"/>
    <n v="11.68"/>
    <n v="4"/>
    <n v="5.26"/>
    <x v="7"/>
    <x v="2"/>
  </r>
  <r>
    <n v="45165"/>
    <x v="764"/>
    <x v="32"/>
    <x v="0"/>
    <x v="3"/>
    <x v="541"/>
    <n v="29"/>
    <n v="5"/>
    <n v="13.92"/>
    <x v="7"/>
    <x v="2"/>
  </r>
  <r>
    <n v="45165"/>
    <x v="735"/>
    <x v="0"/>
    <x v="0"/>
    <x v="2"/>
    <x v="1546"/>
    <n v="14.16"/>
    <n v="1"/>
    <n v="1.06"/>
    <x v="7"/>
    <x v="2"/>
  </r>
  <r>
    <n v="45165"/>
    <x v="735"/>
    <x v="0"/>
    <x v="0"/>
    <x v="0"/>
    <x v="386"/>
    <n v="79.92"/>
    <n v="5"/>
    <n v="27.97"/>
    <x v="7"/>
    <x v="2"/>
  </r>
  <r>
    <n v="45165"/>
    <x v="551"/>
    <x v="16"/>
    <x v="0"/>
    <x v="1"/>
    <x v="1741"/>
    <n v="9.2200000000000006"/>
    <n v="4"/>
    <n v="3.34"/>
    <x v="7"/>
    <x v="2"/>
  </r>
  <r>
    <n v="45166"/>
    <x v="330"/>
    <x v="26"/>
    <x v="0"/>
    <x v="0"/>
    <x v="861"/>
    <n v="15.48"/>
    <n v="3"/>
    <n v="5.61"/>
    <x v="7"/>
    <x v="2"/>
  </r>
  <r>
    <n v="45166"/>
    <x v="330"/>
    <x v="26"/>
    <x v="2"/>
    <x v="6"/>
    <x v="80"/>
    <n v="108.58"/>
    <n v="3"/>
    <n v="8.14"/>
    <x v="7"/>
    <x v="2"/>
  </r>
  <r>
    <n v="45166"/>
    <x v="717"/>
    <x v="0"/>
    <x v="0"/>
    <x v="3"/>
    <x v="772"/>
    <n v="13.14"/>
    <n v="9"/>
    <n v="-21.68"/>
    <x v="7"/>
    <x v="2"/>
  </r>
  <r>
    <n v="45166"/>
    <x v="717"/>
    <x v="0"/>
    <x v="0"/>
    <x v="3"/>
    <x v="1664"/>
    <n v="10.02"/>
    <n v="4"/>
    <n v="-16.54"/>
    <x v="7"/>
    <x v="2"/>
  </r>
  <r>
    <n v="45166"/>
    <x v="717"/>
    <x v="0"/>
    <x v="1"/>
    <x v="11"/>
    <x v="1093"/>
    <n v="156.37"/>
    <n v="2"/>
    <n v="-52.89"/>
    <x v="7"/>
    <x v="2"/>
  </r>
  <r>
    <n v="45166"/>
    <x v="615"/>
    <x v="10"/>
    <x v="0"/>
    <x v="3"/>
    <x v="762"/>
    <n v="18.43"/>
    <n v="8"/>
    <n v="-12.29"/>
    <x v="7"/>
    <x v="2"/>
  </r>
  <r>
    <n v="45167"/>
    <x v="81"/>
    <x v="1"/>
    <x v="0"/>
    <x v="0"/>
    <x v="1593"/>
    <n v="64.62"/>
    <n v="7"/>
    <n v="22.62"/>
    <x v="7"/>
    <x v="2"/>
  </r>
  <r>
    <n v="45167"/>
    <x v="81"/>
    <x v="1"/>
    <x v="2"/>
    <x v="9"/>
    <x v="677"/>
    <n v="95.98"/>
    <n v="3"/>
    <n v="-10.8"/>
    <x v="7"/>
    <x v="2"/>
  </r>
  <r>
    <n v="45167"/>
    <x v="81"/>
    <x v="1"/>
    <x v="0"/>
    <x v="3"/>
    <x v="566"/>
    <n v="1.79"/>
    <n v="3"/>
    <n v="-3.04"/>
    <x v="7"/>
    <x v="2"/>
  </r>
  <r>
    <n v="45167"/>
    <x v="692"/>
    <x v="38"/>
    <x v="0"/>
    <x v="14"/>
    <x v="139"/>
    <n v="27.93"/>
    <n v="3"/>
    <n v="8.1"/>
    <x v="7"/>
    <x v="2"/>
  </r>
  <r>
    <n v="45167"/>
    <x v="690"/>
    <x v="20"/>
    <x v="2"/>
    <x v="6"/>
    <x v="1740"/>
    <n v="22"/>
    <n v="4"/>
    <n v="5.5"/>
    <x v="7"/>
    <x v="2"/>
  </r>
  <r>
    <n v="45167"/>
    <x v="169"/>
    <x v="2"/>
    <x v="1"/>
    <x v="13"/>
    <x v="593"/>
    <n v="241.92"/>
    <n v="4"/>
    <n v="-56.45"/>
    <x v="7"/>
    <x v="2"/>
  </r>
  <r>
    <n v="45167"/>
    <x v="169"/>
    <x v="2"/>
    <x v="1"/>
    <x v="11"/>
    <x v="1615"/>
    <n v="163.88"/>
    <n v="4"/>
    <n v="-81.94"/>
    <x v="7"/>
    <x v="2"/>
  </r>
  <r>
    <n v="45167"/>
    <x v="169"/>
    <x v="2"/>
    <x v="0"/>
    <x v="3"/>
    <x v="246"/>
    <n v="3.49"/>
    <n v="2"/>
    <n v="-2.79"/>
    <x v="7"/>
    <x v="2"/>
  </r>
  <r>
    <n v="45167"/>
    <x v="169"/>
    <x v="2"/>
    <x v="0"/>
    <x v="7"/>
    <x v="828"/>
    <n v="10.58"/>
    <n v="7"/>
    <n v="-2.38"/>
    <x v="7"/>
    <x v="2"/>
  </r>
  <r>
    <n v="45168"/>
    <x v="487"/>
    <x v="2"/>
    <x v="2"/>
    <x v="6"/>
    <x v="86"/>
    <n v="290.89999999999998"/>
    <n v="3"/>
    <n v="-67.88"/>
    <x v="7"/>
    <x v="2"/>
  </r>
  <r>
    <n v="45168"/>
    <x v="487"/>
    <x v="2"/>
    <x v="0"/>
    <x v="2"/>
    <x v="865"/>
    <n v="54.22"/>
    <n v="2"/>
    <n v="3.39"/>
    <x v="7"/>
    <x v="2"/>
  </r>
  <r>
    <n v="45168"/>
    <x v="487"/>
    <x v="2"/>
    <x v="1"/>
    <x v="5"/>
    <x v="629"/>
    <n v="786.74"/>
    <n v="4"/>
    <n v="-258.5"/>
    <x v="7"/>
    <x v="2"/>
  </r>
  <r>
    <n v="45168"/>
    <x v="487"/>
    <x v="2"/>
    <x v="0"/>
    <x v="1"/>
    <x v="37"/>
    <n v="100.24"/>
    <n v="10"/>
    <n v="33.83"/>
    <x v="7"/>
    <x v="2"/>
  </r>
  <r>
    <n v="45168"/>
    <x v="487"/>
    <x v="2"/>
    <x v="0"/>
    <x v="3"/>
    <x v="637"/>
    <n v="37.76"/>
    <n v="6"/>
    <n v="-27.69"/>
    <x v="7"/>
    <x v="2"/>
  </r>
  <r>
    <n v="45168"/>
    <x v="100"/>
    <x v="3"/>
    <x v="1"/>
    <x v="8"/>
    <x v="1200"/>
    <n v="47.04"/>
    <n v="4"/>
    <n v="15.99"/>
    <x v="7"/>
    <x v="2"/>
  </r>
  <r>
    <n v="45168"/>
    <x v="100"/>
    <x v="3"/>
    <x v="2"/>
    <x v="6"/>
    <x v="1210"/>
    <n v="339.96"/>
    <n v="5"/>
    <n v="42.5"/>
    <x v="7"/>
    <x v="2"/>
  </r>
  <r>
    <n v="45169"/>
    <x v="633"/>
    <x v="0"/>
    <x v="0"/>
    <x v="2"/>
    <x v="1677"/>
    <n v="23.97"/>
    <n v="2"/>
    <n v="2.4"/>
    <x v="7"/>
    <x v="2"/>
  </r>
  <r>
    <n v="45170"/>
    <x v="692"/>
    <x v="20"/>
    <x v="2"/>
    <x v="9"/>
    <x v="1206"/>
    <n v="6.79"/>
    <n v="1"/>
    <n v="2.31"/>
    <x v="8"/>
    <x v="2"/>
  </r>
  <r>
    <n v="45170"/>
    <x v="692"/>
    <x v="20"/>
    <x v="0"/>
    <x v="0"/>
    <x v="572"/>
    <n v="24.56"/>
    <n v="2"/>
    <n v="11.54"/>
    <x v="8"/>
    <x v="2"/>
  </r>
  <r>
    <n v="45170"/>
    <x v="692"/>
    <x v="20"/>
    <x v="0"/>
    <x v="3"/>
    <x v="595"/>
    <n v="3.05"/>
    <n v="1"/>
    <n v="1.07"/>
    <x v="8"/>
    <x v="2"/>
  </r>
  <r>
    <n v="45170"/>
    <x v="692"/>
    <x v="20"/>
    <x v="0"/>
    <x v="0"/>
    <x v="572"/>
    <n v="49.12"/>
    <n v="4"/>
    <n v="23.09"/>
    <x v="8"/>
    <x v="2"/>
  </r>
  <r>
    <n v="45170"/>
    <x v="692"/>
    <x v="20"/>
    <x v="0"/>
    <x v="3"/>
    <x v="501"/>
    <n v="4355.17"/>
    <n v="4"/>
    <n v="1415.43"/>
    <x v="8"/>
    <x v="2"/>
  </r>
  <r>
    <n v="45170"/>
    <x v="755"/>
    <x v="3"/>
    <x v="0"/>
    <x v="10"/>
    <x v="944"/>
    <n v="21.88"/>
    <n v="2"/>
    <n v="10.94"/>
    <x v="8"/>
    <x v="2"/>
  </r>
  <r>
    <n v="45170"/>
    <x v="78"/>
    <x v="2"/>
    <x v="0"/>
    <x v="0"/>
    <x v="1700"/>
    <n v="30.48"/>
    <n v="6"/>
    <n v="9.91"/>
    <x v="8"/>
    <x v="2"/>
  </r>
  <r>
    <n v="45170"/>
    <x v="78"/>
    <x v="2"/>
    <x v="2"/>
    <x v="6"/>
    <x v="1605"/>
    <n v="23.99"/>
    <n v="2"/>
    <n v="-4.8"/>
    <x v="8"/>
    <x v="2"/>
  </r>
  <r>
    <n v="45170"/>
    <x v="78"/>
    <x v="2"/>
    <x v="0"/>
    <x v="7"/>
    <x v="78"/>
    <n v="16.690000000000001"/>
    <n v="7"/>
    <n v="5.42"/>
    <x v="8"/>
    <x v="2"/>
  </r>
  <r>
    <n v="45170"/>
    <x v="190"/>
    <x v="20"/>
    <x v="2"/>
    <x v="9"/>
    <x v="77"/>
    <n v="468.9"/>
    <n v="6"/>
    <n v="206.32"/>
    <x v="8"/>
    <x v="2"/>
  </r>
  <r>
    <n v="45170"/>
    <x v="190"/>
    <x v="20"/>
    <x v="2"/>
    <x v="9"/>
    <x v="306"/>
    <n v="72.48"/>
    <n v="2"/>
    <n v="30.44"/>
    <x v="8"/>
    <x v="2"/>
  </r>
  <r>
    <n v="45170"/>
    <x v="190"/>
    <x v="20"/>
    <x v="0"/>
    <x v="14"/>
    <x v="817"/>
    <n v="10.95"/>
    <n v="3"/>
    <n v="3.29"/>
    <x v="8"/>
    <x v="2"/>
  </r>
  <r>
    <n v="45170"/>
    <x v="190"/>
    <x v="20"/>
    <x v="1"/>
    <x v="8"/>
    <x v="14"/>
    <n v="191.82"/>
    <n v="3"/>
    <n v="61.38"/>
    <x v="8"/>
    <x v="2"/>
  </r>
  <r>
    <n v="45170"/>
    <x v="409"/>
    <x v="14"/>
    <x v="0"/>
    <x v="3"/>
    <x v="96"/>
    <n v="24.1"/>
    <n v="5"/>
    <n v="11.09"/>
    <x v="8"/>
    <x v="2"/>
  </r>
  <r>
    <n v="45170"/>
    <x v="409"/>
    <x v="14"/>
    <x v="2"/>
    <x v="6"/>
    <x v="1639"/>
    <n v="8.7799999999999994"/>
    <n v="1"/>
    <n v="2.2799999999999998"/>
    <x v="8"/>
    <x v="2"/>
  </r>
  <r>
    <n v="45170"/>
    <x v="409"/>
    <x v="14"/>
    <x v="0"/>
    <x v="12"/>
    <x v="1551"/>
    <n v="376.74"/>
    <n v="4"/>
    <n v="71.16"/>
    <x v="8"/>
    <x v="2"/>
  </r>
  <r>
    <n v="45170"/>
    <x v="409"/>
    <x v="14"/>
    <x v="0"/>
    <x v="3"/>
    <x v="116"/>
    <n v="29.52"/>
    <n v="4"/>
    <n v="14.46"/>
    <x v="8"/>
    <x v="2"/>
  </r>
  <r>
    <n v="45170"/>
    <x v="409"/>
    <x v="14"/>
    <x v="0"/>
    <x v="4"/>
    <x v="588"/>
    <n v="11.96"/>
    <n v="2"/>
    <n v="2.99"/>
    <x v="8"/>
    <x v="2"/>
  </r>
  <r>
    <n v="45170"/>
    <x v="409"/>
    <x v="14"/>
    <x v="0"/>
    <x v="3"/>
    <x v="515"/>
    <n v="26.4"/>
    <n v="5"/>
    <n v="12.67"/>
    <x v="8"/>
    <x v="2"/>
  </r>
  <r>
    <n v="45170"/>
    <x v="162"/>
    <x v="3"/>
    <x v="0"/>
    <x v="10"/>
    <x v="681"/>
    <n v="12.78"/>
    <n v="1"/>
    <n v="5.75"/>
    <x v="8"/>
    <x v="2"/>
  </r>
  <r>
    <n v="45171"/>
    <x v="502"/>
    <x v="20"/>
    <x v="0"/>
    <x v="4"/>
    <x v="1007"/>
    <n v="75.48"/>
    <n v="2"/>
    <n v="19.62"/>
    <x v="8"/>
    <x v="2"/>
  </r>
  <r>
    <n v="45171"/>
    <x v="502"/>
    <x v="20"/>
    <x v="1"/>
    <x v="8"/>
    <x v="763"/>
    <n v="39.979999999999997"/>
    <n v="2"/>
    <n v="10"/>
    <x v="8"/>
    <x v="2"/>
  </r>
  <r>
    <n v="45171"/>
    <x v="331"/>
    <x v="21"/>
    <x v="0"/>
    <x v="7"/>
    <x v="710"/>
    <n v="1.81"/>
    <n v="1"/>
    <n v="0.65"/>
    <x v="8"/>
    <x v="2"/>
  </r>
  <r>
    <n v="45171"/>
    <x v="331"/>
    <x v="21"/>
    <x v="0"/>
    <x v="3"/>
    <x v="333"/>
    <n v="8.26"/>
    <n v="2"/>
    <n v="3.88"/>
    <x v="8"/>
    <x v="2"/>
  </r>
  <r>
    <n v="45171"/>
    <x v="381"/>
    <x v="3"/>
    <x v="0"/>
    <x v="2"/>
    <x v="271"/>
    <n v="46.53"/>
    <n v="3"/>
    <n v="12.1"/>
    <x v="8"/>
    <x v="2"/>
  </r>
  <r>
    <n v="45171"/>
    <x v="556"/>
    <x v="1"/>
    <x v="0"/>
    <x v="1"/>
    <x v="645"/>
    <n v="29.24"/>
    <n v="5"/>
    <n v="9.8699999999999992"/>
    <x v="8"/>
    <x v="2"/>
  </r>
  <r>
    <n v="45171"/>
    <x v="556"/>
    <x v="1"/>
    <x v="0"/>
    <x v="2"/>
    <x v="1125"/>
    <n v="35.17"/>
    <n v="2"/>
    <n v="-8.35"/>
    <x v="8"/>
    <x v="2"/>
  </r>
  <r>
    <n v="45171"/>
    <x v="556"/>
    <x v="1"/>
    <x v="2"/>
    <x v="15"/>
    <x v="1742"/>
    <n v="1362.9"/>
    <n v="3"/>
    <n v="-19.47"/>
    <x v="8"/>
    <x v="2"/>
  </r>
  <r>
    <n v="45171"/>
    <x v="398"/>
    <x v="1"/>
    <x v="1"/>
    <x v="8"/>
    <x v="888"/>
    <n v="84.27"/>
    <n v="2"/>
    <n v="-75.84"/>
    <x v="8"/>
    <x v="2"/>
  </r>
  <r>
    <n v="45171"/>
    <x v="364"/>
    <x v="25"/>
    <x v="0"/>
    <x v="3"/>
    <x v="1480"/>
    <n v="22.91"/>
    <n v="7"/>
    <n v="-17.57"/>
    <x v="8"/>
    <x v="2"/>
  </r>
  <r>
    <n v="45171"/>
    <x v="364"/>
    <x v="25"/>
    <x v="0"/>
    <x v="12"/>
    <x v="1743"/>
    <n v="309.45999999999998"/>
    <n v="9"/>
    <n v="34.81"/>
    <x v="8"/>
    <x v="2"/>
  </r>
  <r>
    <n v="45171"/>
    <x v="364"/>
    <x v="25"/>
    <x v="0"/>
    <x v="4"/>
    <x v="118"/>
    <n v="19.46"/>
    <n v="4"/>
    <n v="3.4"/>
    <x v="8"/>
    <x v="2"/>
  </r>
  <r>
    <n v="45171"/>
    <x v="364"/>
    <x v="25"/>
    <x v="1"/>
    <x v="13"/>
    <x v="989"/>
    <n v="472.52"/>
    <n v="3"/>
    <n v="-149.63"/>
    <x v="8"/>
    <x v="2"/>
  </r>
  <r>
    <n v="45171"/>
    <x v="364"/>
    <x v="25"/>
    <x v="2"/>
    <x v="9"/>
    <x v="1208"/>
    <n v="1012.68"/>
    <n v="3"/>
    <n v="303.8"/>
    <x v="8"/>
    <x v="2"/>
  </r>
  <r>
    <n v="45171"/>
    <x v="364"/>
    <x v="25"/>
    <x v="0"/>
    <x v="3"/>
    <x v="1467"/>
    <n v="17.22"/>
    <n v="5"/>
    <n v="-12.63"/>
    <x v="8"/>
    <x v="2"/>
  </r>
  <r>
    <n v="45171"/>
    <x v="614"/>
    <x v="22"/>
    <x v="2"/>
    <x v="16"/>
    <x v="937"/>
    <n v="999.98"/>
    <n v="2"/>
    <n v="449.99"/>
    <x v="8"/>
    <x v="2"/>
  </r>
  <r>
    <n v="45171"/>
    <x v="476"/>
    <x v="0"/>
    <x v="0"/>
    <x v="3"/>
    <x v="1129"/>
    <n v="8.61"/>
    <n v="8"/>
    <n v="-13.34"/>
    <x v="8"/>
    <x v="2"/>
  </r>
  <r>
    <n v="45171"/>
    <x v="476"/>
    <x v="0"/>
    <x v="2"/>
    <x v="9"/>
    <x v="1617"/>
    <n v="159.56"/>
    <n v="5"/>
    <n v="33.909999999999997"/>
    <x v="8"/>
    <x v="2"/>
  </r>
  <r>
    <n v="45171"/>
    <x v="383"/>
    <x v="22"/>
    <x v="1"/>
    <x v="5"/>
    <x v="1322"/>
    <n v="215.98"/>
    <n v="3"/>
    <n v="-2.7"/>
    <x v="8"/>
    <x v="2"/>
  </r>
  <r>
    <n v="45171"/>
    <x v="383"/>
    <x v="22"/>
    <x v="0"/>
    <x v="10"/>
    <x v="611"/>
    <n v="65.94"/>
    <n v="3"/>
    <n v="30.99"/>
    <x v="8"/>
    <x v="2"/>
  </r>
  <r>
    <n v="45171"/>
    <x v="336"/>
    <x v="3"/>
    <x v="1"/>
    <x v="8"/>
    <x v="58"/>
    <n v="94.68"/>
    <n v="9"/>
    <n v="31.24"/>
    <x v="8"/>
    <x v="2"/>
  </r>
  <r>
    <n v="45171"/>
    <x v="336"/>
    <x v="3"/>
    <x v="0"/>
    <x v="2"/>
    <x v="110"/>
    <n v="23.67"/>
    <n v="3"/>
    <n v="0.95"/>
    <x v="8"/>
    <x v="2"/>
  </r>
  <r>
    <n v="45171"/>
    <x v="336"/>
    <x v="3"/>
    <x v="2"/>
    <x v="6"/>
    <x v="686"/>
    <n v="1091.17"/>
    <n v="4"/>
    <n v="68.2"/>
    <x v="8"/>
    <x v="2"/>
  </r>
  <r>
    <n v="45171"/>
    <x v="336"/>
    <x v="3"/>
    <x v="0"/>
    <x v="4"/>
    <x v="347"/>
    <n v="18.690000000000001"/>
    <n v="7"/>
    <n v="5.23"/>
    <x v="8"/>
    <x v="2"/>
  </r>
  <r>
    <n v="45171"/>
    <x v="336"/>
    <x v="3"/>
    <x v="1"/>
    <x v="13"/>
    <x v="444"/>
    <n v="568.73"/>
    <n v="3"/>
    <n v="28.44"/>
    <x v="8"/>
    <x v="2"/>
  </r>
  <r>
    <n v="45171"/>
    <x v="336"/>
    <x v="3"/>
    <x v="0"/>
    <x v="3"/>
    <x v="529"/>
    <n v="7.31"/>
    <n v="1"/>
    <n v="2.56"/>
    <x v="8"/>
    <x v="2"/>
  </r>
  <r>
    <n v="45172"/>
    <x v="125"/>
    <x v="2"/>
    <x v="0"/>
    <x v="3"/>
    <x v="1391"/>
    <n v="1141.47"/>
    <n v="5"/>
    <n v="-760.98"/>
    <x v="8"/>
    <x v="2"/>
  </r>
  <r>
    <n v="45172"/>
    <x v="125"/>
    <x v="2"/>
    <x v="2"/>
    <x v="6"/>
    <x v="1379"/>
    <n v="280.77999999999997"/>
    <n v="3"/>
    <n v="-46.8"/>
    <x v="8"/>
    <x v="2"/>
  </r>
  <r>
    <n v="45172"/>
    <x v="488"/>
    <x v="1"/>
    <x v="1"/>
    <x v="8"/>
    <x v="1330"/>
    <n v="83.95"/>
    <n v="3"/>
    <n v="-90.25"/>
    <x v="8"/>
    <x v="2"/>
  </r>
  <r>
    <n v="45172"/>
    <x v="246"/>
    <x v="1"/>
    <x v="0"/>
    <x v="3"/>
    <x v="1245"/>
    <n v="8.81"/>
    <n v="3"/>
    <n v="-14.97"/>
    <x v="8"/>
    <x v="2"/>
  </r>
  <r>
    <n v="45172"/>
    <x v="76"/>
    <x v="37"/>
    <x v="0"/>
    <x v="0"/>
    <x v="1589"/>
    <n v="48.16"/>
    <n v="7"/>
    <n v="22.15"/>
    <x v="8"/>
    <x v="2"/>
  </r>
  <r>
    <n v="45172"/>
    <x v="612"/>
    <x v="21"/>
    <x v="0"/>
    <x v="2"/>
    <x v="199"/>
    <n v="54.5"/>
    <n v="5"/>
    <n v="14.17"/>
    <x v="8"/>
    <x v="2"/>
  </r>
  <r>
    <n v="45172"/>
    <x v="563"/>
    <x v="8"/>
    <x v="0"/>
    <x v="3"/>
    <x v="1480"/>
    <n v="87.28"/>
    <n v="8"/>
    <n v="41.02"/>
    <x v="8"/>
    <x v="2"/>
  </r>
  <r>
    <n v="45172"/>
    <x v="221"/>
    <x v="36"/>
    <x v="1"/>
    <x v="11"/>
    <x v="1093"/>
    <n v="344.94"/>
    <n v="3"/>
    <n v="31.04"/>
    <x v="8"/>
    <x v="2"/>
  </r>
  <r>
    <n v="45172"/>
    <x v="221"/>
    <x v="36"/>
    <x v="1"/>
    <x v="8"/>
    <x v="977"/>
    <n v="14.76"/>
    <n v="2"/>
    <n v="4.28"/>
    <x v="8"/>
    <x v="2"/>
  </r>
  <r>
    <n v="45172"/>
    <x v="221"/>
    <x v="36"/>
    <x v="0"/>
    <x v="3"/>
    <x v="1088"/>
    <n v="12.76"/>
    <n v="2"/>
    <n v="5.87"/>
    <x v="8"/>
    <x v="2"/>
  </r>
  <r>
    <n v="45172"/>
    <x v="221"/>
    <x v="36"/>
    <x v="0"/>
    <x v="1"/>
    <x v="1323"/>
    <n v="58.48"/>
    <n v="8"/>
    <n v="27.49"/>
    <x v="8"/>
    <x v="2"/>
  </r>
  <r>
    <n v="45172"/>
    <x v="751"/>
    <x v="1"/>
    <x v="1"/>
    <x v="11"/>
    <x v="1744"/>
    <n v="198.74"/>
    <n v="4"/>
    <n v="0"/>
    <x v="8"/>
    <x v="2"/>
  </r>
  <r>
    <n v="45172"/>
    <x v="719"/>
    <x v="10"/>
    <x v="0"/>
    <x v="0"/>
    <x v="861"/>
    <n v="30.96"/>
    <n v="6"/>
    <n v="11.22"/>
    <x v="8"/>
    <x v="2"/>
  </r>
  <r>
    <n v="45173"/>
    <x v="325"/>
    <x v="0"/>
    <x v="0"/>
    <x v="4"/>
    <x v="718"/>
    <n v="3.91"/>
    <n v="1"/>
    <n v="1.03"/>
    <x v="8"/>
    <x v="2"/>
  </r>
  <r>
    <n v="45173"/>
    <x v="325"/>
    <x v="0"/>
    <x v="0"/>
    <x v="4"/>
    <x v="151"/>
    <n v="62.38"/>
    <n v="3"/>
    <n v="7.02"/>
    <x v="8"/>
    <x v="2"/>
  </r>
  <r>
    <n v="45173"/>
    <x v="107"/>
    <x v="20"/>
    <x v="1"/>
    <x v="8"/>
    <x v="1466"/>
    <n v="63.94"/>
    <n v="1"/>
    <n v="24.94"/>
    <x v="8"/>
    <x v="2"/>
  </r>
  <r>
    <n v="45173"/>
    <x v="107"/>
    <x v="20"/>
    <x v="0"/>
    <x v="3"/>
    <x v="958"/>
    <n v="60.6"/>
    <n v="5"/>
    <n v="20.45"/>
    <x v="8"/>
    <x v="2"/>
  </r>
  <r>
    <n v="45173"/>
    <x v="107"/>
    <x v="20"/>
    <x v="0"/>
    <x v="14"/>
    <x v="1745"/>
    <n v="22.72"/>
    <n v="4"/>
    <n v="6.59"/>
    <x v="8"/>
    <x v="2"/>
  </r>
  <r>
    <n v="45173"/>
    <x v="16"/>
    <x v="15"/>
    <x v="0"/>
    <x v="0"/>
    <x v="976"/>
    <n v="12.19"/>
    <n v="3"/>
    <n v="4.1100000000000003"/>
    <x v="8"/>
    <x v="2"/>
  </r>
  <r>
    <n v="45173"/>
    <x v="16"/>
    <x v="15"/>
    <x v="0"/>
    <x v="12"/>
    <x v="1217"/>
    <n v="87.17"/>
    <n v="2"/>
    <n v="8.7200000000000006"/>
    <x v="8"/>
    <x v="2"/>
  </r>
  <r>
    <n v="45173"/>
    <x v="16"/>
    <x v="15"/>
    <x v="0"/>
    <x v="4"/>
    <x v="311"/>
    <n v="31.74"/>
    <n v="2"/>
    <n v="8.33"/>
    <x v="8"/>
    <x v="2"/>
  </r>
  <r>
    <n v="45173"/>
    <x v="266"/>
    <x v="5"/>
    <x v="1"/>
    <x v="8"/>
    <x v="1231"/>
    <n v="42.6"/>
    <n v="3"/>
    <n v="16.61"/>
    <x v="8"/>
    <x v="2"/>
  </r>
  <r>
    <n v="45173"/>
    <x v="266"/>
    <x v="5"/>
    <x v="0"/>
    <x v="3"/>
    <x v="1135"/>
    <n v="113.94"/>
    <n v="6"/>
    <n v="54.69"/>
    <x v="8"/>
    <x v="2"/>
  </r>
  <r>
    <n v="45173"/>
    <x v="266"/>
    <x v="5"/>
    <x v="0"/>
    <x v="2"/>
    <x v="99"/>
    <n v="129.91999999999999"/>
    <n v="4"/>
    <n v="5.2"/>
    <x v="8"/>
    <x v="2"/>
  </r>
  <r>
    <n v="45173"/>
    <x v="266"/>
    <x v="5"/>
    <x v="0"/>
    <x v="4"/>
    <x v="510"/>
    <n v="5.28"/>
    <n v="3"/>
    <n v="2.5299999999999998"/>
    <x v="8"/>
    <x v="2"/>
  </r>
  <r>
    <n v="45173"/>
    <x v="132"/>
    <x v="28"/>
    <x v="0"/>
    <x v="2"/>
    <x v="168"/>
    <n v="535.41"/>
    <n v="3"/>
    <n v="160.62"/>
    <x v="8"/>
    <x v="2"/>
  </r>
  <r>
    <n v="45173"/>
    <x v="2"/>
    <x v="24"/>
    <x v="0"/>
    <x v="10"/>
    <x v="21"/>
    <n v="16.559999999999999"/>
    <n v="2"/>
    <n v="7.78"/>
    <x v="8"/>
    <x v="2"/>
  </r>
  <r>
    <n v="45173"/>
    <x v="2"/>
    <x v="24"/>
    <x v="2"/>
    <x v="9"/>
    <x v="378"/>
    <n v="279.95"/>
    <n v="5"/>
    <n v="67.19"/>
    <x v="8"/>
    <x v="2"/>
  </r>
  <r>
    <n v="45173"/>
    <x v="355"/>
    <x v="13"/>
    <x v="0"/>
    <x v="0"/>
    <x v="1437"/>
    <n v="239.5"/>
    <n v="5"/>
    <n v="114.96"/>
    <x v="8"/>
    <x v="2"/>
  </r>
  <r>
    <n v="45173"/>
    <x v="24"/>
    <x v="3"/>
    <x v="1"/>
    <x v="8"/>
    <x v="1746"/>
    <n v="24.27"/>
    <n v="3"/>
    <n v="8.74"/>
    <x v="8"/>
    <x v="2"/>
  </r>
  <r>
    <n v="45173"/>
    <x v="24"/>
    <x v="3"/>
    <x v="2"/>
    <x v="16"/>
    <x v="1252"/>
    <n v="2799.96"/>
    <n v="5"/>
    <n v="944.99"/>
    <x v="8"/>
    <x v="2"/>
  </r>
  <r>
    <n v="45174"/>
    <x v="104"/>
    <x v="2"/>
    <x v="1"/>
    <x v="8"/>
    <x v="1412"/>
    <n v="82.8"/>
    <n v="2"/>
    <n v="10.35"/>
    <x v="8"/>
    <x v="2"/>
  </r>
  <r>
    <n v="45174"/>
    <x v="500"/>
    <x v="14"/>
    <x v="1"/>
    <x v="8"/>
    <x v="462"/>
    <n v="12.22"/>
    <n v="1"/>
    <n v="3.67"/>
    <x v="8"/>
    <x v="2"/>
  </r>
  <r>
    <n v="45174"/>
    <x v="500"/>
    <x v="14"/>
    <x v="0"/>
    <x v="2"/>
    <x v="1567"/>
    <n v="194.94"/>
    <n v="3"/>
    <n v="23.39"/>
    <x v="8"/>
    <x v="2"/>
  </r>
  <r>
    <n v="45174"/>
    <x v="500"/>
    <x v="14"/>
    <x v="0"/>
    <x v="2"/>
    <x v="617"/>
    <n v="70.95"/>
    <n v="3"/>
    <n v="20.58"/>
    <x v="8"/>
    <x v="2"/>
  </r>
  <r>
    <n v="45174"/>
    <x v="500"/>
    <x v="14"/>
    <x v="0"/>
    <x v="0"/>
    <x v="1137"/>
    <n v="91.36"/>
    <n v="4"/>
    <n v="42.03"/>
    <x v="8"/>
    <x v="2"/>
  </r>
  <r>
    <n v="45174"/>
    <x v="500"/>
    <x v="14"/>
    <x v="1"/>
    <x v="5"/>
    <x v="591"/>
    <n v="242.94"/>
    <n v="3"/>
    <n v="29.15"/>
    <x v="8"/>
    <x v="2"/>
  </r>
  <r>
    <n v="45174"/>
    <x v="500"/>
    <x v="14"/>
    <x v="0"/>
    <x v="1"/>
    <x v="1090"/>
    <n v="22.05"/>
    <n v="7"/>
    <n v="10.58"/>
    <x v="8"/>
    <x v="2"/>
  </r>
  <r>
    <n v="45174"/>
    <x v="546"/>
    <x v="30"/>
    <x v="2"/>
    <x v="6"/>
    <x v="446"/>
    <n v="278.39999999999998"/>
    <n v="3"/>
    <n v="80.739999999999995"/>
    <x v="8"/>
    <x v="2"/>
  </r>
  <r>
    <n v="45174"/>
    <x v="671"/>
    <x v="42"/>
    <x v="0"/>
    <x v="4"/>
    <x v="1341"/>
    <n v="107.94"/>
    <n v="3"/>
    <n v="26.99"/>
    <x v="8"/>
    <x v="2"/>
  </r>
  <r>
    <n v="45174"/>
    <x v="278"/>
    <x v="0"/>
    <x v="1"/>
    <x v="5"/>
    <x v="478"/>
    <n v="347.8"/>
    <n v="7"/>
    <n v="-24.84"/>
    <x v="8"/>
    <x v="2"/>
  </r>
  <r>
    <n v="45174"/>
    <x v="44"/>
    <x v="3"/>
    <x v="2"/>
    <x v="9"/>
    <x v="1065"/>
    <n v="116"/>
    <n v="8"/>
    <n v="29"/>
    <x v="8"/>
    <x v="2"/>
  </r>
  <r>
    <n v="45174"/>
    <x v="29"/>
    <x v="2"/>
    <x v="0"/>
    <x v="3"/>
    <x v="212"/>
    <n v="9.56"/>
    <n v="5"/>
    <n v="-7.33"/>
    <x v="8"/>
    <x v="2"/>
  </r>
  <r>
    <n v="45174"/>
    <x v="406"/>
    <x v="15"/>
    <x v="0"/>
    <x v="10"/>
    <x v="21"/>
    <n v="23.47"/>
    <n v="3"/>
    <n v="7.63"/>
    <x v="8"/>
    <x v="2"/>
  </r>
  <r>
    <n v="45174"/>
    <x v="406"/>
    <x v="15"/>
    <x v="0"/>
    <x v="3"/>
    <x v="209"/>
    <n v="86.06"/>
    <n v="7"/>
    <n v="-63.11"/>
    <x v="8"/>
    <x v="2"/>
  </r>
  <r>
    <n v="45174"/>
    <x v="406"/>
    <x v="15"/>
    <x v="2"/>
    <x v="6"/>
    <x v="418"/>
    <n v="108.78"/>
    <n v="2"/>
    <n v="6.8"/>
    <x v="8"/>
    <x v="2"/>
  </r>
  <r>
    <n v="45174"/>
    <x v="406"/>
    <x v="15"/>
    <x v="0"/>
    <x v="0"/>
    <x v="127"/>
    <n v="10.27"/>
    <n v="3"/>
    <n v="3.21"/>
    <x v="8"/>
    <x v="2"/>
  </r>
  <r>
    <n v="45174"/>
    <x v="292"/>
    <x v="0"/>
    <x v="0"/>
    <x v="12"/>
    <x v="1551"/>
    <n v="62.79"/>
    <n v="3"/>
    <n v="-166.39"/>
    <x v="8"/>
    <x v="2"/>
  </r>
  <r>
    <n v="45174"/>
    <x v="292"/>
    <x v="0"/>
    <x v="0"/>
    <x v="7"/>
    <x v="961"/>
    <n v="28.44"/>
    <n v="9"/>
    <n v="4.2699999999999996"/>
    <x v="8"/>
    <x v="2"/>
  </r>
  <r>
    <n v="45174"/>
    <x v="343"/>
    <x v="3"/>
    <x v="0"/>
    <x v="0"/>
    <x v="1747"/>
    <n v="96.08"/>
    <n v="2"/>
    <n v="46.12"/>
    <x v="8"/>
    <x v="2"/>
  </r>
  <r>
    <n v="45174"/>
    <x v="343"/>
    <x v="3"/>
    <x v="0"/>
    <x v="3"/>
    <x v="772"/>
    <n v="11.68"/>
    <n v="2"/>
    <n v="3.94"/>
    <x v="8"/>
    <x v="2"/>
  </r>
  <r>
    <n v="45174"/>
    <x v="343"/>
    <x v="3"/>
    <x v="0"/>
    <x v="7"/>
    <x v="590"/>
    <n v="4.3600000000000003"/>
    <n v="2"/>
    <n v="1.79"/>
    <x v="8"/>
    <x v="2"/>
  </r>
  <r>
    <n v="45174"/>
    <x v="286"/>
    <x v="0"/>
    <x v="0"/>
    <x v="0"/>
    <x v="1382"/>
    <n v="25.92"/>
    <n v="5"/>
    <n v="9.07"/>
    <x v="8"/>
    <x v="2"/>
  </r>
  <r>
    <n v="45174"/>
    <x v="286"/>
    <x v="0"/>
    <x v="0"/>
    <x v="7"/>
    <x v="78"/>
    <n v="15.81"/>
    <n v="8"/>
    <n v="5.34"/>
    <x v="8"/>
    <x v="2"/>
  </r>
  <r>
    <n v="45174"/>
    <x v="286"/>
    <x v="0"/>
    <x v="0"/>
    <x v="0"/>
    <x v="1595"/>
    <n v="10.37"/>
    <n v="2"/>
    <n v="3.76"/>
    <x v="8"/>
    <x v="2"/>
  </r>
  <r>
    <n v="45174"/>
    <x v="20"/>
    <x v="20"/>
    <x v="0"/>
    <x v="0"/>
    <x v="1086"/>
    <n v="192.16"/>
    <n v="4"/>
    <n v="92.24"/>
    <x v="8"/>
    <x v="2"/>
  </r>
  <r>
    <n v="45174"/>
    <x v="397"/>
    <x v="0"/>
    <x v="0"/>
    <x v="2"/>
    <x v="945"/>
    <n v="93.46"/>
    <n v="3"/>
    <n v="-17.52"/>
    <x v="8"/>
    <x v="2"/>
  </r>
  <r>
    <n v="45174"/>
    <x v="13"/>
    <x v="6"/>
    <x v="0"/>
    <x v="1"/>
    <x v="1433"/>
    <n v="25.06"/>
    <n v="2"/>
    <n v="11.78"/>
    <x v="8"/>
    <x v="2"/>
  </r>
  <r>
    <n v="45174"/>
    <x v="13"/>
    <x v="6"/>
    <x v="1"/>
    <x v="13"/>
    <x v="473"/>
    <n v="1652.94"/>
    <n v="3"/>
    <n v="314.06"/>
    <x v="8"/>
    <x v="2"/>
  </r>
  <r>
    <n v="45174"/>
    <x v="720"/>
    <x v="1"/>
    <x v="0"/>
    <x v="0"/>
    <x v="1515"/>
    <n v="9.25"/>
    <n v="2"/>
    <n v="3.35"/>
    <x v="8"/>
    <x v="2"/>
  </r>
  <r>
    <n v="45174"/>
    <x v="496"/>
    <x v="10"/>
    <x v="0"/>
    <x v="3"/>
    <x v="1171"/>
    <n v="8.9499999999999993"/>
    <n v="2"/>
    <n v="-7.46"/>
    <x v="8"/>
    <x v="2"/>
  </r>
  <r>
    <n v="45174"/>
    <x v="496"/>
    <x v="10"/>
    <x v="0"/>
    <x v="3"/>
    <x v="1058"/>
    <n v="8.86"/>
    <n v="6"/>
    <n v="-6.49"/>
    <x v="8"/>
    <x v="2"/>
  </r>
  <r>
    <n v="45174"/>
    <x v="496"/>
    <x v="10"/>
    <x v="1"/>
    <x v="5"/>
    <x v="142"/>
    <n v="85.25"/>
    <n v="2"/>
    <n v="-1.22"/>
    <x v="8"/>
    <x v="2"/>
  </r>
  <r>
    <n v="45174"/>
    <x v="551"/>
    <x v="0"/>
    <x v="1"/>
    <x v="8"/>
    <x v="837"/>
    <n v="21.2"/>
    <n v="3"/>
    <n v="-11.66"/>
    <x v="8"/>
    <x v="2"/>
  </r>
  <r>
    <n v="45174"/>
    <x v="622"/>
    <x v="2"/>
    <x v="1"/>
    <x v="8"/>
    <x v="1746"/>
    <n v="58.25"/>
    <n v="9"/>
    <n v="11.65"/>
    <x v="8"/>
    <x v="2"/>
  </r>
  <r>
    <n v="45174"/>
    <x v="622"/>
    <x v="2"/>
    <x v="1"/>
    <x v="5"/>
    <x v="1748"/>
    <n v="71.25"/>
    <n v="2"/>
    <n v="-19.34"/>
    <x v="8"/>
    <x v="2"/>
  </r>
  <r>
    <n v="45174"/>
    <x v="622"/>
    <x v="2"/>
    <x v="0"/>
    <x v="4"/>
    <x v="658"/>
    <n v="7.87"/>
    <n v="3"/>
    <n v="0.59"/>
    <x v="8"/>
    <x v="2"/>
  </r>
  <r>
    <n v="45174"/>
    <x v="622"/>
    <x v="2"/>
    <x v="1"/>
    <x v="5"/>
    <x v="1333"/>
    <n v="887.27"/>
    <n v="3"/>
    <n v="-63.38"/>
    <x v="8"/>
    <x v="2"/>
  </r>
  <r>
    <n v="45174"/>
    <x v="623"/>
    <x v="20"/>
    <x v="2"/>
    <x v="6"/>
    <x v="383"/>
    <n v="43.6"/>
    <n v="4"/>
    <n v="12.21"/>
    <x v="8"/>
    <x v="2"/>
  </r>
  <r>
    <n v="45175"/>
    <x v="727"/>
    <x v="28"/>
    <x v="0"/>
    <x v="12"/>
    <x v="857"/>
    <n v="77.88"/>
    <n v="6"/>
    <n v="22.59"/>
    <x v="8"/>
    <x v="2"/>
  </r>
  <r>
    <n v="45175"/>
    <x v="541"/>
    <x v="20"/>
    <x v="2"/>
    <x v="9"/>
    <x v="1594"/>
    <n v="31.86"/>
    <n v="2"/>
    <n v="11.15"/>
    <x v="8"/>
    <x v="2"/>
  </r>
  <r>
    <n v="45175"/>
    <x v="541"/>
    <x v="20"/>
    <x v="1"/>
    <x v="11"/>
    <x v="1248"/>
    <n v="722.35"/>
    <n v="3"/>
    <n v="90.29"/>
    <x v="8"/>
    <x v="2"/>
  </r>
  <r>
    <n v="45175"/>
    <x v="366"/>
    <x v="25"/>
    <x v="0"/>
    <x v="10"/>
    <x v="1494"/>
    <n v="95.95"/>
    <n v="3"/>
    <n v="29.99"/>
    <x v="8"/>
    <x v="2"/>
  </r>
  <r>
    <n v="45175"/>
    <x v="366"/>
    <x v="25"/>
    <x v="0"/>
    <x v="3"/>
    <x v="105"/>
    <n v="3.2"/>
    <n v="2"/>
    <n v="-2.46"/>
    <x v="8"/>
    <x v="2"/>
  </r>
  <r>
    <n v="45175"/>
    <x v="100"/>
    <x v="0"/>
    <x v="0"/>
    <x v="2"/>
    <x v="1369"/>
    <n v="10.78"/>
    <n v="1"/>
    <n v="0.81"/>
    <x v="8"/>
    <x v="2"/>
  </r>
  <r>
    <n v="45175"/>
    <x v="515"/>
    <x v="0"/>
    <x v="0"/>
    <x v="0"/>
    <x v="800"/>
    <n v="41.92"/>
    <n v="4"/>
    <n v="15.2"/>
    <x v="8"/>
    <x v="2"/>
  </r>
  <r>
    <n v="45175"/>
    <x v="515"/>
    <x v="0"/>
    <x v="2"/>
    <x v="6"/>
    <x v="1749"/>
    <n v="329.58"/>
    <n v="2"/>
    <n v="37.08"/>
    <x v="8"/>
    <x v="2"/>
  </r>
  <r>
    <n v="45177"/>
    <x v="643"/>
    <x v="0"/>
    <x v="0"/>
    <x v="2"/>
    <x v="1677"/>
    <n v="35.950000000000003"/>
    <n v="3"/>
    <n v="3.6"/>
    <x v="8"/>
    <x v="2"/>
  </r>
  <r>
    <n v="45177"/>
    <x v="643"/>
    <x v="0"/>
    <x v="1"/>
    <x v="11"/>
    <x v="1483"/>
    <n v="2396.27"/>
    <n v="4"/>
    <n v="-317.14999999999998"/>
    <x v="8"/>
    <x v="2"/>
  </r>
  <r>
    <n v="45177"/>
    <x v="643"/>
    <x v="0"/>
    <x v="0"/>
    <x v="2"/>
    <x v="147"/>
    <n v="131.13999999999999"/>
    <n v="4"/>
    <n v="-32.78"/>
    <x v="8"/>
    <x v="2"/>
  </r>
  <r>
    <n v="45177"/>
    <x v="643"/>
    <x v="0"/>
    <x v="2"/>
    <x v="9"/>
    <x v="530"/>
    <n v="57.58"/>
    <n v="2"/>
    <n v="0.72"/>
    <x v="8"/>
    <x v="2"/>
  </r>
  <r>
    <n v="45177"/>
    <x v="139"/>
    <x v="3"/>
    <x v="0"/>
    <x v="3"/>
    <x v="739"/>
    <n v="33.020000000000003"/>
    <n v="2"/>
    <n v="11.56"/>
    <x v="8"/>
    <x v="2"/>
  </r>
  <r>
    <n v="45177"/>
    <x v="139"/>
    <x v="3"/>
    <x v="0"/>
    <x v="3"/>
    <x v="702"/>
    <n v="67.14"/>
    <n v="4"/>
    <n v="23.5"/>
    <x v="8"/>
    <x v="2"/>
  </r>
  <r>
    <n v="45177"/>
    <x v="64"/>
    <x v="32"/>
    <x v="1"/>
    <x v="11"/>
    <x v="1590"/>
    <n v="173.94"/>
    <n v="3"/>
    <n v="13.92"/>
    <x v="8"/>
    <x v="2"/>
  </r>
  <r>
    <n v="45177"/>
    <x v="64"/>
    <x v="32"/>
    <x v="0"/>
    <x v="1"/>
    <x v="1092"/>
    <n v="14.76"/>
    <n v="4"/>
    <n v="6.94"/>
    <x v="8"/>
    <x v="2"/>
  </r>
  <r>
    <n v="45177"/>
    <x v="145"/>
    <x v="1"/>
    <x v="1"/>
    <x v="8"/>
    <x v="837"/>
    <n v="14.14"/>
    <n v="2"/>
    <n v="-7.77"/>
    <x v="8"/>
    <x v="2"/>
  </r>
  <r>
    <n v="45177"/>
    <x v="145"/>
    <x v="1"/>
    <x v="1"/>
    <x v="13"/>
    <x v="748"/>
    <n v="601.47"/>
    <n v="3"/>
    <n v="-300.74"/>
    <x v="8"/>
    <x v="2"/>
  </r>
  <r>
    <n v="45177"/>
    <x v="53"/>
    <x v="20"/>
    <x v="0"/>
    <x v="12"/>
    <x v="1335"/>
    <n v="207.48"/>
    <n v="1"/>
    <n v="62.24"/>
    <x v="8"/>
    <x v="2"/>
  </r>
  <r>
    <n v="45177"/>
    <x v="127"/>
    <x v="0"/>
    <x v="0"/>
    <x v="4"/>
    <x v="487"/>
    <n v="70.37"/>
    <n v="2"/>
    <n v="6.16"/>
    <x v="8"/>
    <x v="2"/>
  </r>
  <r>
    <n v="45177"/>
    <x v="127"/>
    <x v="0"/>
    <x v="2"/>
    <x v="6"/>
    <x v="1456"/>
    <n v="59.96"/>
    <n v="5"/>
    <n v="21.74"/>
    <x v="8"/>
    <x v="2"/>
  </r>
  <r>
    <n v="45177"/>
    <x v="747"/>
    <x v="25"/>
    <x v="2"/>
    <x v="9"/>
    <x v="786"/>
    <n v="35.17"/>
    <n v="4"/>
    <n v="8.35"/>
    <x v="8"/>
    <x v="2"/>
  </r>
  <r>
    <n v="45177"/>
    <x v="747"/>
    <x v="25"/>
    <x v="0"/>
    <x v="0"/>
    <x v="1415"/>
    <n v="64.7"/>
    <n v="3"/>
    <n v="23.46"/>
    <x v="8"/>
    <x v="2"/>
  </r>
  <r>
    <n v="45177"/>
    <x v="137"/>
    <x v="3"/>
    <x v="1"/>
    <x v="13"/>
    <x v="953"/>
    <n v="146.04"/>
    <n v="1"/>
    <n v="-12.78"/>
    <x v="8"/>
    <x v="2"/>
  </r>
  <r>
    <n v="45177"/>
    <x v="546"/>
    <x v="22"/>
    <x v="1"/>
    <x v="8"/>
    <x v="562"/>
    <n v="43.13"/>
    <n v="1"/>
    <n v="14.66"/>
    <x v="8"/>
    <x v="2"/>
  </r>
  <r>
    <n v="45177"/>
    <x v="546"/>
    <x v="22"/>
    <x v="0"/>
    <x v="0"/>
    <x v="1287"/>
    <n v="30.87"/>
    <n v="7"/>
    <n v="14.2"/>
    <x v="8"/>
    <x v="2"/>
  </r>
  <r>
    <n v="45177"/>
    <x v="760"/>
    <x v="3"/>
    <x v="0"/>
    <x v="4"/>
    <x v="222"/>
    <n v="14.88"/>
    <n v="2"/>
    <n v="3.72"/>
    <x v="8"/>
    <x v="2"/>
  </r>
  <r>
    <n v="45177"/>
    <x v="760"/>
    <x v="3"/>
    <x v="0"/>
    <x v="0"/>
    <x v="829"/>
    <n v="34.24"/>
    <n v="8"/>
    <n v="15.41"/>
    <x v="8"/>
    <x v="2"/>
  </r>
  <r>
    <n v="45177"/>
    <x v="760"/>
    <x v="3"/>
    <x v="0"/>
    <x v="2"/>
    <x v="1575"/>
    <n v="261.74"/>
    <n v="2"/>
    <n v="65.44"/>
    <x v="8"/>
    <x v="2"/>
  </r>
  <r>
    <n v="45178"/>
    <x v="350"/>
    <x v="20"/>
    <x v="0"/>
    <x v="3"/>
    <x v="997"/>
    <n v="14.62"/>
    <n v="2"/>
    <n v="5.48"/>
    <x v="8"/>
    <x v="2"/>
  </r>
  <r>
    <n v="45178"/>
    <x v="372"/>
    <x v="3"/>
    <x v="0"/>
    <x v="3"/>
    <x v="98"/>
    <n v="55.36"/>
    <n v="4"/>
    <n v="18.68"/>
    <x v="8"/>
    <x v="2"/>
  </r>
  <r>
    <n v="45178"/>
    <x v="474"/>
    <x v="0"/>
    <x v="1"/>
    <x v="8"/>
    <x v="1278"/>
    <n v="15.01"/>
    <n v="4"/>
    <n v="-12.01"/>
    <x v="8"/>
    <x v="2"/>
  </r>
  <r>
    <n v="45179"/>
    <x v="672"/>
    <x v="20"/>
    <x v="0"/>
    <x v="2"/>
    <x v="1750"/>
    <n v="59.48"/>
    <n v="2"/>
    <n v="8.92"/>
    <x v="8"/>
    <x v="2"/>
  </r>
  <r>
    <n v="45179"/>
    <x v="672"/>
    <x v="20"/>
    <x v="0"/>
    <x v="0"/>
    <x v="1089"/>
    <n v="6.69"/>
    <n v="1"/>
    <n v="3.08"/>
    <x v="8"/>
    <x v="2"/>
  </r>
  <r>
    <n v="45179"/>
    <x v="651"/>
    <x v="15"/>
    <x v="0"/>
    <x v="4"/>
    <x v="1398"/>
    <n v="67.56"/>
    <n v="3"/>
    <n v="8.4499999999999993"/>
    <x v="8"/>
    <x v="2"/>
  </r>
  <r>
    <n v="45179"/>
    <x v="73"/>
    <x v="0"/>
    <x v="1"/>
    <x v="13"/>
    <x v="278"/>
    <n v="300.93"/>
    <n v="5"/>
    <n v="-34.39"/>
    <x v="8"/>
    <x v="2"/>
  </r>
  <r>
    <n v="45179"/>
    <x v="73"/>
    <x v="0"/>
    <x v="2"/>
    <x v="6"/>
    <x v="570"/>
    <n v="719.96"/>
    <n v="5"/>
    <n v="54"/>
    <x v="8"/>
    <x v="2"/>
  </r>
  <r>
    <n v="45179"/>
    <x v="571"/>
    <x v="16"/>
    <x v="2"/>
    <x v="6"/>
    <x v="446"/>
    <n v="519.67999999999995"/>
    <n v="7"/>
    <n v="58.46"/>
    <x v="8"/>
    <x v="2"/>
  </r>
  <r>
    <n v="45179"/>
    <x v="741"/>
    <x v="22"/>
    <x v="0"/>
    <x v="1"/>
    <x v="1165"/>
    <n v="7.38"/>
    <n v="2"/>
    <n v="3.47"/>
    <x v="8"/>
    <x v="2"/>
  </r>
  <r>
    <n v="45179"/>
    <x v="741"/>
    <x v="22"/>
    <x v="0"/>
    <x v="3"/>
    <x v="56"/>
    <n v="14.26"/>
    <n v="3"/>
    <n v="4.46"/>
    <x v="8"/>
    <x v="2"/>
  </r>
  <r>
    <n v="45179"/>
    <x v="741"/>
    <x v="22"/>
    <x v="0"/>
    <x v="0"/>
    <x v="290"/>
    <n v="81.98"/>
    <n v="2"/>
    <n v="40.17"/>
    <x v="8"/>
    <x v="2"/>
  </r>
  <r>
    <n v="45179"/>
    <x v="741"/>
    <x v="22"/>
    <x v="0"/>
    <x v="3"/>
    <x v="1386"/>
    <n v="39.619999999999997"/>
    <n v="3"/>
    <n v="13.87"/>
    <x v="8"/>
    <x v="2"/>
  </r>
  <r>
    <n v="45179"/>
    <x v="265"/>
    <x v="3"/>
    <x v="0"/>
    <x v="3"/>
    <x v="1644"/>
    <n v="276.77999999999997"/>
    <n v="2"/>
    <n v="89.95"/>
    <x v="8"/>
    <x v="2"/>
  </r>
  <r>
    <n v="45180"/>
    <x v="708"/>
    <x v="3"/>
    <x v="0"/>
    <x v="0"/>
    <x v="605"/>
    <n v="7.61"/>
    <n v="1"/>
    <n v="3.58"/>
    <x v="8"/>
    <x v="2"/>
  </r>
  <r>
    <n v="45180"/>
    <x v="708"/>
    <x v="3"/>
    <x v="2"/>
    <x v="9"/>
    <x v="1044"/>
    <n v="3347.37"/>
    <n v="13"/>
    <n v="636"/>
    <x v="8"/>
    <x v="2"/>
  </r>
  <r>
    <n v="45180"/>
    <x v="186"/>
    <x v="2"/>
    <x v="0"/>
    <x v="0"/>
    <x v="74"/>
    <n v="8.4499999999999993"/>
    <n v="2"/>
    <n v="2.64"/>
    <x v="8"/>
    <x v="2"/>
  </r>
  <r>
    <n v="45180"/>
    <x v="186"/>
    <x v="2"/>
    <x v="2"/>
    <x v="6"/>
    <x v="197"/>
    <n v="728.95"/>
    <n v="9"/>
    <n v="-157.94"/>
    <x v="8"/>
    <x v="2"/>
  </r>
  <r>
    <n v="45180"/>
    <x v="327"/>
    <x v="10"/>
    <x v="0"/>
    <x v="3"/>
    <x v="461"/>
    <n v="22.43"/>
    <n v="3"/>
    <n v="-17.940000000000001"/>
    <x v="8"/>
    <x v="2"/>
  </r>
  <r>
    <n v="45180"/>
    <x v="327"/>
    <x v="10"/>
    <x v="0"/>
    <x v="2"/>
    <x v="163"/>
    <n v="37.520000000000003"/>
    <n v="5"/>
    <n v="3.75"/>
    <x v="8"/>
    <x v="2"/>
  </r>
  <r>
    <n v="45180"/>
    <x v="453"/>
    <x v="6"/>
    <x v="2"/>
    <x v="16"/>
    <x v="1308"/>
    <n v="1599.92"/>
    <n v="8"/>
    <n v="751.96"/>
    <x v="8"/>
    <x v="2"/>
  </r>
  <r>
    <n v="45180"/>
    <x v="453"/>
    <x v="6"/>
    <x v="0"/>
    <x v="10"/>
    <x v="1658"/>
    <n v="11.09"/>
    <n v="1"/>
    <n v="5.43"/>
    <x v="8"/>
    <x v="2"/>
  </r>
  <r>
    <n v="45180"/>
    <x v="632"/>
    <x v="3"/>
    <x v="0"/>
    <x v="2"/>
    <x v="1020"/>
    <n v="332.94"/>
    <n v="3"/>
    <n v="6.66"/>
    <x v="8"/>
    <x v="2"/>
  </r>
  <r>
    <n v="45180"/>
    <x v="632"/>
    <x v="3"/>
    <x v="0"/>
    <x v="3"/>
    <x v="461"/>
    <n v="39.869999999999997"/>
    <n v="2"/>
    <n v="12.96"/>
    <x v="8"/>
    <x v="2"/>
  </r>
  <r>
    <n v="45180"/>
    <x v="335"/>
    <x v="42"/>
    <x v="2"/>
    <x v="6"/>
    <x v="419"/>
    <n v="224.75"/>
    <n v="5"/>
    <n v="62.93"/>
    <x v="8"/>
    <x v="2"/>
  </r>
  <r>
    <n v="45180"/>
    <x v="423"/>
    <x v="1"/>
    <x v="0"/>
    <x v="1"/>
    <x v="228"/>
    <n v="6"/>
    <n v="2"/>
    <n v="2.1"/>
    <x v="8"/>
    <x v="2"/>
  </r>
  <r>
    <n v="45180"/>
    <x v="423"/>
    <x v="1"/>
    <x v="0"/>
    <x v="3"/>
    <x v="740"/>
    <n v="1.91"/>
    <n v="3"/>
    <n v="-3.24"/>
    <x v="8"/>
    <x v="2"/>
  </r>
  <r>
    <n v="45180"/>
    <x v="49"/>
    <x v="12"/>
    <x v="0"/>
    <x v="4"/>
    <x v="1559"/>
    <n v="2.91"/>
    <n v="2"/>
    <n v="0.91"/>
    <x v="8"/>
    <x v="2"/>
  </r>
  <r>
    <n v="45180"/>
    <x v="49"/>
    <x v="12"/>
    <x v="0"/>
    <x v="0"/>
    <x v="723"/>
    <n v="20.74"/>
    <n v="4"/>
    <n v="7.26"/>
    <x v="8"/>
    <x v="2"/>
  </r>
  <r>
    <n v="45180"/>
    <x v="49"/>
    <x v="12"/>
    <x v="0"/>
    <x v="0"/>
    <x v="689"/>
    <n v="9.57"/>
    <n v="2"/>
    <n v="2.99"/>
    <x v="8"/>
    <x v="2"/>
  </r>
  <r>
    <n v="45180"/>
    <x v="361"/>
    <x v="0"/>
    <x v="0"/>
    <x v="10"/>
    <x v="323"/>
    <n v="99.57"/>
    <n v="2"/>
    <n v="33.6"/>
    <x v="8"/>
    <x v="2"/>
  </r>
  <r>
    <n v="45181"/>
    <x v="624"/>
    <x v="26"/>
    <x v="1"/>
    <x v="8"/>
    <x v="283"/>
    <n v="15.14"/>
    <n v="4"/>
    <n v="3.59"/>
    <x v="8"/>
    <x v="2"/>
  </r>
  <r>
    <n v="45181"/>
    <x v="624"/>
    <x v="26"/>
    <x v="1"/>
    <x v="5"/>
    <x v="1283"/>
    <n v="466.77"/>
    <n v="2"/>
    <n v="52.51"/>
    <x v="8"/>
    <x v="2"/>
  </r>
  <r>
    <n v="45181"/>
    <x v="624"/>
    <x v="26"/>
    <x v="1"/>
    <x v="8"/>
    <x v="169"/>
    <n v="15.23"/>
    <n v="1"/>
    <n v="1.71"/>
    <x v="8"/>
    <x v="2"/>
  </r>
  <r>
    <n v="45181"/>
    <x v="624"/>
    <x v="26"/>
    <x v="0"/>
    <x v="1"/>
    <x v="1116"/>
    <n v="6.26"/>
    <n v="3"/>
    <n v="2.04"/>
    <x v="8"/>
    <x v="2"/>
  </r>
  <r>
    <n v="45181"/>
    <x v="582"/>
    <x v="22"/>
    <x v="0"/>
    <x v="7"/>
    <x v="995"/>
    <n v="10.47"/>
    <n v="3"/>
    <n v="4.82"/>
    <x v="8"/>
    <x v="2"/>
  </r>
  <r>
    <n v="45181"/>
    <x v="582"/>
    <x v="22"/>
    <x v="0"/>
    <x v="1"/>
    <x v="1165"/>
    <n v="11.07"/>
    <n v="3"/>
    <n v="5.2"/>
    <x v="8"/>
    <x v="2"/>
  </r>
  <r>
    <n v="45181"/>
    <x v="582"/>
    <x v="22"/>
    <x v="0"/>
    <x v="3"/>
    <x v="871"/>
    <n v="20.7"/>
    <n v="4"/>
    <n v="7.76"/>
    <x v="8"/>
    <x v="2"/>
  </r>
  <r>
    <n v="45181"/>
    <x v="202"/>
    <x v="6"/>
    <x v="2"/>
    <x v="9"/>
    <x v="162"/>
    <n v="20.7"/>
    <n v="3"/>
    <n v="1.66"/>
    <x v="8"/>
    <x v="2"/>
  </r>
  <r>
    <n v="45181"/>
    <x v="202"/>
    <x v="6"/>
    <x v="0"/>
    <x v="7"/>
    <x v="78"/>
    <n v="11.34"/>
    <n v="3"/>
    <n v="5.22"/>
    <x v="8"/>
    <x v="2"/>
  </r>
  <r>
    <n v="45181"/>
    <x v="202"/>
    <x v="6"/>
    <x v="0"/>
    <x v="2"/>
    <x v="1160"/>
    <n v="67.900000000000006"/>
    <n v="5"/>
    <n v="0.68"/>
    <x v="8"/>
    <x v="2"/>
  </r>
  <r>
    <n v="45181"/>
    <x v="202"/>
    <x v="6"/>
    <x v="1"/>
    <x v="5"/>
    <x v="1528"/>
    <n v="1059.1199999999999"/>
    <n v="4"/>
    <n v="307.14"/>
    <x v="8"/>
    <x v="2"/>
  </r>
  <r>
    <n v="45181"/>
    <x v="571"/>
    <x v="14"/>
    <x v="0"/>
    <x v="0"/>
    <x v="1226"/>
    <n v="68.52"/>
    <n v="3"/>
    <n v="31.52"/>
    <x v="8"/>
    <x v="2"/>
  </r>
  <r>
    <n v="45181"/>
    <x v="675"/>
    <x v="26"/>
    <x v="2"/>
    <x v="6"/>
    <x v="1120"/>
    <n v="146.94999999999999"/>
    <n v="3"/>
    <n v="9.18"/>
    <x v="8"/>
    <x v="2"/>
  </r>
  <r>
    <n v="45181"/>
    <x v="675"/>
    <x v="26"/>
    <x v="1"/>
    <x v="5"/>
    <x v="241"/>
    <n v="83.14"/>
    <n v="4"/>
    <n v="5.2"/>
    <x v="8"/>
    <x v="2"/>
  </r>
  <r>
    <n v="45181"/>
    <x v="212"/>
    <x v="20"/>
    <x v="1"/>
    <x v="8"/>
    <x v="220"/>
    <n v="40.479999999999997"/>
    <n v="2"/>
    <n v="14.57"/>
    <x v="8"/>
    <x v="2"/>
  </r>
  <r>
    <n v="45182"/>
    <x v="199"/>
    <x v="40"/>
    <x v="0"/>
    <x v="2"/>
    <x v="1160"/>
    <n v="40.74"/>
    <n v="3"/>
    <n v="0.41"/>
    <x v="8"/>
    <x v="2"/>
  </r>
  <r>
    <n v="45182"/>
    <x v="199"/>
    <x v="40"/>
    <x v="0"/>
    <x v="1"/>
    <x v="564"/>
    <n v="14.4"/>
    <n v="5"/>
    <n v="7.06"/>
    <x v="8"/>
    <x v="2"/>
  </r>
  <r>
    <n v="45182"/>
    <x v="199"/>
    <x v="40"/>
    <x v="2"/>
    <x v="6"/>
    <x v="1109"/>
    <n v="149.94999999999999"/>
    <n v="5"/>
    <n v="41.99"/>
    <x v="8"/>
    <x v="2"/>
  </r>
  <r>
    <n v="45182"/>
    <x v="199"/>
    <x v="40"/>
    <x v="0"/>
    <x v="14"/>
    <x v="1486"/>
    <n v="16.899999999999999"/>
    <n v="2"/>
    <n v="5.07"/>
    <x v="8"/>
    <x v="2"/>
  </r>
  <r>
    <n v="45182"/>
    <x v="199"/>
    <x v="40"/>
    <x v="0"/>
    <x v="0"/>
    <x v="1357"/>
    <n v="17.61"/>
    <n v="3"/>
    <n v="8.4499999999999993"/>
    <x v="8"/>
    <x v="2"/>
  </r>
  <r>
    <n v="45182"/>
    <x v="199"/>
    <x v="40"/>
    <x v="0"/>
    <x v="12"/>
    <x v="427"/>
    <n v="378"/>
    <n v="2"/>
    <n v="136.08000000000001"/>
    <x v="8"/>
    <x v="2"/>
  </r>
  <r>
    <n v="45182"/>
    <x v="199"/>
    <x v="40"/>
    <x v="0"/>
    <x v="0"/>
    <x v="903"/>
    <n v="17.64"/>
    <n v="3"/>
    <n v="8.64"/>
    <x v="8"/>
    <x v="2"/>
  </r>
  <r>
    <n v="45182"/>
    <x v="199"/>
    <x v="40"/>
    <x v="0"/>
    <x v="2"/>
    <x v="892"/>
    <n v="373.08"/>
    <n v="6"/>
    <n v="100.73"/>
    <x v="8"/>
    <x v="2"/>
  </r>
  <r>
    <n v="45182"/>
    <x v="199"/>
    <x v="40"/>
    <x v="1"/>
    <x v="8"/>
    <x v="1751"/>
    <n v="1336.44"/>
    <n v="14"/>
    <n v="387.57"/>
    <x v="8"/>
    <x v="2"/>
  </r>
  <r>
    <n v="45182"/>
    <x v="199"/>
    <x v="40"/>
    <x v="2"/>
    <x v="6"/>
    <x v="1201"/>
    <n v="29.97"/>
    <n v="3"/>
    <n v="0.3"/>
    <x v="8"/>
    <x v="2"/>
  </r>
  <r>
    <n v="45183"/>
    <x v="672"/>
    <x v="9"/>
    <x v="0"/>
    <x v="0"/>
    <x v="300"/>
    <n v="25.92"/>
    <n v="4"/>
    <n v="12.44"/>
    <x v="8"/>
    <x v="2"/>
  </r>
  <r>
    <n v="45183"/>
    <x v="68"/>
    <x v="20"/>
    <x v="2"/>
    <x v="6"/>
    <x v="1157"/>
    <n v="437.85"/>
    <n v="3"/>
    <n v="131.36000000000001"/>
    <x v="8"/>
    <x v="2"/>
  </r>
  <r>
    <n v="45183"/>
    <x v="68"/>
    <x v="20"/>
    <x v="0"/>
    <x v="3"/>
    <x v="243"/>
    <n v="673.57"/>
    <n v="2"/>
    <n v="252.59"/>
    <x v="8"/>
    <x v="2"/>
  </r>
  <r>
    <n v="45184"/>
    <x v="622"/>
    <x v="2"/>
    <x v="0"/>
    <x v="0"/>
    <x v="1752"/>
    <n v="5.34"/>
    <n v="1"/>
    <n v="1.87"/>
    <x v="8"/>
    <x v="2"/>
  </r>
  <r>
    <n v="45184"/>
    <x v="512"/>
    <x v="20"/>
    <x v="0"/>
    <x v="3"/>
    <x v="1140"/>
    <n v="841.57"/>
    <n v="2"/>
    <n v="294.55"/>
    <x v="8"/>
    <x v="2"/>
  </r>
  <r>
    <n v="45184"/>
    <x v="751"/>
    <x v="22"/>
    <x v="0"/>
    <x v="0"/>
    <x v="1663"/>
    <n v="21.4"/>
    <n v="5"/>
    <n v="10.06"/>
    <x v="8"/>
    <x v="2"/>
  </r>
  <r>
    <n v="45184"/>
    <x v="751"/>
    <x v="22"/>
    <x v="0"/>
    <x v="3"/>
    <x v="592"/>
    <n v="48.66"/>
    <n v="7"/>
    <n v="15.82"/>
    <x v="8"/>
    <x v="2"/>
  </r>
  <r>
    <n v="45184"/>
    <x v="514"/>
    <x v="34"/>
    <x v="0"/>
    <x v="3"/>
    <x v="405"/>
    <n v="20.420000000000002"/>
    <n v="4"/>
    <n v="6.64"/>
    <x v="8"/>
    <x v="2"/>
  </r>
  <r>
    <n v="45184"/>
    <x v="514"/>
    <x v="34"/>
    <x v="1"/>
    <x v="13"/>
    <x v="177"/>
    <n v="1128.3900000000001"/>
    <n v="3"/>
    <n v="259.52999999999997"/>
    <x v="8"/>
    <x v="2"/>
  </r>
  <r>
    <n v="45184"/>
    <x v="475"/>
    <x v="22"/>
    <x v="0"/>
    <x v="4"/>
    <x v="760"/>
    <n v="35.4"/>
    <n v="5"/>
    <n v="13.45"/>
    <x v="8"/>
    <x v="2"/>
  </r>
  <r>
    <n v="45185"/>
    <x v="288"/>
    <x v="3"/>
    <x v="0"/>
    <x v="0"/>
    <x v="183"/>
    <n v="12.96"/>
    <n v="2"/>
    <n v="6.35"/>
    <x v="8"/>
    <x v="2"/>
  </r>
  <r>
    <n v="45185"/>
    <x v="435"/>
    <x v="3"/>
    <x v="1"/>
    <x v="11"/>
    <x v="1397"/>
    <n v="273.67"/>
    <n v="2"/>
    <n v="-12.88"/>
    <x v="8"/>
    <x v="2"/>
  </r>
  <r>
    <n v="45185"/>
    <x v="435"/>
    <x v="3"/>
    <x v="0"/>
    <x v="12"/>
    <x v="1277"/>
    <n v="17.48"/>
    <n v="4"/>
    <n v="4.54"/>
    <x v="8"/>
    <x v="2"/>
  </r>
  <r>
    <n v="45185"/>
    <x v="234"/>
    <x v="4"/>
    <x v="1"/>
    <x v="5"/>
    <x v="94"/>
    <n v="121.78"/>
    <n v="2"/>
    <n v="30.45"/>
    <x v="8"/>
    <x v="2"/>
  </r>
  <r>
    <n v="45186"/>
    <x v="763"/>
    <x v="3"/>
    <x v="0"/>
    <x v="4"/>
    <x v="712"/>
    <n v="20.100000000000001"/>
    <n v="3"/>
    <n v="6.63"/>
    <x v="8"/>
    <x v="2"/>
  </r>
  <r>
    <n v="45186"/>
    <x v="763"/>
    <x v="3"/>
    <x v="2"/>
    <x v="6"/>
    <x v="527"/>
    <n v="73.58"/>
    <n v="2"/>
    <n v="8.2799999999999994"/>
    <x v="8"/>
    <x v="2"/>
  </r>
  <r>
    <n v="45186"/>
    <x v="763"/>
    <x v="3"/>
    <x v="0"/>
    <x v="0"/>
    <x v="537"/>
    <n v="6.48"/>
    <n v="1"/>
    <n v="3.11"/>
    <x v="8"/>
    <x v="2"/>
  </r>
  <r>
    <n v="45186"/>
    <x v="106"/>
    <x v="4"/>
    <x v="2"/>
    <x v="15"/>
    <x v="1753"/>
    <n v="396"/>
    <n v="4"/>
    <n v="190.08"/>
    <x v="8"/>
    <x v="2"/>
  </r>
  <r>
    <n v="45186"/>
    <x v="174"/>
    <x v="41"/>
    <x v="2"/>
    <x v="6"/>
    <x v="1157"/>
    <n v="437.85"/>
    <n v="3"/>
    <n v="131.36000000000001"/>
    <x v="8"/>
    <x v="2"/>
  </r>
  <r>
    <n v="45186"/>
    <x v="174"/>
    <x v="41"/>
    <x v="1"/>
    <x v="8"/>
    <x v="851"/>
    <n v="109.48"/>
    <n v="2"/>
    <n v="33.94"/>
    <x v="8"/>
    <x v="2"/>
  </r>
  <r>
    <n v="45186"/>
    <x v="694"/>
    <x v="22"/>
    <x v="1"/>
    <x v="5"/>
    <x v="1168"/>
    <n v="113.89"/>
    <n v="2"/>
    <n v="9.9700000000000006"/>
    <x v="8"/>
    <x v="2"/>
  </r>
  <r>
    <n v="45186"/>
    <x v="694"/>
    <x v="22"/>
    <x v="2"/>
    <x v="6"/>
    <x v="1158"/>
    <n v="105.58"/>
    <n v="2"/>
    <n v="7.92"/>
    <x v="8"/>
    <x v="2"/>
  </r>
  <r>
    <n v="45186"/>
    <x v="399"/>
    <x v="20"/>
    <x v="0"/>
    <x v="3"/>
    <x v="396"/>
    <n v="232.4"/>
    <n v="5"/>
    <n v="78.44"/>
    <x v="8"/>
    <x v="2"/>
  </r>
  <r>
    <n v="45186"/>
    <x v="14"/>
    <x v="18"/>
    <x v="0"/>
    <x v="4"/>
    <x v="470"/>
    <n v="33.4"/>
    <n v="5"/>
    <n v="12.36"/>
    <x v="8"/>
    <x v="2"/>
  </r>
  <r>
    <n v="45186"/>
    <x v="99"/>
    <x v="32"/>
    <x v="1"/>
    <x v="8"/>
    <x v="1659"/>
    <n v="14.82"/>
    <n v="3"/>
    <n v="6.22"/>
    <x v="8"/>
    <x v="2"/>
  </r>
  <r>
    <n v="45186"/>
    <x v="99"/>
    <x v="32"/>
    <x v="1"/>
    <x v="8"/>
    <x v="14"/>
    <n v="191.82"/>
    <n v="3"/>
    <n v="61.38"/>
    <x v="8"/>
    <x v="2"/>
  </r>
  <r>
    <n v="45186"/>
    <x v="350"/>
    <x v="10"/>
    <x v="0"/>
    <x v="2"/>
    <x v="1191"/>
    <n v="295.39999999999998"/>
    <n v="5"/>
    <n v="-62.77"/>
    <x v="8"/>
    <x v="2"/>
  </r>
  <r>
    <n v="45186"/>
    <x v="684"/>
    <x v="22"/>
    <x v="0"/>
    <x v="1"/>
    <x v="360"/>
    <n v="12.32"/>
    <n v="4"/>
    <n v="5.91"/>
    <x v="8"/>
    <x v="2"/>
  </r>
  <r>
    <n v="45187"/>
    <x v="700"/>
    <x v="20"/>
    <x v="0"/>
    <x v="3"/>
    <x v="872"/>
    <n v="4.62"/>
    <n v="1"/>
    <n v="1.73"/>
    <x v="8"/>
    <x v="2"/>
  </r>
  <r>
    <n v="45187"/>
    <x v="555"/>
    <x v="16"/>
    <x v="1"/>
    <x v="13"/>
    <x v="1348"/>
    <n v="383.44"/>
    <n v="4"/>
    <n v="-167.32"/>
    <x v="8"/>
    <x v="2"/>
  </r>
  <r>
    <n v="45187"/>
    <x v="481"/>
    <x v="33"/>
    <x v="1"/>
    <x v="5"/>
    <x v="1107"/>
    <n v="350.98"/>
    <n v="1"/>
    <n v="84.24"/>
    <x v="8"/>
    <x v="2"/>
  </r>
  <r>
    <n v="45187"/>
    <x v="481"/>
    <x v="33"/>
    <x v="0"/>
    <x v="0"/>
    <x v="894"/>
    <n v="13.08"/>
    <n v="2"/>
    <n v="6.02"/>
    <x v="8"/>
    <x v="2"/>
  </r>
  <r>
    <n v="45187"/>
    <x v="481"/>
    <x v="33"/>
    <x v="0"/>
    <x v="2"/>
    <x v="1002"/>
    <n v="900.08"/>
    <n v="4"/>
    <n v="117.01"/>
    <x v="8"/>
    <x v="2"/>
  </r>
  <r>
    <n v="45187"/>
    <x v="9"/>
    <x v="10"/>
    <x v="1"/>
    <x v="8"/>
    <x v="928"/>
    <n v="5.35"/>
    <n v="3"/>
    <n v="1.61"/>
    <x v="8"/>
    <x v="2"/>
  </r>
  <r>
    <n v="45187"/>
    <x v="9"/>
    <x v="10"/>
    <x v="1"/>
    <x v="5"/>
    <x v="478"/>
    <n v="99.37"/>
    <n v="2"/>
    <n v="-7.1"/>
    <x v="8"/>
    <x v="2"/>
  </r>
  <r>
    <n v="45187"/>
    <x v="9"/>
    <x v="10"/>
    <x v="0"/>
    <x v="4"/>
    <x v="1185"/>
    <n v="2.67"/>
    <n v="1"/>
    <n v="0.37"/>
    <x v="8"/>
    <x v="2"/>
  </r>
  <r>
    <n v="45187"/>
    <x v="226"/>
    <x v="20"/>
    <x v="1"/>
    <x v="5"/>
    <x v="354"/>
    <n v="631.78"/>
    <n v="2"/>
    <n v="140.4"/>
    <x v="8"/>
    <x v="2"/>
  </r>
  <r>
    <n v="45187"/>
    <x v="226"/>
    <x v="20"/>
    <x v="1"/>
    <x v="8"/>
    <x v="1634"/>
    <n v="60.72"/>
    <n v="3"/>
    <n v="26.11"/>
    <x v="8"/>
    <x v="2"/>
  </r>
  <r>
    <n v="45187"/>
    <x v="487"/>
    <x v="16"/>
    <x v="0"/>
    <x v="1"/>
    <x v="85"/>
    <n v="3"/>
    <n v="1"/>
    <n v="1.05"/>
    <x v="8"/>
    <x v="2"/>
  </r>
  <r>
    <n v="45187"/>
    <x v="638"/>
    <x v="3"/>
    <x v="1"/>
    <x v="5"/>
    <x v="610"/>
    <n v="801.57"/>
    <n v="2"/>
    <n v="50.1"/>
    <x v="8"/>
    <x v="2"/>
  </r>
  <r>
    <n v="45187"/>
    <x v="638"/>
    <x v="3"/>
    <x v="0"/>
    <x v="0"/>
    <x v="290"/>
    <n v="368.91"/>
    <n v="9"/>
    <n v="180.77"/>
    <x v="8"/>
    <x v="2"/>
  </r>
  <r>
    <n v="45187"/>
    <x v="638"/>
    <x v="3"/>
    <x v="1"/>
    <x v="5"/>
    <x v="561"/>
    <n v="885.53"/>
    <n v="9"/>
    <n v="-99.62"/>
    <x v="8"/>
    <x v="2"/>
  </r>
  <r>
    <n v="45187"/>
    <x v="649"/>
    <x v="3"/>
    <x v="2"/>
    <x v="6"/>
    <x v="860"/>
    <n v="239.98"/>
    <n v="2"/>
    <n v="24"/>
    <x v="8"/>
    <x v="2"/>
  </r>
  <r>
    <n v="45188"/>
    <x v="469"/>
    <x v="1"/>
    <x v="1"/>
    <x v="5"/>
    <x v="610"/>
    <n v="701.37"/>
    <n v="2"/>
    <n v="-50.1"/>
    <x v="8"/>
    <x v="2"/>
  </r>
  <r>
    <n v="45188"/>
    <x v="469"/>
    <x v="1"/>
    <x v="0"/>
    <x v="3"/>
    <x v="872"/>
    <n v="2.31"/>
    <n v="2"/>
    <n v="-3.46"/>
    <x v="8"/>
    <x v="2"/>
  </r>
  <r>
    <n v="45188"/>
    <x v="511"/>
    <x v="43"/>
    <x v="0"/>
    <x v="2"/>
    <x v="168"/>
    <n v="1606.23"/>
    <n v="9"/>
    <n v="481.87"/>
    <x v="8"/>
    <x v="2"/>
  </r>
  <r>
    <n v="45188"/>
    <x v="511"/>
    <x v="43"/>
    <x v="0"/>
    <x v="0"/>
    <x v="1243"/>
    <n v="17.04"/>
    <n v="3"/>
    <n v="7.67"/>
    <x v="8"/>
    <x v="2"/>
  </r>
  <r>
    <n v="45188"/>
    <x v="511"/>
    <x v="43"/>
    <x v="0"/>
    <x v="3"/>
    <x v="1386"/>
    <n v="49.53"/>
    <n v="3"/>
    <n v="23.77"/>
    <x v="8"/>
    <x v="2"/>
  </r>
  <r>
    <n v="45188"/>
    <x v="511"/>
    <x v="43"/>
    <x v="1"/>
    <x v="5"/>
    <x v="376"/>
    <n v="872.32"/>
    <n v="4"/>
    <n v="244.25"/>
    <x v="8"/>
    <x v="2"/>
  </r>
  <r>
    <n v="45188"/>
    <x v="308"/>
    <x v="3"/>
    <x v="0"/>
    <x v="0"/>
    <x v="1137"/>
    <n v="159.88"/>
    <n v="7"/>
    <n v="73.540000000000006"/>
    <x v="8"/>
    <x v="2"/>
  </r>
  <r>
    <n v="45188"/>
    <x v="26"/>
    <x v="23"/>
    <x v="0"/>
    <x v="3"/>
    <x v="505"/>
    <n v="25.44"/>
    <n v="6"/>
    <n v="12.72"/>
    <x v="8"/>
    <x v="2"/>
  </r>
  <r>
    <n v="45188"/>
    <x v="26"/>
    <x v="23"/>
    <x v="0"/>
    <x v="14"/>
    <x v="139"/>
    <n v="27.93"/>
    <n v="3"/>
    <n v="8.1"/>
    <x v="8"/>
    <x v="2"/>
  </r>
  <r>
    <n v="45188"/>
    <x v="633"/>
    <x v="4"/>
    <x v="0"/>
    <x v="14"/>
    <x v="424"/>
    <n v="5.04"/>
    <n v="2"/>
    <n v="0.15"/>
    <x v="8"/>
    <x v="2"/>
  </r>
  <r>
    <n v="45188"/>
    <x v="633"/>
    <x v="4"/>
    <x v="2"/>
    <x v="9"/>
    <x v="265"/>
    <n v="249.95"/>
    <n v="5"/>
    <n v="107.48"/>
    <x v="8"/>
    <x v="2"/>
  </r>
  <r>
    <n v="45188"/>
    <x v="64"/>
    <x v="2"/>
    <x v="1"/>
    <x v="8"/>
    <x v="1514"/>
    <n v="25.63"/>
    <n v="3"/>
    <n v="3.84"/>
    <x v="8"/>
    <x v="2"/>
  </r>
  <r>
    <n v="45188"/>
    <x v="684"/>
    <x v="3"/>
    <x v="0"/>
    <x v="3"/>
    <x v="547"/>
    <n v="11.95"/>
    <n v="3"/>
    <n v="4.18"/>
    <x v="8"/>
    <x v="2"/>
  </r>
  <r>
    <n v="45188"/>
    <x v="684"/>
    <x v="3"/>
    <x v="0"/>
    <x v="14"/>
    <x v="1754"/>
    <n v="6.24"/>
    <n v="3"/>
    <n v="1.87"/>
    <x v="8"/>
    <x v="2"/>
  </r>
  <r>
    <n v="45188"/>
    <x v="584"/>
    <x v="43"/>
    <x v="0"/>
    <x v="2"/>
    <x v="1549"/>
    <n v="69.52"/>
    <n v="2"/>
    <n v="17.38"/>
    <x v="8"/>
    <x v="2"/>
  </r>
  <r>
    <n v="45188"/>
    <x v="136"/>
    <x v="3"/>
    <x v="0"/>
    <x v="3"/>
    <x v="706"/>
    <n v="8.93"/>
    <n v="2"/>
    <n v="3.12"/>
    <x v="8"/>
    <x v="2"/>
  </r>
  <r>
    <n v="45189"/>
    <x v="129"/>
    <x v="3"/>
    <x v="0"/>
    <x v="0"/>
    <x v="429"/>
    <n v="65.790000000000006"/>
    <n v="9"/>
    <n v="30.26"/>
    <x v="8"/>
    <x v="2"/>
  </r>
  <r>
    <n v="45189"/>
    <x v="129"/>
    <x v="3"/>
    <x v="0"/>
    <x v="3"/>
    <x v="313"/>
    <n v="271.98"/>
    <n v="2"/>
    <n v="88.39"/>
    <x v="8"/>
    <x v="2"/>
  </r>
  <r>
    <n v="45189"/>
    <x v="129"/>
    <x v="3"/>
    <x v="0"/>
    <x v="4"/>
    <x v="1000"/>
    <n v="11.76"/>
    <n v="4"/>
    <n v="3.18"/>
    <x v="8"/>
    <x v="2"/>
  </r>
  <r>
    <n v="45189"/>
    <x v="129"/>
    <x v="3"/>
    <x v="0"/>
    <x v="0"/>
    <x v="426"/>
    <n v="77.52"/>
    <n v="2"/>
    <n v="37.979999999999997"/>
    <x v="8"/>
    <x v="2"/>
  </r>
  <r>
    <n v="45189"/>
    <x v="129"/>
    <x v="3"/>
    <x v="0"/>
    <x v="3"/>
    <x v="417"/>
    <n v="48.64"/>
    <n v="2"/>
    <n v="15.81"/>
    <x v="8"/>
    <x v="2"/>
  </r>
  <r>
    <n v="45189"/>
    <x v="76"/>
    <x v="25"/>
    <x v="1"/>
    <x v="8"/>
    <x v="863"/>
    <n v="17.09"/>
    <n v="2"/>
    <n v="1.07"/>
    <x v="8"/>
    <x v="2"/>
  </r>
  <r>
    <n v="45189"/>
    <x v="76"/>
    <x v="25"/>
    <x v="1"/>
    <x v="5"/>
    <x v="561"/>
    <n v="98.39"/>
    <n v="1"/>
    <n v="-11.07"/>
    <x v="8"/>
    <x v="2"/>
  </r>
  <r>
    <n v="45189"/>
    <x v="276"/>
    <x v="20"/>
    <x v="0"/>
    <x v="12"/>
    <x v="447"/>
    <n v="393.25"/>
    <n v="5"/>
    <n v="129.77000000000001"/>
    <x v="8"/>
    <x v="2"/>
  </r>
  <r>
    <n v="45189"/>
    <x v="647"/>
    <x v="14"/>
    <x v="0"/>
    <x v="3"/>
    <x v="361"/>
    <n v="83.7"/>
    <n v="5"/>
    <n v="41.01"/>
    <x v="8"/>
    <x v="2"/>
  </r>
  <r>
    <n v="45189"/>
    <x v="631"/>
    <x v="22"/>
    <x v="1"/>
    <x v="11"/>
    <x v="1615"/>
    <n v="163.88"/>
    <n v="2"/>
    <n v="40.97"/>
    <x v="8"/>
    <x v="2"/>
  </r>
  <r>
    <n v="45191"/>
    <x v="562"/>
    <x v="15"/>
    <x v="0"/>
    <x v="4"/>
    <x v="1638"/>
    <n v="40.78"/>
    <n v="3"/>
    <n v="4.59"/>
    <x v="8"/>
    <x v="2"/>
  </r>
  <r>
    <n v="45191"/>
    <x v="562"/>
    <x v="15"/>
    <x v="2"/>
    <x v="6"/>
    <x v="1755"/>
    <n v="63.94"/>
    <n v="8"/>
    <n v="5.59"/>
    <x v="8"/>
    <x v="2"/>
  </r>
  <r>
    <n v="45191"/>
    <x v="517"/>
    <x v="2"/>
    <x v="0"/>
    <x v="4"/>
    <x v="608"/>
    <n v="7.87"/>
    <n v="3"/>
    <n v="0.89"/>
    <x v="8"/>
    <x v="2"/>
  </r>
  <r>
    <n v="45191"/>
    <x v="482"/>
    <x v="16"/>
    <x v="0"/>
    <x v="3"/>
    <x v="816"/>
    <n v="7.51"/>
    <n v="9"/>
    <n v="-6"/>
    <x v="8"/>
    <x v="2"/>
  </r>
  <r>
    <n v="45191"/>
    <x v="482"/>
    <x v="16"/>
    <x v="0"/>
    <x v="1"/>
    <x v="1096"/>
    <n v="16.559999999999999"/>
    <n v="2"/>
    <n v="5.8"/>
    <x v="8"/>
    <x v="2"/>
  </r>
  <r>
    <n v="45191"/>
    <x v="326"/>
    <x v="5"/>
    <x v="1"/>
    <x v="8"/>
    <x v="731"/>
    <n v="13.28"/>
    <n v="2"/>
    <n v="6.37"/>
    <x v="8"/>
    <x v="2"/>
  </r>
  <r>
    <n v="45191"/>
    <x v="629"/>
    <x v="2"/>
    <x v="0"/>
    <x v="1"/>
    <x v="218"/>
    <n v="16.52"/>
    <n v="5"/>
    <n v="5.37"/>
    <x v="8"/>
    <x v="2"/>
  </r>
  <r>
    <n v="45191"/>
    <x v="381"/>
    <x v="20"/>
    <x v="0"/>
    <x v="2"/>
    <x v="929"/>
    <n v="128.34"/>
    <n v="6"/>
    <n v="37.22"/>
    <x v="8"/>
    <x v="2"/>
  </r>
  <r>
    <n v="45191"/>
    <x v="461"/>
    <x v="18"/>
    <x v="0"/>
    <x v="0"/>
    <x v="563"/>
    <n v="35.880000000000003"/>
    <n v="6"/>
    <n v="16.149999999999999"/>
    <x v="8"/>
    <x v="2"/>
  </r>
  <r>
    <n v="45191"/>
    <x v="436"/>
    <x v="26"/>
    <x v="1"/>
    <x v="8"/>
    <x v="462"/>
    <n v="68.430000000000007"/>
    <n v="7"/>
    <n v="8.5500000000000007"/>
    <x v="8"/>
    <x v="2"/>
  </r>
  <r>
    <n v="45191"/>
    <x v="10"/>
    <x v="21"/>
    <x v="1"/>
    <x v="8"/>
    <x v="1336"/>
    <n v="18.96"/>
    <n v="2"/>
    <n v="7.58"/>
    <x v="8"/>
    <x v="2"/>
  </r>
  <r>
    <n v="45191"/>
    <x v="70"/>
    <x v="10"/>
    <x v="0"/>
    <x v="10"/>
    <x v="1494"/>
    <n v="63.97"/>
    <n v="2"/>
    <n v="19.989999999999998"/>
    <x v="8"/>
    <x v="2"/>
  </r>
  <r>
    <n v="45191"/>
    <x v="361"/>
    <x v="14"/>
    <x v="0"/>
    <x v="0"/>
    <x v="976"/>
    <n v="35.56"/>
    <n v="7"/>
    <n v="16.71"/>
    <x v="8"/>
    <x v="2"/>
  </r>
  <r>
    <n v="45191"/>
    <x v="361"/>
    <x v="14"/>
    <x v="2"/>
    <x v="6"/>
    <x v="952"/>
    <n v="97.98"/>
    <n v="2"/>
    <n v="27.43"/>
    <x v="8"/>
    <x v="2"/>
  </r>
  <r>
    <n v="45192"/>
    <x v="254"/>
    <x v="10"/>
    <x v="1"/>
    <x v="8"/>
    <x v="97"/>
    <n v="532.70000000000005"/>
    <n v="6"/>
    <n v="-26.64"/>
    <x v="8"/>
    <x v="2"/>
  </r>
  <r>
    <n v="45192"/>
    <x v="254"/>
    <x v="10"/>
    <x v="0"/>
    <x v="4"/>
    <x v="1625"/>
    <n v="4.91"/>
    <n v="2"/>
    <n v="0.31"/>
    <x v="8"/>
    <x v="2"/>
  </r>
  <r>
    <n v="45192"/>
    <x v="277"/>
    <x v="4"/>
    <x v="0"/>
    <x v="2"/>
    <x v="617"/>
    <n v="118.25"/>
    <n v="5"/>
    <n v="34.29"/>
    <x v="8"/>
    <x v="2"/>
  </r>
  <r>
    <n v="45192"/>
    <x v="277"/>
    <x v="4"/>
    <x v="1"/>
    <x v="5"/>
    <x v="1255"/>
    <n v="368.97"/>
    <n v="3"/>
    <n v="81.17"/>
    <x v="8"/>
    <x v="2"/>
  </r>
  <r>
    <n v="45192"/>
    <x v="507"/>
    <x v="22"/>
    <x v="0"/>
    <x v="14"/>
    <x v="388"/>
    <n v="13.68"/>
    <n v="2"/>
    <n v="3.69"/>
    <x v="8"/>
    <x v="2"/>
  </r>
  <r>
    <n v="45192"/>
    <x v="762"/>
    <x v="3"/>
    <x v="0"/>
    <x v="10"/>
    <x v="229"/>
    <n v="4.08"/>
    <n v="2"/>
    <n v="1.92"/>
    <x v="8"/>
    <x v="2"/>
  </r>
  <r>
    <n v="45192"/>
    <x v="762"/>
    <x v="3"/>
    <x v="0"/>
    <x v="1"/>
    <x v="821"/>
    <n v="18.899999999999999"/>
    <n v="3"/>
    <n v="8.69"/>
    <x v="8"/>
    <x v="2"/>
  </r>
  <r>
    <n v="45192"/>
    <x v="748"/>
    <x v="20"/>
    <x v="0"/>
    <x v="3"/>
    <x v="24"/>
    <n v="10.53"/>
    <n v="7"/>
    <n v="3.68"/>
    <x v="8"/>
    <x v="2"/>
  </r>
  <r>
    <n v="45192"/>
    <x v="179"/>
    <x v="10"/>
    <x v="0"/>
    <x v="0"/>
    <x v="1097"/>
    <n v="11.95"/>
    <n v="3"/>
    <n v="4.03"/>
    <x v="8"/>
    <x v="2"/>
  </r>
  <r>
    <n v="45192"/>
    <x v="179"/>
    <x v="10"/>
    <x v="1"/>
    <x v="8"/>
    <x v="1756"/>
    <n v="28"/>
    <n v="4"/>
    <n v="7.7"/>
    <x v="8"/>
    <x v="2"/>
  </r>
  <r>
    <n v="45192"/>
    <x v="179"/>
    <x v="10"/>
    <x v="0"/>
    <x v="3"/>
    <x v="246"/>
    <n v="12.2"/>
    <n v="7"/>
    <n v="-9.76"/>
    <x v="8"/>
    <x v="2"/>
  </r>
  <r>
    <n v="45192"/>
    <x v="679"/>
    <x v="22"/>
    <x v="0"/>
    <x v="3"/>
    <x v="333"/>
    <n v="13.22"/>
    <n v="4"/>
    <n v="4.46"/>
    <x v="8"/>
    <x v="2"/>
  </r>
  <r>
    <n v="45192"/>
    <x v="679"/>
    <x v="22"/>
    <x v="1"/>
    <x v="5"/>
    <x v="415"/>
    <n v="184.75"/>
    <n v="3"/>
    <n v="-20.78"/>
    <x v="8"/>
    <x v="2"/>
  </r>
  <r>
    <n v="45193"/>
    <x v="500"/>
    <x v="10"/>
    <x v="1"/>
    <x v="5"/>
    <x v="1395"/>
    <n v="155.37"/>
    <n v="2"/>
    <n v="-13.32"/>
    <x v="8"/>
    <x v="2"/>
  </r>
  <r>
    <n v="45193"/>
    <x v="174"/>
    <x v="3"/>
    <x v="0"/>
    <x v="2"/>
    <x v="916"/>
    <n v="41.96"/>
    <n v="2"/>
    <n v="2.94"/>
    <x v="8"/>
    <x v="2"/>
  </r>
  <r>
    <n v="45193"/>
    <x v="174"/>
    <x v="3"/>
    <x v="0"/>
    <x v="0"/>
    <x v="64"/>
    <n v="41.7"/>
    <n v="5"/>
    <n v="20.85"/>
    <x v="8"/>
    <x v="2"/>
  </r>
  <r>
    <n v="45193"/>
    <x v="615"/>
    <x v="3"/>
    <x v="1"/>
    <x v="8"/>
    <x v="805"/>
    <n v="63.2"/>
    <n v="5"/>
    <n v="23.38"/>
    <x v="8"/>
    <x v="2"/>
  </r>
  <r>
    <n v="45193"/>
    <x v="750"/>
    <x v="26"/>
    <x v="1"/>
    <x v="8"/>
    <x v="1346"/>
    <n v="21.44"/>
    <n v="2"/>
    <n v="7.5"/>
    <x v="8"/>
    <x v="2"/>
  </r>
  <r>
    <n v="45193"/>
    <x v="750"/>
    <x v="26"/>
    <x v="0"/>
    <x v="2"/>
    <x v="135"/>
    <n v="511.06"/>
    <n v="9"/>
    <n v="-95.82"/>
    <x v="8"/>
    <x v="2"/>
  </r>
  <r>
    <n v="45193"/>
    <x v="157"/>
    <x v="39"/>
    <x v="0"/>
    <x v="3"/>
    <x v="405"/>
    <n v="6.38"/>
    <n v="1"/>
    <n v="2.93"/>
    <x v="8"/>
    <x v="2"/>
  </r>
  <r>
    <n v="45193"/>
    <x v="157"/>
    <x v="39"/>
    <x v="0"/>
    <x v="0"/>
    <x v="327"/>
    <n v="6.48"/>
    <n v="1"/>
    <n v="3.11"/>
    <x v="8"/>
    <x v="2"/>
  </r>
  <r>
    <n v="45193"/>
    <x v="131"/>
    <x v="18"/>
    <x v="1"/>
    <x v="8"/>
    <x v="809"/>
    <n v="127.95"/>
    <n v="3"/>
    <n v="21.75"/>
    <x v="8"/>
    <x v="2"/>
  </r>
  <r>
    <n v="45193"/>
    <x v="521"/>
    <x v="1"/>
    <x v="0"/>
    <x v="3"/>
    <x v="1665"/>
    <n v="442.37"/>
    <n v="7"/>
    <n v="-729.91"/>
    <x v="8"/>
    <x v="2"/>
  </r>
  <r>
    <n v="45193"/>
    <x v="150"/>
    <x v="3"/>
    <x v="0"/>
    <x v="10"/>
    <x v="838"/>
    <n v="304.89999999999998"/>
    <n v="5"/>
    <n v="143.30000000000001"/>
    <x v="8"/>
    <x v="2"/>
  </r>
  <r>
    <n v="45193"/>
    <x v="150"/>
    <x v="3"/>
    <x v="1"/>
    <x v="5"/>
    <x v="433"/>
    <n v="563.24"/>
    <n v="5"/>
    <n v="56.32"/>
    <x v="8"/>
    <x v="2"/>
  </r>
  <r>
    <n v="45194"/>
    <x v="579"/>
    <x v="12"/>
    <x v="1"/>
    <x v="13"/>
    <x v="1036"/>
    <n v="393.17"/>
    <n v="3"/>
    <n v="-204.45"/>
    <x v="8"/>
    <x v="2"/>
  </r>
  <r>
    <n v="45194"/>
    <x v="62"/>
    <x v="0"/>
    <x v="0"/>
    <x v="1"/>
    <x v="849"/>
    <n v="15.94"/>
    <n v="4"/>
    <n v="5.18"/>
    <x v="8"/>
    <x v="2"/>
  </r>
  <r>
    <n v="45194"/>
    <x v="124"/>
    <x v="11"/>
    <x v="0"/>
    <x v="0"/>
    <x v="64"/>
    <n v="60.05"/>
    <n v="9"/>
    <n v="22.52"/>
    <x v="8"/>
    <x v="2"/>
  </r>
  <r>
    <n v="45194"/>
    <x v="124"/>
    <x v="11"/>
    <x v="0"/>
    <x v="3"/>
    <x v="361"/>
    <n v="5.0199999999999996"/>
    <n v="1"/>
    <n v="-3.52"/>
    <x v="8"/>
    <x v="2"/>
  </r>
  <r>
    <n v="45194"/>
    <x v="621"/>
    <x v="3"/>
    <x v="0"/>
    <x v="4"/>
    <x v="780"/>
    <n v="16.559999999999999"/>
    <n v="4"/>
    <n v="6.96"/>
    <x v="8"/>
    <x v="2"/>
  </r>
  <r>
    <n v="45194"/>
    <x v="571"/>
    <x v="21"/>
    <x v="2"/>
    <x v="9"/>
    <x v="297"/>
    <n v="499.95"/>
    <n v="5"/>
    <n v="174.98"/>
    <x v="8"/>
    <x v="2"/>
  </r>
  <r>
    <n v="45194"/>
    <x v="571"/>
    <x v="21"/>
    <x v="0"/>
    <x v="4"/>
    <x v="1472"/>
    <n v="3.04"/>
    <n v="1"/>
    <n v="1.03"/>
    <x v="8"/>
    <x v="2"/>
  </r>
  <r>
    <n v="45194"/>
    <x v="571"/>
    <x v="21"/>
    <x v="1"/>
    <x v="5"/>
    <x v="1209"/>
    <n v="201.96"/>
    <n v="2"/>
    <n v="50.49"/>
    <x v="8"/>
    <x v="2"/>
  </r>
  <r>
    <n v="45194"/>
    <x v="571"/>
    <x v="21"/>
    <x v="1"/>
    <x v="8"/>
    <x v="1698"/>
    <n v="68.64"/>
    <n v="11"/>
    <n v="17.16"/>
    <x v="8"/>
    <x v="2"/>
  </r>
  <r>
    <n v="45194"/>
    <x v="578"/>
    <x v="10"/>
    <x v="0"/>
    <x v="12"/>
    <x v="1295"/>
    <n v="286.26"/>
    <n v="1"/>
    <n v="17.89"/>
    <x v="8"/>
    <x v="2"/>
  </r>
  <r>
    <n v="45194"/>
    <x v="578"/>
    <x v="10"/>
    <x v="0"/>
    <x v="2"/>
    <x v="835"/>
    <n v="24.22"/>
    <n v="2"/>
    <n v="-4.84"/>
    <x v="8"/>
    <x v="2"/>
  </r>
  <r>
    <n v="45194"/>
    <x v="578"/>
    <x v="10"/>
    <x v="0"/>
    <x v="2"/>
    <x v="332"/>
    <n v="331.54"/>
    <n v="3"/>
    <n v="-82.88"/>
    <x v="8"/>
    <x v="2"/>
  </r>
  <r>
    <n v="45194"/>
    <x v="322"/>
    <x v="3"/>
    <x v="1"/>
    <x v="11"/>
    <x v="1205"/>
    <n v="477.67"/>
    <n v="2"/>
    <n v="84.29"/>
    <x v="8"/>
    <x v="2"/>
  </r>
  <r>
    <n v="45194"/>
    <x v="275"/>
    <x v="3"/>
    <x v="0"/>
    <x v="0"/>
    <x v="988"/>
    <n v="10.9"/>
    <n v="5"/>
    <n v="5.12"/>
    <x v="8"/>
    <x v="2"/>
  </r>
  <r>
    <n v="45194"/>
    <x v="275"/>
    <x v="3"/>
    <x v="0"/>
    <x v="1"/>
    <x v="798"/>
    <n v="29.6"/>
    <n v="2"/>
    <n v="14.8"/>
    <x v="8"/>
    <x v="2"/>
  </r>
  <r>
    <n v="45194"/>
    <x v="275"/>
    <x v="3"/>
    <x v="0"/>
    <x v="1"/>
    <x v="465"/>
    <n v="4.9800000000000004"/>
    <n v="1"/>
    <n v="2.29"/>
    <x v="8"/>
    <x v="2"/>
  </r>
  <r>
    <n v="45194"/>
    <x v="275"/>
    <x v="3"/>
    <x v="2"/>
    <x v="16"/>
    <x v="1308"/>
    <n v="479.98"/>
    <n v="3"/>
    <n v="161.99"/>
    <x v="8"/>
    <x v="2"/>
  </r>
  <r>
    <n v="45194"/>
    <x v="275"/>
    <x v="3"/>
    <x v="2"/>
    <x v="6"/>
    <x v="1258"/>
    <n v="44.74"/>
    <n v="8"/>
    <n v="4.47"/>
    <x v="8"/>
    <x v="2"/>
  </r>
  <r>
    <n v="45194"/>
    <x v="275"/>
    <x v="3"/>
    <x v="0"/>
    <x v="4"/>
    <x v="1441"/>
    <n v="5.76"/>
    <n v="2"/>
    <n v="1.67"/>
    <x v="8"/>
    <x v="2"/>
  </r>
  <r>
    <n v="45194"/>
    <x v="275"/>
    <x v="3"/>
    <x v="1"/>
    <x v="5"/>
    <x v="1022"/>
    <n v="483.14"/>
    <n v="4"/>
    <n v="60.39"/>
    <x v="8"/>
    <x v="2"/>
  </r>
  <r>
    <n v="45195"/>
    <x v="40"/>
    <x v="1"/>
    <x v="1"/>
    <x v="5"/>
    <x v="47"/>
    <n v="747.56"/>
    <n v="3"/>
    <n v="-96.11"/>
    <x v="8"/>
    <x v="2"/>
  </r>
  <r>
    <n v="45195"/>
    <x v="40"/>
    <x v="1"/>
    <x v="0"/>
    <x v="10"/>
    <x v="21"/>
    <n v="8.93"/>
    <n v="2"/>
    <n v="3.35"/>
    <x v="8"/>
    <x v="2"/>
  </r>
  <r>
    <n v="45195"/>
    <x v="562"/>
    <x v="3"/>
    <x v="1"/>
    <x v="11"/>
    <x v="384"/>
    <n v="424.96"/>
    <n v="5"/>
    <n v="20"/>
    <x v="8"/>
    <x v="2"/>
  </r>
  <r>
    <n v="45195"/>
    <x v="188"/>
    <x v="22"/>
    <x v="0"/>
    <x v="12"/>
    <x v="587"/>
    <n v="236.88"/>
    <n v="6"/>
    <n v="66.33"/>
    <x v="8"/>
    <x v="2"/>
  </r>
  <r>
    <n v="45195"/>
    <x v="188"/>
    <x v="22"/>
    <x v="0"/>
    <x v="0"/>
    <x v="1396"/>
    <n v="29.9"/>
    <n v="5"/>
    <n v="14.65"/>
    <x v="8"/>
    <x v="2"/>
  </r>
  <r>
    <n v="45195"/>
    <x v="188"/>
    <x v="22"/>
    <x v="2"/>
    <x v="9"/>
    <x v="1598"/>
    <n v="100"/>
    <n v="4"/>
    <n v="21"/>
    <x v="8"/>
    <x v="2"/>
  </r>
  <r>
    <n v="45195"/>
    <x v="345"/>
    <x v="30"/>
    <x v="0"/>
    <x v="0"/>
    <x v="1641"/>
    <n v="9.99"/>
    <n v="1"/>
    <n v="4.5"/>
    <x v="8"/>
    <x v="2"/>
  </r>
  <r>
    <n v="45195"/>
    <x v="250"/>
    <x v="3"/>
    <x v="0"/>
    <x v="2"/>
    <x v="1187"/>
    <n v="51.45"/>
    <n v="3"/>
    <n v="13.89"/>
    <x v="8"/>
    <x v="2"/>
  </r>
  <r>
    <n v="45195"/>
    <x v="250"/>
    <x v="3"/>
    <x v="0"/>
    <x v="1"/>
    <x v="685"/>
    <n v="7.83"/>
    <n v="3"/>
    <n v="3.6"/>
    <x v="8"/>
    <x v="2"/>
  </r>
  <r>
    <n v="45195"/>
    <x v="250"/>
    <x v="3"/>
    <x v="0"/>
    <x v="4"/>
    <x v="760"/>
    <n v="35.4"/>
    <n v="5"/>
    <n v="13.45"/>
    <x v="8"/>
    <x v="2"/>
  </r>
  <r>
    <n v="45195"/>
    <x v="250"/>
    <x v="3"/>
    <x v="0"/>
    <x v="0"/>
    <x v="689"/>
    <n v="29.9"/>
    <n v="5"/>
    <n v="13.46"/>
    <x v="8"/>
    <x v="2"/>
  </r>
  <r>
    <n v="45195"/>
    <x v="360"/>
    <x v="3"/>
    <x v="0"/>
    <x v="0"/>
    <x v="1757"/>
    <n v="12.96"/>
    <n v="2"/>
    <n v="6.22"/>
    <x v="8"/>
    <x v="2"/>
  </r>
  <r>
    <n v="45195"/>
    <x v="451"/>
    <x v="16"/>
    <x v="2"/>
    <x v="9"/>
    <x v="1542"/>
    <n v="431.98"/>
    <n v="3"/>
    <n v="-75.599999999999994"/>
    <x v="8"/>
    <x v="2"/>
  </r>
  <r>
    <n v="45195"/>
    <x v="59"/>
    <x v="0"/>
    <x v="0"/>
    <x v="3"/>
    <x v="1345"/>
    <n v="15.62"/>
    <n v="2"/>
    <n v="-25"/>
    <x v="8"/>
    <x v="2"/>
  </r>
  <r>
    <n v="45195"/>
    <x v="382"/>
    <x v="0"/>
    <x v="0"/>
    <x v="12"/>
    <x v="1758"/>
    <n v="93.03"/>
    <n v="2"/>
    <n v="-251.19"/>
    <x v="8"/>
    <x v="2"/>
  </r>
  <r>
    <n v="45195"/>
    <x v="382"/>
    <x v="0"/>
    <x v="1"/>
    <x v="5"/>
    <x v="1155"/>
    <n v="454.97"/>
    <n v="5"/>
    <n v="-136.49"/>
    <x v="8"/>
    <x v="2"/>
  </r>
  <r>
    <n v="45195"/>
    <x v="719"/>
    <x v="0"/>
    <x v="0"/>
    <x v="3"/>
    <x v="978"/>
    <n v="6.82"/>
    <n v="2"/>
    <n v="-11.59"/>
    <x v="8"/>
    <x v="2"/>
  </r>
  <r>
    <n v="45196"/>
    <x v="312"/>
    <x v="0"/>
    <x v="1"/>
    <x v="11"/>
    <x v="1446"/>
    <n v="956.66"/>
    <n v="7"/>
    <n v="-225.1"/>
    <x v="8"/>
    <x v="2"/>
  </r>
  <r>
    <n v="45196"/>
    <x v="291"/>
    <x v="10"/>
    <x v="0"/>
    <x v="3"/>
    <x v="309"/>
    <n v="2.91"/>
    <n v="3"/>
    <n v="-2.0299999999999998"/>
    <x v="8"/>
    <x v="2"/>
  </r>
  <r>
    <n v="45196"/>
    <x v="661"/>
    <x v="22"/>
    <x v="2"/>
    <x v="6"/>
    <x v="1085"/>
    <n v="1001.58"/>
    <n v="2"/>
    <n v="125.2"/>
    <x v="8"/>
    <x v="2"/>
  </r>
  <r>
    <n v="45196"/>
    <x v="229"/>
    <x v="4"/>
    <x v="0"/>
    <x v="0"/>
    <x v="607"/>
    <n v="17.940000000000001"/>
    <n v="3"/>
    <n v="8.7899999999999991"/>
    <x v="8"/>
    <x v="2"/>
  </r>
  <r>
    <n v="45196"/>
    <x v="229"/>
    <x v="4"/>
    <x v="0"/>
    <x v="4"/>
    <x v="202"/>
    <n v="13.89"/>
    <n v="3"/>
    <n v="4.58"/>
    <x v="8"/>
    <x v="2"/>
  </r>
  <r>
    <n v="45197"/>
    <x v="22"/>
    <x v="1"/>
    <x v="0"/>
    <x v="0"/>
    <x v="842"/>
    <n v="99.14"/>
    <n v="4"/>
    <n v="30.98"/>
    <x v="8"/>
    <x v="2"/>
  </r>
  <r>
    <n v="45198"/>
    <x v="637"/>
    <x v="2"/>
    <x v="0"/>
    <x v="1"/>
    <x v="95"/>
    <n v="15.94"/>
    <n v="4"/>
    <n v="5.18"/>
    <x v="8"/>
    <x v="2"/>
  </r>
  <r>
    <n v="45198"/>
    <x v="570"/>
    <x v="18"/>
    <x v="0"/>
    <x v="4"/>
    <x v="1759"/>
    <n v="40.880000000000003"/>
    <n v="7"/>
    <n v="10.63"/>
    <x v="8"/>
    <x v="2"/>
  </r>
  <r>
    <n v="45198"/>
    <x v="255"/>
    <x v="3"/>
    <x v="0"/>
    <x v="0"/>
    <x v="167"/>
    <n v="18.97"/>
    <n v="1"/>
    <n v="9.11"/>
    <x v="8"/>
    <x v="2"/>
  </r>
  <r>
    <n v="45198"/>
    <x v="519"/>
    <x v="33"/>
    <x v="2"/>
    <x v="9"/>
    <x v="1620"/>
    <n v="209.97"/>
    <n v="3"/>
    <n v="71.39"/>
    <x v="8"/>
    <x v="2"/>
  </r>
  <r>
    <n v="45198"/>
    <x v="519"/>
    <x v="33"/>
    <x v="0"/>
    <x v="3"/>
    <x v="702"/>
    <n v="62.94"/>
    <n v="3"/>
    <n v="30.21"/>
    <x v="8"/>
    <x v="2"/>
  </r>
  <r>
    <n v="45198"/>
    <x v="519"/>
    <x v="33"/>
    <x v="0"/>
    <x v="4"/>
    <x v="1237"/>
    <n v="25.92"/>
    <n v="9"/>
    <n v="7.78"/>
    <x v="8"/>
    <x v="2"/>
  </r>
  <r>
    <n v="45198"/>
    <x v="539"/>
    <x v="3"/>
    <x v="0"/>
    <x v="3"/>
    <x v="876"/>
    <n v="27.24"/>
    <n v="5"/>
    <n v="9.5299999999999994"/>
    <x v="8"/>
    <x v="2"/>
  </r>
  <r>
    <n v="45198"/>
    <x v="441"/>
    <x v="12"/>
    <x v="0"/>
    <x v="4"/>
    <x v="44"/>
    <n v="10.5"/>
    <n v="4"/>
    <n v="1.18"/>
    <x v="8"/>
    <x v="2"/>
  </r>
  <r>
    <n v="45198"/>
    <x v="442"/>
    <x v="11"/>
    <x v="2"/>
    <x v="6"/>
    <x v="387"/>
    <n v="859.2"/>
    <n v="3"/>
    <n v="75.180000000000007"/>
    <x v="8"/>
    <x v="2"/>
  </r>
  <r>
    <n v="45198"/>
    <x v="505"/>
    <x v="3"/>
    <x v="2"/>
    <x v="9"/>
    <x v="306"/>
    <n v="36.24"/>
    <n v="1"/>
    <n v="15.22"/>
    <x v="8"/>
    <x v="2"/>
  </r>
  <r>
    <n v="45199"/>
    <x v="605"/>
    <x v="1"/>
    <x v="0"/>
    <x v="3"/>
    <x v="73"/>
    <n v="1.96"/>
    <n v="2"/>
    <n v="-3.24"/>
    <x v="8"/>
    <x v="2"/>
  </r>
  <r>
    <n v="45199"/>
    <x v="193"/>
    <x v="20"/>
    <x v="1"/>
    <x v="11"/>
    <x v="28"/>
    <n v="523.91999999999996"/>
    <n v="5"/>
    <n v="-26.2"/>
    <x v="8"/>
    <x v="2"/>
  </r>
  <r>
    <n v="45200"/>
    <x v="280"/>
    <x v="3"/>
    <x v="1"/>
    <x v="5"/>
    <x v="94"/>
    <n v="194.85"/>
    <n v="4"/>
    <n v="12.18"/>
    <x v="9"/>
    <x v="2"/>
  </r>
  <r>
    <n v="45200"/>
    <x v="393"/>
    <x v="18"/>
    <x v="2"/>
    <x v="6"/>
    <x v="503"/>
    <n v="69.900000000000006"/>
    <n v="2"/>
    <n v="18.87"/>
    <x v="9"/>
    <x v="2"/>
  </r>
  <r>
    <n v="45200"/>
    <x v="393"/>
    <x v="18"/>
    <x v="1"/>
    <x v="8"/>
    <x v="598"/>
    <n v="41.85"/>
    <n v="5"/>
    <n v="10.88"/>
    <x v="9"/>
    <x v="2"/>
  </r>
  <r>
    <n v="45200"/>
    <x v="193"/>
    <x v="20"/>
    <x v="1"/>
    <x v="13"/>
    <x v="473"/>
    <n v="330.59"/>
    <n v="1"/>
    <n v="-115.71"/>
    <x v="9"/>
    <x v="2"/>
  </r>
  <r>
    <n v="45200"/>
    <x v="459"/>
    <x v="0"/>
    <x v="2"/>
    <x v="9"/>
    <x v="1037"/>
    <n v="79.510000000000005"/>
    <n v="3"/>
    <n v="20.87"/>
    <x v="9"/>
    <x v="2"/>
  </r>
  <r>
    <n v="45200"/>
    <x v="459"/>
    <x v="0"/>
    <x v="0"/>
    <x v="0"/>
    <x v="371"/>
    <n v="28.35"/>
    <n v="1"/>
    <n v="9.57"/>
    <x v="9"/>
    <x v="2"/>
  </r>
  <r>
    <n v="45200"/>
    <x v="295"/>
    <x v="16"/>
    <x v="0"/>
    <x v="3"/>
    <x v="263"/>
    <n v="5.39"/>
    <n v="4"/>
    <n v="-4.49"/>
    <x v="9"/>
    <x v="2"/>
  </r>
  <r>
    <n v="45200"/>
    <x v="295"/>
    <x v="16"/>
    <x v="0"/>
    <x v="4"/>
    <x v="108"/>
    <n v="30.98"/>
    <n v="8"/>
    <n v="5.03"/>
    <x v="9"/>
    <x v="2"/>
  </r>
  <r>
    <n v="45201"/>
    <x v="676"/>
    <x v="20"/>
    <x v="0"/>
    <x v="12"/>
    <x v="808"/>
    <n v="61.44"/>
    <n v="3"/>
    <n v="16.59"/>
    <x v="9"/>
    <x v="2"/>
  </r>
  <r>
    <n v="45201"/>
    <x v="760"/>
    <x v="12"/>
    <x v="0"/>
    <x v="3"/>
    <x v="812"/>
    <n v="54.79"/>
    <n v="6"/>
    <n v="-40.18"/>
    <x v="9"/>
    <x v="2"/>
  </r>
  <r>
    <n v="45201"/>
    <x v="498"/>
    <x v="18"/>
    <x v="0"/>
    <x v="2"/>
    <x v="90"/>
    <n v="32.479999999999997"/>
    <n v="2"/>
    <n v="4.87"/>
    <x v="9"/>
    <x v="2"/>
  </r>
  <r>
    <n v="45201"/>
    <x v="498"/>
    <x v="18"/>
    <x v="2"/>
    <x v="16"/>
    <x v="1696"/>
    <n v="17499.95"/>
    <n v="5"/>
    <n v="8399.98"/>
    <x v="9"/>
    <x v="2"/>
  </r>
  <r>
    <n v="45201"/>
    <x v="498"/>
    <x v="18"/>
    <x v="0"/>
    <x v="3"/>
    <x v="688"/>
    <n v="735.98"/>
    <n v="2"/>
    <n v="331.19"/>
    <x v="9"/>
    <x v="2"/>
  </r>
  <r>
    <n v="45201"/>
    <x v="498"/>
    <x v="18"/>
    <x v="0"/>
    <x v="3"/>
    <x v="832"/>
    <n v="34.369999999999997"/>
    <n v="7"/>
    <n v="16.84"/>
    <x v="9"/>
    <x v="2"/>
  </r>
  <r>
    <n v="45201"/>
    <x v="498"/>
    <x v="18"/>
    <x v="0"/>
    <x v="4"/>
    <x v="1607"/>
    <n v="33.96"/>
    <n v="2"/>
    <n v="9.51"/>
    <x v="9"/>
    <x v="2"/>
  </r>
  <r>
    <n v="45202"/>
    <x v="19"/>
    <x v="0"/>
    <x v="0"/>
    <x v="10"/>
    <x v="21"/>
    <n v="15.65"/>
    <n v="2"/>
    <n v="5.09"/>
    <x v="9"/>
    <x v="2"/>
  </r>
  <r>
    <n v="45202"/>
    <x v="185"/>
    <x v="20"/>
    <x v="1"/>
    <x v="5"/>
    <x v="1395"/>
    <n v="599.29"/>
    <n v="6"/>
    <n v="93.22"/>
    <x v="9"/>
    <x v="2"/>
  </r>
  <r>
    <n v="45202"/>
    <x v="609"/>
    <x v="0"/>
    <x v="1"/>
    <x v="8"/>
    <x v="169"/>
    <n v="38.08"/>
    <n v="5"/>
    <n v="-29.51"/>
    <x v="9"/>
    <x v="2"/>
  </r>
  <r>
    <n v="45202"/>
    <x v="474"/>
    <x v="3"/>
    <x v="0"/>
    <x v="1"/>
    <x v="911"/>
    <n v="6.16"/>
    <n v="2"/>
    <n v="2.96"/>
    <x v="9"/>
    <x v="2"/>
  </r>
  <r>
    <n v="45202"/>
    <x v="474"/>
    <x v="3"/>
    <x v="1"/>
    <x v="5"/>
    <x v="7"/>
    <n v="915.14"/>
    <n v="4"/>
    <n v="102.95"/>
    <x v="9"/>
    <x v="2"/>
  </r>
  <r>
    <n v="45202"/>
    <x v="474"/>
    <x v="3"/>
    <x v="0"/>
    <x v="0"/>
    <x v="829"/>
    <n v="8.56"/>
    <n v="2"/>
    <n v="3.85"/>
    <x v="9"/>
    <x v="2"/>
  </r>
  <r>
    <n v="45202"/>
    <x v="474"/>
    <x v="3"/>
    <x v="0"/>
    <x v="0"/>
    <x v="141"/>
    <n v="97.82"/>
    <n v="2"/>
    <n v="45.98"/>
    <x v="9"/>
    <x v="2"/>
  </r>
  <r>
    <n v="45203"/>
    <x v="541"/>
    <x v="0"/>
    <x v="0"/>
    <x v="10"/>
    <x v="1104"/>
    <n v="59.75"/>
    <n v="7"/>
    <n v="19.420000000000002"/>
    <x v="9"/>
    <x v="2"/>
  </r>
  <r>
    <n v="45203"/>
    <x v="108"/>
    <x v="43"/>
    <x v="0"/>
    <x v="3"/>
    <x v="417"/>
    <n v="30.4"/>
    <n v="1"/>
    <n v="13.98"/>
    <x v="9"/>
    <x v="2"/>
  </r>
  <r>
    <n v="45203"/>
    <x v="108"/>
    <x v="43"/>
    <x v="2"/>
    <x v="16"/>
    <x v="377"/>
    <n v="5399.91"/>
    <n v="9"/>
    <n v="2591.96"/>
    <x v="9"/>
    <x v="2"/>
  </r>
  <r>
    <n v="45203"/>
    <x v="108"/>
    <x v="43"/>
    <x v="0"/>
    <x v="2"/>
    <x v="1760"/>
    <n v="119.1"/>
    <n v="3"/>
    <n v="34.54"/>
    <x v="9"/>
    <x v="2"/>
  </r>
  <r>
    <n v="45203"/>
    <x v="7"/>
    <x v="36"/>
    <x v="1"/>
    <x v="13"/>
    <x v="1600"/>
    <n v="239.37"/>
    <n v="2"/>
    <n v="-23.94"/>
    <x v="9"/>
    <x v="2"/>
  </r>
  <r>
    <n v="45203"/>
    <x v="123"/>
    <x v="16"/>
    <x v="2"/>
    <x v="6"/>
    <x v="1130"/>
    <n v="52.68"/>
    <n v="3"/>
    <n v="19.760000000000002"/>
    <x v="9"/>
    <x v="2"/>
  </r>
  <r>
    <n v="45203"/>
    <x v="123"/>
    <x v="16"/>
    <x v="1"/>
    <x v="8"/>
    <x v="1521"/>
    <n v="11.57"/>
    <n v="3"/>
    <n v="2.6"/>
    <x v="9"/>
    <x v="2"/>
  </r>
  <r>
    <n v="45205"/>
    <x v="657"/>
    <x v="39"/>
    <x v="0"/>
    <x v="3"/>
    <x v="872"/>
    <n v="28.85"/>
    <n v="5"/>
    <n v="14.43"/>
    <x v="9"/>
    <x v="2"/>
  </r>
  <r>
    <n v="45205"/>
    <x v="162"/>
    <x v="26"/>
    <x v="2"/>
    <x v="15"/>
    <x v="1761"/>
    <n v="703.71"/>
    <n v="6"/>
    <n v="-938.28"/>
    <x v="9"/>
    <x v="2"/>
  </r>
  <r>
    <n v="45205"/>
    <x v="162"/>
    <x v="26"/>
    <x v="0"/>
    <x v="3"/>
    <x v="1171"/>
    <n v="17.899999999999999"/>
    <n v="4"/>
    <n v="-14.92"/>
    <x v="9"/>
    <x v="2"/>
  </r>
  <r>
    <n v="45205"/>
    <x v="162"/>
    <x v="26"/>
    <x v="0"/>
    <x v="3"/>
    <x v="970"/>
    <n v="11.98"/>
    <n v="4"/>
    <n v="-9.18"/>
    <x v="9"/>
    <x v="2"/>
  </r>
  <r>
    <n v="45205"/>
    <x v="162"/>
    <x v="26"/>
    <x v="2"/>
    <x v="9"/>
    <x v="963"/>
    <n v="67.959999999999994"/>
    <n v="5"/>
    <n v="0.85"/>
    <x v="9"/>
    <x v="2"/>
  </r>
  <r>
    <n v="45206"/>
    <x v="560"/>
    <x v="3"/>
    <x v="0"/>
    <x v="3"/>
    <x v="978"/>
    <n v="27.26"/>
    <n v="2"/>
    <n v="8.86"/>
    <x v="9"/>
    <x v="2"/>
  </r>
  <r>
    <n v="45206"/>
    <x v="729"/>
    <x v="22"/>
    <x v="2"/>
    <x v="15"/>
    <x v="508"/>
    <n v="837.6"/>
    <n v="3"/>
    <n v="62.82"/>
    <x v="9"/>
    <x v="2"/>
  </r>
  <r>
    <n v="45206"/>
    <x v="204"/>
    <x v="3"/>
    <x v="0"/>
    <x v="0"/>
    <x v="1133"/>
    <n v="10.56"/>
    <n v="2"/>
    <n v="5.07"/>
    <x v="9"/>
    <x v="2"/>
  </r>
  <r>
    <n v="45206"/>
    <x v="299"/>
    <x v="2"/>
    <x v="0"/>
    <x v="1"/>
    <x v="1459"/>
    <n v="4.93"/>
    <n v="2"/>
    <n v="1.72"/>
    <x v="9"/>
    <x v="2"/>
  </r>
  <r>
    <n v="45206"/>
    <x v="260"/>
    <x v="22"/>
    <x v="0"/>
    <x v="7"/>
    <x v="12"/>
    <n v="93.36"/>
    <n v="12"/>
    <n v="0.93"/>
    <x v="9"/>
    <x v="2"/>
  </r>
  <r>
    <n v="45207"/>
    <x v="620"/>
    <x v="0"/>
    <x v="1"/>
    <x v="8"/>
    <x v="1527"/>
    <n v="51.71"/>
    <n v="8"/>
    <n v="-32.32"/>
    <x v="9"/>
    <x v="2"/>
  </r>
  <r>
    <n v="45207"/>
    <x v="264"/>
    <x v="3"/>
    <x v="0"/>
    <x v="0"/>
    <x v="705"/>
    <n v="61.96"/>
    <n v="2"/>
    <n v="27.88"/>
    <x v="9"/>
    <x v="2"/>
  </r>
  <r>
    <n v="45207"/>
    <x v="725"/>
    <x v="0"/>
    <x v="0"/>
    <x v="1"/>
    <x v="1433"/>
    <n v="60.14"/>
    <n v="6"/>
    <n v="20.3"/>
    <x v="9"/>
    <x v="2"/>
  </r>
  <r>
    <n v="45207"/>
    <x v="440"/>
    <x v="25"/>
    <x v="0"/>
    <x v="2"/>
    <x v="1762"/>
    <n v="387.72"/>
    <n v="5"/>
    <n v="-67.849999999999994"/>
    <x v="9"/>
    <x v="2"/>
  </r>
  <r>
    <n v="45208"/>
    <x v="634"/>
    <x v="10"/>
    <x v="2"/>
    <x v="6"/>
    <x v="1201"/>
    <n v="23.98"/>
    <n v="4"/>
    <n v="-15.58"/>
    <x v="9"/>
    <x v="2"/>
  </r>
  <r>
    <n v="45208"/>
    <x v="457"/>
    <x v="2"/>
    <x v="0"/>
    <x v="0"/>
    <x v="258"/>
    <n v="19.14"/>
    <n v="4"/>
    <n v="5.98"/>
    <x v="9"/>
    <x v="2"/>
  </r>
  <r>
    <n v="45208"/>
    <x v="457"/>
    <x v="2"/>
    <x v="1"/>
    <x v="8"/>
    <x v="511"/>
    <n v="332.83"/>
    <n v="4"/>
    <n v="-24.96"/>
    <x v="9"/>
    <x v="2"/>
  </r>
  <r>
    <n v="45208"/>
    <x v="713"/>
    <x v="12"/>
    <x v="0"/>
    <x v="4"/>
    <x v="1041"/>
    <n v="1.41"/>
    <n v="1"/>
    <n v="0.16"/>
    <x v="9"/>
    <x v="2"/>
  </r>
  <r>
    <n v="45208"/>
    <x v="713"/>
    <x v="12"/>
    <x v="1"/>
    <x v="8"/>
    <x v="1445"/>
    <n v="169.57"/>
    <n v="2"/>
    <n v="0"/>
    <x v="9"/>
    <x v="2"/>
  </r>
  <r>
    <n v="45209"/>
    <x v="732"/>
    <x v="25"/>
    <x v="0"/>
    <x v="14"/>
    <x v="277"/>
    <n v="20.61"/>
    <n v="2"/>
    <n v="-4.38"/>
    <x v="9"/>
    <x v="2"/>
  </r>
  <r>
    <n v="45209"/>
    <x v="732"/>
    <x v="25"/>
    <x v="0"/>
    <x v="3"/>
    <x v="475"/>
    <n v="4.0999999999999996"/>
    <n v="3"/>
    <n v="-2.73"/>
    <x v="9"/>
    <x v="2"/>
  </r>
  <r>
    <n v="45209"/>
    <x v="369"/>
    <x v="26"/>
    <x v="1"/>
    <x v="11"/>
    <x v="1763"/>
    <n v="90.88"/>
    <n v="3"/>
    <n v="-190.85"/>
    <x v="9"/>
    <x v="2"/>
  </r>
  <r>
    <n v="45209"/>
    <x v="369"/>
    <x v="26"/>
    <x v="2"/>
    <x v="6"/>
    <x v="585"/>
    <n v="15.99"/>
    <n v="1"/>
    <n v="-3"/>
    <x v="9"/>
    <x v="2"/>
  </r>
  <r>
    <n v="45209"/>
    <x v="369"/>
    <x v="26"/>
    <x v="1"/>
    <x v="5"/>
    <x v="1417"/>
    <n v="120.78"/>
    <n v="1"/>
    <n v="13.59"/>
    <x v="9"/>
    <x v="2"/>
  </r>
  <r>
    <n v="45209"/>
    <x v="494"/>
    <x v="0"/>
    <x v="1"/>
    <x v="8"/>
    <x v="1756"/>
    <n v="14"/>
    <n v="4"/>
    <n v="-6.3"/>
    <x v="9"/>
    <x v="2"/>
  </r>
  <r>
    <n v="45209"/>
    <x v="494"/>
    <x v="0"/>
    <x v="0"/>
    <x v="3"/>
    <x v="209"/>
    <n v="16.39"/>
    <n v="2"/>
    <n v="-26.23"/>
    <x v="9"/>
    <x v="2"/>
  </r>
  <r>
    <n v="45210"/>
    <x v="287"/>
    <x v="1"/>
    <x v="0"/>
    <x v="4"/>
    <x v="191"/>
    <n v="5.34"/>
    <n v="2"/>
    <n v="0.67"/>
    <x v="9"/>
    <x v="2"/>
  </r>
  <r>
    <n v="45210"/>
    <x v="287"/>
    <x v="1"/>
    <x v="0"/>
    <x v="4"/>
    <x v="1439"/>
    <n v="27.72"/>
    <n v="3"/>
    <n v="3.47"/>
    <x v="9"/>
    <x v="2"/>
  </r>
  <r>
    <n v="45212"/>
    <x v="164"/>
    <x v="3"/>
    <x v="0"/>
    <x v="0"/>
    <x v="59"/>
    <n v="20.04"/>
    <n v="3"/>
    <n v="9.6199999999999992"/>
    <x v="9"/>
    <x v="2"/>
  </r>
  <r>
    <n v="45212"/>
    <x v="164"/>
    <x v="3"/>
    <x v="0"/>
    <x v="0"/>
    <x v="1285"/>
    <n v="35.44"/>
    <n v="1"/>
    <n v="16.66"/>
    <x v="9"/>
    <x v="2"/>
  </r>
  <r>
    <n v="45212"/>
    <x v="164"/>
    <x v="3"/>
    <x v="0"/>
    <x v="4"/>
    <x v="1237"/>
    <n v="11.52"/>
    <n v="4"/>
    <n v="3.46"/>
    <x v="9"/>
    <x v="2"/>
  </r>
  <r>
    <n v="45212"/>
    <x v="164"/>
    <x v="3"/>
    <x v="0"/>
    <x v="7"/>
    <x v="789"/>
    <n v="4.0199999999999996"/>
    <n v="2"/>
    <n v="1.97"/>
    <x v="9"/>
    <x v="2"/>
  </r>
  <r>
    <n v="45212"/>
    <x v="164"/>
    <x v="3"/>
    <x v="0"/>
    <x v="3"/>
    <x v="1469"/>
    <n v="76.180000000000007"/>
    <n v="3"/>
    <n v="26.66"/>
    <x v="9"/>
    <x v="2"/>
  </r>
  <r>
    <n v="45212"/>
    <x v="164"/>
    <x v="3"/>
    <x v="0"/>
    <x v="14"/>
    <x v="1458"/>
    <n v="65.88"/>
    <n v="6"/>
    <n v="18.45"/>
    <x v="9"/>
    <x v="2"/>
  </r>
  <r>
    <n v="45212"/>
    <x v="164"/>
    <x v="3"/>
    <x v="1"/>
    <x v="8"/>
    <x v="895"/>
    <n v="43.12"/>
    <n v="14"/>
    <n v="20.7"/>
    <x v="9"/>
    <x v="2"/>
  </r>
  <r>
    <n v="45212"/>
    <x v="479"/>
    <x v="26"/>
    <x v="1"/>
    <x v="13"/>
    <x v="576"/>
    <n v="727.45"/>
    <n v="5"/>
    <n v="-465.57"/>
    <x v="9"/>
    <x v="2"/>
  </r>
  <r>
    <n v="45212"/>
    <x v="479"/>
    <x v="26"/>
    <x v="1"/>
    <x v="8"/>
    <x v="1684"/>
    <n v="24.96"/>
    <n v="3"/>
    <n v="4.37"/>
    <x v="9"/>
    <x v="2"/>
  </r>
  <r>
    <n v="45212"/>
    <x v="454"/>
    <x v="0"/>
    <x v="2"/>
    <x v="9"/>
    <x v="1300"/>
    <n v="191.98"/>
    <n v="3"/>
    <n v="24"/>
    <x v="9"/>
    <x v="2"/>
  </r>
  <r>
    <n v="45212"/>
    <x v="454"/>
    <x v="0"/>
    <x v="0"/>
    <x v="0"/>
    <x v="1736"/>
    <n v="8.2899999999999991"/>
    <n v="2"/>
    <n v="3"/>
    <x v="9"/>
    <x v="2"/>
  </r>
  <r>
    <n v="45212"/>
    <x v="454"/>
    <x v="0"/>
    <x v="1"/>
    <x v="8"/>
    <x v="1330"/>
    <n v="139.91999999999999"/>
    <n v="5"/>
    <n v="-150.41"/>
    <x v="9"/>
    <x v="2"/>
  </r>
  <r>
    <n v="45212"/>
    <x v="454"/>
    <x v="0"/>
    <x v="0"/>
    <x v="4"/>
    <x v="609"/>
    <n v="15.87"/>
    <n v="1"/>
    <n v="1.19"/>
    <x v="9"/>
    <x v="2"/>
  </r>
  <r>
    <n v="45212"/>
    <x v="454"/>
    <x v="0"/>
    <x v="0"/>
    <x v="3"/>
    <x v="263"/>
    <n v="6.29"/>
    <n v="7"/>
    <n v="-11"/>
    <x v="9"/>
    <x v="2"/>
  </r>
  <r>
    <n v="45212"/>
    <x v="620"/>
    <x v="20"/>
    <x v="0"/>
    <x v="4"/>
    <x v="1697"/>
    <n v="34.700000000000003"/>
    <n v="5"/>
    <n v="12.49"/>
    <x v="9"/>
    <x v="2"/>
  </r>
  <r>
    <n v="45212"/>
    <x v="620"/>
    <x v="20"/>
    <x v="0"/>
    <x v="2"/>
    <x v="53"/>
    <n v="99.87"/>
    <n v="3"/>
    <n v="23.97"/>
    <x v="9"/>
    <x v="2"/>
  </r>
  <r>
    <n v="45212"/>
    <x v="620"/>
    <x v="20"/>
    <x v="0"/>
    <x v="0"/>
    <x v="1175"/>
    <n v="37.94"/>
    <n v="2"/>
    <n v="18.21"/>
    <x v="9"/>
    <x v="2"/>
  </r>
  <r>
    <n v="45212"/>
    <x v="620"/>
    <x v="20"/>
    <x v="0"/>
    <x v="1"/>
    <x v="1015"/>
    <n v="24.9"/>
    <n v="5"/>
    <n v="11.45"/>
    <x v="9"/>
    <x v="2"/>
  </r>
  <r>
    <n v="45212"/>
    <x v="620"/>
    <x v="20"/>
    <x v="1"/>
    <x v="8"/>
    <x v="1484"/>
    <n v="82.26"/>
    <n v="3"/>
    <n v="33.729999999999997"/>
    <x v="9"/>
    <x v="2"/>
  </r>
  <r>
    <n v="45213"/>
    <x v="85"/>
    <x v="22"/>
    <x v="2"/>
    <x v="9"/>
    <x v="818"/>
    <n v="177"/>
    <n v="3"/>
    <n v="30.09"/>
    <x v="9"/>
    <x v="2"/>
  </r>
  <r>
    <n v="45213"/>
    <x v="180"/>
    <x v="25"/>
    <x v="1"/>
    <x v="5"/>
    <x v="1764"/>
    <n v="102.59"/>
    <n v="1"/>
    <n v="10.26"/>
    <x v="9"/>
    <x v="2"/>
  </r>
  <r>
    <n v="45213"/>
    <x v="180"/>
    <x v="25"/>
    <x v="2"/>
    <x v="9"/>
    <x v="662"/>
    <n v="22.7"/>
    <n v="1"/>
    <n v="5.96"/>
    <x v="9"/>
    <x v="2"/>
  </r>
  <r>
    <n v="45213"/>
    <x v="180"/>
    <x v="25"/>
    <x v="0"/>
    <x v="0"/>
    <x v="426"/>
    <n v="93.02"/>
    <n v="3"/>
    <n v="33.72"/>
    <x v="9"/>
    <x v="2"/>
  </r>
  <r>
    <n v="45213"/>
    <x v="180"/>
    <x v="25"/>
    <x v="0"/>
    <x v="14"/>
    <x v="488"/>
    <n v="12.77"/>
    <n v="2"/>
    <n v="1.44"/>
    <x v="9"/>
    <x v="2"/>
  </r>
  <r>
    <n v="45213"/>
    <x v="180"/>
    <x v="25"/>
    <x v="0"/>
    <x v="10"/>
    <x v="944"/>
    <n v="35.01"/>
    <n v="4"/>
    <n v="13.13"/>
    <x v="9"/>
    <x v="2"/>
  </r>
  <r>
    <n v="45213"/>
    <x v="180"/>
    <x v="25"/>
    <x v="0"/>
    <x v="0"/>
    <x v="646"/>
    <n v="39.15"/>
    <n v="1"/>
    <n v="14.68"/>
    <x v="9"/>
    <x v="2"/>
  </r>
  <r>
    <n v="45213"/>
    <x v="203"/>
    <x v="20"/>
    <x v="2"/>
    <x v="6"/>
    <x v="1426"/>
    <n v="1091.93"/>
    <n v="7"/>
    <n v="272.98"/>
    <x v="9"/>
    <x v="2"/>
  </r>
  <r>
    <n v="45213"/>
    <x v="203"/>
    <x v="20"/>
    <x v="0"/>
    <x v="0"/>
    <x v="1463"/>
    <n v="111.96"/>
    <n v="2"/>
    <n v="54.86"/>
    <x v="9"/>
    <x v="2"/>
  </r>
  <r>
    <n v="45213"/>
    <x v="737"/>
    <x v="21"/>
    <x v="2"/>
    <x v="9"/>
    <x v="1146"/>
    <n v="1649.75"/>
    <n v="5"/>
    <n v="544.41999999999996"/>
    <x v="9"/>
    <x v="2"/>
  </r>
  <r>
    <n v="45214"/>
    <x v="715"/>
    <x v="27"/>
    <x v="0"/>
    <x v="0"/>
    <x v="1765"/>
    <n v="45.68"/>
    <n v="2"/>
    <n v="21.01"/>
    <x v="9"/>
    <x v="2"/>
  </r>
  <r>
    <n v="45214"/>
    <x v="715"/>
    <x v="27"/>
    <x v="0"/>
    <x v="0"/>
    <x v="750"/>
    <n v="60.12"/>
    <n v="9"/>
    <n v="28.86"/>
    <x v="9"/>
    <x v="2"/>
  </r>
  <r>
    <n v="45214"/>
    <x v="715"/>
    <x v="27"/>
    <x v="0"/>
    <x v="3"/>
    <x v="345"/>
    <n v="41.72"/>
    <n v="5"/>
    <n v="13.04"/>
    <x v="9"/>
    <x v="2"/>
  </r>
  <r>
    <n v="45214"/>
    <x v="715"/>
    <x v="27"/>
    <x v="0"/>
    <x v="0"/>
    <x v="1010"/>
    <n v="71.599999999999994"/>
    <n v="8"/>
    <n v="32.94"/>
    <x v="9"/>
    <x v="2"/>
  </r>
  <r>
    <n v="45214"/>
    <x v="33"/>
    <x v="39"/>
    <x v="0"/>
    <x v="1"/>
    <x v="564"/>
    <n v="20.16"/>
    <n v="7"/>
    <n v="9.8800000000000008"/>
    <x v="9"/>
    <x v="2"/>
  </r>
  <r>
    <n v="45214"/>
    <x v="33"/>
    <x v="39"/>
    <x v="0"/>
    <x v="1"/>
    <x v="1"/>
    <n v="29.46"/>
    <n v="6"/>
    <n v="14.44"/>
    <x v="9"/>
    <x v="2"/>
  </r>
  <r>
    <n v="45214"/>
    <x v="33"/>
    <x v="39"/>
    <x v="0"/>
    <x v="12"/>
    <x v="1193"/>
    <n v="868.59"/>
    <n v="3"/>
    <n v="251.89"/>
    <x v="9"/>
    <x v="2"/>
  </r>
  <r>
    <n v="45214"/>
    <x v="33"/>
    <x v="39"/>
    <x v="0"/>
    <x v="0"/>
    <x v="423"/>
    <n v="12.96"/>
    <n v="2"/>
    <n v="6.22"/>
    <x v="9"/>
    <x v="2"/>
  </r>
  <r>
    <n v="45214"/>
    <x v="33"/>
    <x v="39"/>
    <x v="2"/>
    <x v="6"/>
    <x v="1740"/>
    <n v="5.5"/>
    <n v="1"/>
    <n v="1.38"/>
    <x v="9"/>
    <x v="2"/>
  </r>
  <r>
    <n v="45214"/>
    <x v="33"/>
    <x v="39"/>
    <x v="0"/>
    <x v="3"/>
    <x v="417"/>
    <n v="121.6"/>
    <n v="4"/>
    <n v="55.94"/>
    <x v="9"/>
    <x v="2"/>
  </r>
  <r>
    <n v="45214"/>
    <x v="87"/>
    <x v="6"/>
    <x v="0"/>
    <x v="3"/>
    <x v="1356"/>
    <n v="232.96"/>
    <n v="7"/>
    <n v="116.48"/>
    <x v="9"/>
    <x v="2"/>
  </r>
  <r>
    <n v="45214"/>
    <x v="87"/>
    <x v="6"/>
    <x v="0"/>
    <x v="10"/>
    <x v="1658"/>
    <n v="66.540000000000006"/>
    <n v="6"/>
    <n v="32.6"/>
    <x v="9"/>
    <x v="2"/>
  </r>
  <r>
    <n v="45214"/>
    <x v="87"/>
    <x v="6"/>
    <x v="0"/>
    <x v="12"/>
    <x v="366"/>
    <n v="43.26"/>
    <n v="3"/>
    <n v="14.28"/>
    <x v="9"/>
    <x v="2"/>
  </r>
  <r>
    <n v="45215"/>
    <x v="555"/>
    <x v="20"/>
    <x v="1"/>
    <x v="13"/>
    <x v="444"/>
    <n v="142.18"/>
    <n v="1"/>
    <n v="-37.92"/>
    <x v="9"/>
    <x v="2"/>
  </r>
  <r>
    <n v="45216"/>
    <x v="646"/>
    <x v="3"/>
    <x v="0"/>
    <x v="3"/>
    <x v="362"/>
    <n v="18.16"/>
    <n v="5"/>
    <n v="6.58"/>
    <x v="9"/>
    <x v="2"/>
  </r>
  <r>
    <n v="45216"/>
    <x v="588"/>
    <x v="3"/>
    <x v="1"/>
    <x v="11"/>
    <x v="1744"/>
    <n v="120.67"/>
    <n v="2"/>
    <n v="21.29"/>
    <x v="9"/>
    <x v="2"/>
  </r>
  <r>
    <n v="45216"/>
    <x v="658"/>
    <x v="24"/>
    <x v="2"/>
    <x v="6"/>
    <x v="854"/>
    <n v="449.97"/>
    <n v="3"/>
    <n v="220.49"/>
    <x v="9"/>
    <x v="2"/>
  </r>
  <r>
    <n v="45216"/>
    <x v="658"/>
    <x v="24"/>
    <x v="0"/>
    <x v="12"/>
    <x v="1547"/>
    <n v="1927.59"/>
    <n v="7"/>
    <n v="751.76"/>
    <x v="9"/>
    <x v="2"/>
  </r>
  <r>
    <n v="45216"/>
    <x v="245"/>
    <x v="23"/>
    <x v="1"/>
    <x v="11"/>
    <x v="238"/>
    <n v="120.98"/>
    <n v="1"/>
    <n v="12.1"/>
    <x v="9"/>
    <x v="2"/>
  </r>
  <r>
    <n v="45216"/>
    <x v="245"/>
    <x v="23"/>
    <x v="0"/>
    <x v="3"/>
    <x v="1665"/>
    <n v="315.98"/>
    <n v="1"/>
    <n v="148.51"/>
    <x v="9"/>
    <x v="2"/>
  </r>
  <r>
    <n v="45217"/>
    <x v="287"/>
    <x v="12"/>
    <x v="1"/>
    <x v="5"/>
    <x v="415"/>
    <n v="307.92"/>
    <n v="5"/>
    <n v="-34.64"/>
    <x v="9"/>
    <x v="2"/>
  </r>
  <r>
    <n v="45219"/>
    <x v="321"/>
    <x v="10"/>
    <x v="0"/>
    <x v="4"/>
    <x v="614"/>
    <n v="7.15"/>
    <n v="3"/>
    <n v="0.72"/>
    <x v="9"/>
    <x v="2"/>
  </r>
  <r>
    <n v="45219"/>
    <x v="250"/>
    <x v="0"/>
    <x v="0"/>
    <x v="0"/>
    <x v="1545"/>
    <n v="51.02"/>
    <n v="7"/>
    <n v="15.94"/>
    <x v="9"/>
    <x v="2"/>
  </r>
  <r>
    <n v="45219"/>
    <x v="250"/>
    <x v="0"/>
    <x v="0"/>
    <x v="7"/>
    <x v="78"/>
    <n v="25.25"/>
    <n v="4"/>
    <n v="7.89"/>
    <x v="9"/>
    <x v="2"/>
  </r>
  <r>
    <n v="45219"/>
    <x v="250"/>
    <x v="0"/>
    <x v="1"/>
    <x v="5"/>
    <x v="591"/>
    <n v="56.69"/>
    <n v="1"/>
    <n v="-14.58"/>
    <x v="9"/>
    <x v="2"/>
  </r>
  <r>
    <n v="45219"/>
    <x v="55"/>
    <x v="14"/>
    <x v="2"/>
    <x v="6"/>
    <x v="1337"/>
    <n v="125.7"/>
    <n v="6"/>
    <n v="35.200000000000003"/>
    <x v="9"/>
    <x v="2"/>
  </r>
  <r>
    <n v="45219"/>
    <x v="55"/>
    <x v="14"/>
    <x v="2"/>
    <x v="6"/>
    <x v="307"/>
    <n v="191.98"/>
    <n v="2"/>
    <n v="51.83"/>
    <x v="9"/>
    <x v="2"/>
  </r>
  <r>
    <n v="45219"/>
    <x v="55"/>
    <x v="14"/>
    <x v="0"/>
    <x v="2"/>
    <x v="1142"/>
    <n v="20.86"/>
    <n v="7"/>
    <n v="1.46"/>
    <x v="9"/>
    <x v="2"/>
  </r>
  <r>
    <n v="45219"/>
    <x v="597"/>
    <x v="3"/>
    <x v="0"/>
    <x v="3"/>
    <x v="274"/>
    <n v="19.3"/>
    <n v="3"/>
    <n v="6.03"/>
    <x v="9"/>
    <x v="2"/>
  </r>
  <r>
    <n v="45219"/>
    <x v="607"/>
    <x v="6"/>
    <x v="1"/>
    <x v="8"/>
    <x v="462"/>
    <n v="61.1"/>
    <n v="5"/>
    <n v="18.329999999999998"/>
    <x v="9"/>
    <x v="2"/>
  </r>
  <r>
    <n v="45219"/>
    <x v="168"/>
    <x v="3"/>
    <x v="1"/>
    <x v="5"/>
    <x v="1633"/>
    <n v="387.14"/>
    <n v="4"/>
    <n v="4.84"/>
    <x v="9"/>
    <x v="2"/>
  </r>
  <r>
    <n v="45220"/>
    <x v="521"/>
    <x v="37"/>
    <x v="0"/>
    <x v="3"/>
    <x v="1447"/>
    <n v="23.2"/>
    <n v="4"/>
    <n v="10.44"/>
    <x v="9"/>
    <x v="2"/>
  </r>
  <r>
    <n v="45220"/>
    <x v="521"/>
    <x v="37"/>
    <x v="0"/>
    <x v="14"/>
    <x v="488"/>
    <n v="7.36"/>
    <n v="2"/>
    <n v="0.15"/>
    <x v="9"/>
    <x v="2"/>
  </r>
  <r>
    <n v="45220"/>
    <x v="521"/>
    <x v="37"/>
    <x v="0"/>
    <x v="2"/>
    <x v="788"/>
    <n v="104.79"/>
    <n v="7"/>
    <n v="29.34"/>
    <x v="9"/>
    <x v="2"/>
  </r>
  <r>
    <n v="45220"/>
    <x v="521"/>
    <x v="37"/>
    <x v="1"/>
    <x v="11"/>
    <x v="1028"/>
    <n v="1043.92"/>
    <n v="4"/>
    <n v="271.42"/>
    <x v="9"/>
    <x v="2"/>
  </r>
  <r>
    <n v="45220"/>
    <x v="685"/>
    <x v="3"/>
    <x v="0"/>
    <x v="0"/>
    <x v="1636"/>
    <n v="22.92"/>
    <n v="3"/>
    <n v="11.23"/>
    <x v="9"/>
    <x v="2"/>
  </r>
  <r>
    <n v="45220"/>
    <x v="264"/>
    <x v="3"/>
    <x v="0"/>
    <x v="2"/>
    <x v="627"/>
    <n v="154.44"/>
    <n v="3"/>
    <n v="1.54"/>
    <x v="9"/>
    <x v="2"/>
  </r>
  <r>
    <n v="45220"/>
    <x v="168"/>
    <x v="7"/>
    <x v="0"/>
    <x v="3"/>
    <x v="1508"/>
    <n v="7.92"/>
    <n v="4"/>
    <n v="3.56"/>
    <x v="9"/>
    <x v="2"/>
  </r>
  <r>
    <n v="45220"/>
    <x v="773"/>
    <x v="36"/>
    <x v="2"/>
    <x v="9"/>
    <x v="665"/>
    <n v="98.16"/>
    <n v="6"/>
    <n v="9.82"/>
    <x v="9"/>
    <x v="2"/>
  </r>
  <r>
    <n v="45220"/>
    <x v="743"/>
    <x v="10"/>
    <x v="2"/>
    <x v="6"/>
    <x v="952"/>
    <n v="235.15"/>
    <n v="8"/>
    <n v="-47.03"/>
    <x v="9"/>
    <x v="2"/>
  </r>
  <r>
    <n v="45220"/>
    <x v="197"/>
    <x v="10"/>
    <x v="1"/>
    <x v="13"/>
    <x v="473"/>
    <n v="661.18"/>
    <n v="2"/>
    <n v="-231.41"/>
    <x v="9"/>
    <x v="2"/>
  </r>
  <r>
    <n v="45220"/>
    <x v="285"/>
    <x v="17"/>
    <x v="0"/>
    <x v="4"/>
    <x v="1007"/>
    <n v="113.22"/>
    <n v="3"/>
    <n v="29.44"/>
    <x v="9"/>
    <x v="2"/>
  </r>
  <r>
    <n v="45220"/>
    <x v="285"/>
    <x v="17"/>
    <x v="0"/>
    <x v="0"/>
    <x v="1490"/>
    <n v="35.880000000000003"/>
    <n v="6"/>
    <n v="17.579999999999998"/>
    <x v="9"/>
    <x v="2"/>
  </r>
  <r>
    <n v="45220"/>
    <x v="285"/>
    <x v="17"/>
    <x v="0"/>
    <x v="3"/>
    <x v="870"/>
    <n v="4535.9799999999996"/>
    <n v="3"/>
    <n v="1644.29"/>
    <x v="9"/>
    <x v="2"/>
  </r>
  <r>
    <n v="45220"/>
    <x v="60"/>
    <x v="15"/>
    <x v="0"/>
    <x v="2"/>
    <x v="1616"/>
    <n v="111.67"/>
    <n v="9"/>
    <n v="6.98"/>
    <x v="9"/>
    <x v="2"/>
  </r>
  <r>
    <n v="45220"/>
    <x v="453"/>
    <x v="0"/>
    <x v="2"/>
    <x v="9"/>
    <x v="225"/>
    <n v="106.08"/>
    <n v="6"/>
    <n v="-9.2799999999999994"/>
    <x v="9"/>
    <x v="2"/>
  </r>
  <r>
    <n v="45220"/>
    <x v="246"/>
    <x v="3"/>
    <x v="1"/>
    <x v="5"/>
    <x v="946"/>
    <n v="242.14"/>
    <n v="3"/>
    <n v="12.11"/>
    <x v="9"/>
    <x v="2"/>
  </r>
  <r>
    <n v="45220"/>
    <x v="246"/>
    <x v="3"/>
    <x v="0"/>
    <x v="4"/>
    <x v="146"/>
    <n v="12.39"/>
    <n v="3"/>
    <n v="5.7"/>
    <x v="9"/>
    <x v="2"/>
  </r>
  <r>
    <n v="45220"/>
    <x v="246"/>
    <x v="3"/>
    <x v="1"/>
    <x v="8"/>
    <x v="1652"/>
    <n v="19.96"/>
    <n v="2"/>
    <n v="5.59"/>
    <x v="9"/>
    <x v="2"/>
  </r>
  <r>
    <n v="45220"/>
    <x v="246"/>
    <x v="3"/>
    <x v="0"/>
    <x v="2"/>
    <x v="2"/>
    <n v="340.92"/>
    <n v="3"/>
    <n v="3.41"/>
    <x v="9"/>
    <x v="2"/>
  </r>
  <r>
    <n v="45220"/>
    <x v="64"/>
    <x v="16"/>
    <x v="1"/>
    <x v="8"/>
    <x v="467"/>
    <n v="45.57"/>
    <n v="2"/>
    <n v="9.68"/>
    <x v="9"/>
    <x v="2"/>
  </r>
  <r>
    <n v="45220"/>
    <x v="64"/>
    <x v="16"/>
    <x v="0"/>
    <x v="3"/>
    <x v="302"/>
    <n v="28.75"/>
    <n v="8"/>
    <n v="-21.08"/>
    <x v="9"/>
    <x v="2"/>
  </r>
  <r>
    <n v="45221"/>
    <x v="725"/>
    <x v="14"/>
    <x v="1"/>
    <x v="8"/>
    <x v="1387"/>
    <n v="31.4"/>
    <n v="5"/>
    <n v="10.050000000000001"/>
    <x v="9"/>
    <x v="2"/>
  </r>
  <r>
    <n v="45221"/>
    <x v="34"/>
    <x v="6"/>
    <x v="1"/>
    <x v="8"/>
    <x v="1652"/>
    <n v="39.92"/>
    <n v="4"/>
    <n v="11.18"/>
    <x v="9"/>
    <x v="2"/>
  </r>
  <r>
    <n v="45221"/>
    <x v="493"/>
    <x v="22"/>
    <x v="0"/>
    <x v="0"/>
    <x v="750"/>
    <n v="6.68"/>
    <n v="1"/>
    <n v="3.21"/>
    <x v="9"/>
    <x v="2"/>
  </r>
  <r>
    <n v="45221"/>
    <x v="493"/>
    <x v="22"/>
    <x v="0"/>
    <x v="4"/>
    <x v="531"/>
    <n v="8.34"/>
    <n v="3"/>
    <n v="2.25"/>
    <x v="9"/>
    <x v="2"/>
  </r>
  <r>
    <n v="45221"/>
    <x v="493"/>
    <x v="22"/>
    <x v="1"/>
    <x v="8"/>
    <x v="1766"/>
    <n v="101.94"/>
    <n v="3"/>
    <n v="30.58"/>
    <x v="9"/>
    <x v="2"/>
  </r>
  <r>
    <n v="45222"/>
    <x v="50"/>
    <x v="20"/>
    <x v="0"/>
    <x v="0"/>
    <x v="795"/>
    <n v="379.4"/>
    <n v="10"/>
    <n v="178.32"/>
    <x v="9"/>
    <x v="2"/>
  </r>
  <r>
    <n v="45222"/>
    <x v="252"/>
    <x v="1"/>
    <x v="1"/>
    <x v="8"/>
    <x v="924"/>
    <n v="16.16"/>
    <n v="7"/>
    <n v="-12.12"/>
    <x v="9"/>
    <x v="2"/>
  </r>
  <r>
    <n v="45222"/>
    <x v="252"/>
    <x v="1"/>
    <x v="0"/>
    <x v="0"/>
    <x v="709"/>
    <n v="54.82"/>
    <n v="3"/>
    <n v="17.82"/>
    <x v="9"/>
    <x v="2"/>
  </r>
  <r>
    <n v="45222"/>
    <x v="314"/>
    <x v="22"/>
    <x v="0"/>
    <x v="7"/>
    <x v="1739"/>
    <n v="17.05"/>
    <n v="5"/>
    <n v="8.18"/>
    <x v="9"/>
    <x v="2"/>
  </r>
  <r>
    <n v="45223"/>
    <x v="197"/>
    <x v="3"/>
    <x v="2"/>
    <x v="9"/>
    <x v="1598"/>
    <n v="100"/>
    <n v="4"/>
    <n v="21"/>
    <x v="9"/>
    <x v="2"/>
  </r>
  <r>
    <n v="45223"/>
    <x v="197"/>
    <x v="3"/>
    <x v="2"/>
    <x v="9"/>
    <x v="1542"/>
    <n v="359.98"/>
    <n v="2"/>
    <n v="21.6"/>
    <x v="9"/>
    <x v="2"/>
  </r>
  <r>
    <n v="45223"/>
    <x v="651"/>
    <x v="15"/>
    <x v="2"/>
    <x v="6"/>
    <x v="43"/>
    <n v="239.98"/>
    <n v="3"/>
    <n v="18"/>
    <x v="9"/>
    <x v="2"/>
  </r>
  <r>
    <n v="45223"/>
    <x v="331"/>
    <x v="3"/>
    <x v="2"/>
    <x v="9"/>
    <x v="1390"/>
    <n v="199.99"/>
    <n v="1"/>
    <n v="86"/>
    <x v="9"/>
    <x v="2"/>
  </r>
  <r>
    <n v="45223"/>
    <x v="359"/>
    <x v="0"/>
    <x v="0"/>
    <x v="0"/>
    <x v="63"/>
    <n v="15.55"/>
    <n v="3"/>
    <n v="5.44"/>
    <x v="9"/>
    <x v="2"/>
  </r>
  <r>
    <n v="45223"/>
    <x v="341"/>
    <x v="3"/>
    <x v="2"/>
    <x v="9"/>
    <x v="993"/>
    <n v="450"/>
    <n v="5"/>
    <n v="162"/>
    <x v="9"/>
    <x v="2"/>
  </r>
  <r>
    <n v="45224"/>
    <x v="65"/>
    <x v="16"/>
    <x v="2"/>
    <x v="6"/>
    <x v="156"/>
    <n v="783.96"/>
    <n v="5"/>
    <n v="78.400000000000006"/>
    <x v="9"/>
    <x v="2"/>
  </r>
  <r>
    <n v="45226"/>
    <x v="617"/>
    <x v="20"/>
    <x v="1"/>
    <x v="8"/>
    <x v="1346"/>
    <n v="40.200000000000003"/>
    <n v="3"/>
    <n v="19.3"/>
    <x v="9"/>
    <x v="2"/>
  </r>
  <r>
    <n v="45226"/>
    <x v="244"/>
    <x v="3"/>
    <x v="0"/>
    <x v="12"/>
    <x v="394"/>
    <n v="43.92"/>
    <n v="4"/>
    <n v="11.86"/>
    <x v="9"/>
    <x v="2"/>
  </r>
  <r>
    <n v="45226"/>
    <x v="244"/>
    <x v="3"/>
    <x v="0"/>
    <x v="3"/>
    <x v="345"/>
    <n v="25.03"/>
    <n v="3"/>
    <n v="7.82"/>
    <x v="9"/>
    <x v="2"/>
  </r>
  <r>
    <n v="45226"/>
    <x v="346"/>
    <x v="6"/>
    <x v="1"/>
    <x v="5"/>
    <x v="1083"/>
    <n v="290.98"/>
    <n v="1"/>
    <n v="75.650000000000006"/>
    <x v="9"/>
    <x v="2"/>
  </r>
  <r>
    <n v="45226"/>
    <x v="205"/>
    <x v="3"/>
    <x v="0"/>
    <x v="3"/>
    <x v="778"/>
    <n v="67.14"/>
    <n v="4"/>
    <n v="25.18"/>
    <x v="9"/>
    <x v="2"/>
  </r>
  <r>
    <n v="45226"/>
    <x v="346"/>
    <x v="20"/>
    <x v="1"/>
    <x v="5"/>
    <x v="633"/>
    <n v="427.64"/>
    <n v="14"/>
    <n v="80.78"/>
    <x v="9"/>
    <x v="2"/>
  </r>
  <r>
    <n v="45226"/>
    <x v="346"/>
    <x v="20"/>
    <x v="0"/>
    <x v="7"/>
    <x v="320"/>
    <n v="40.67"/>
    <n v="7"/>
    <n v="12.61"/>
    <x v="9"/>
    <x v="2"/>
  </r>
  <r>
    <n v="45226"/>
    <x v="346"/>
    <x v="20"/>
    <x v="0"/>
    <x v="2"/>
    <x v="252"/>
    <n v="33.479999999999997"/>
    <n v="2"/>
    <n v="1.34"/>
    <x v="9"/>
    <x v="2"/>
  </r>
  <r>
    <n v="45226"/>
    <x v="346"/>
    <x v="20"/>
    <x v="0"/>
    <x v="3"/>
    <x v="756"/>
    <n v="9.73"/>
    <n v="2"/>
    <n v="3.28"/>
    <x v="9"/>
    <x v="2"/>
  </r>
  <r>
    <n v="45227"/>
    <x v="657"/>
    <x v="3"/>
    <x v="0"/>
    <x v="2"/>
    <x v="1034"/>
    <n v="93.06"/>
    <n v="6"/>
    <n v="26.06"/>
    <x v="9"/>
    <x v="2"/>
  </r>
  <r>
    <n v="45227"/>
    <x v="657"/>
    <x v="3"/>
    <x v="2"/>
    <x v="6"/>
    <x v="458"/>
    <n v="302.38"/>
    <n v="3"/>
    <n v="22.68"/>
    <x v="9"/>
    <x v="2"/>
  </r>
  <r>
    <n v="45227"/>
    <x v="104"/>
    <x v="23"/>
    <x v="0"/>
    <x v="0"/>
    <x v="890"/>
    <n v="32.4"/>
    <n v="5"/>
    <n v="15.55"/>
    <x v="9"/>
    <x v="2"/>
  </r>
  <r>
    <n v="45227"/>
    <x v="104"/>
    <x v="23"/>
    <x v="0"/>
    <x v="2"/>
    <x v="1324"/>
    <n v="1082.48"/>
    <n v="8"/>
    <n v="10.82"/>
    <x v="9"/>
    <x v="2"/>
  </r>
  <r>
    <n v="45227"/>
    <x v="104"/>
    <x v="23"/>
    <x v="0"/>
    <x v="0"/>
    <x v="1656"/>
    <n v="56.91"/>
    <n v="3"/>
    <n v="27.32"/>
    <x v="9"/>
    <x v="2"/>
  </r>
  <r>
    <n v="45227"/>
    <x v="104"/>
    <x v="23"/>
    <x v="1"/>
    <x v="8"/>
    <x v="1108"/>
    <n v="77.599999999999994"/>
    <n v="4"/>
    <n v="38.020000000000003"/>
    <x v="9"/>
    <x v="2"/>
  </r>
  <r>
    <n v="45227"/>
    <x v="104"/>
    <x v="23"/>
    <x v="0"/>
    <x v="3"/>
    <x v="496"/>
    <n v="14.28"/>
    <n v="1"/>
    <n v="6.57"/>
    <x v="9"/>
    <x v="2"/>
  </r>
  <r>
    <n v="45227"/>
    <x v="756"/>
    <x v="3"/>
    <x v="0"/>
    <x v="0"/>
    <x v="551"/>
    <n v="50.96"/>
    <n v="7"/>
    <n v="25.48"/>
    <x v="9"/>
    <x v="2"/>
  </r>
  <r>
    <n v="45227"/>
    <x v="756"/>
    <x v="3"/>
    <x v="0"/>
    <x v="3"/>
    <x v="739"/>
    <n v="49.54"/>
    <n v="3"/>
    <n v="17.34"/>
    <x v="9"/>
    <x v="2"/>
  </r>
  <r>
    <n v="45227"/>
    <x v="190"/>
    <x v="16"/>
    <x v="1"/>
    <x v="8"/>
    <x v="408"/>
    <n v="47.95"/>
    <n v="3"/>
    <n v="13.79"/>
    <x v="9"/>
    <x v="2"/>
  </r>
  <r>
    <n v="45227"/>
    <x v="190"/>
    <x v="16"/>
    <x v="0"/>
    <x v="3"/>
    <x v="276"/>
    <n v="37.43"/>
    <n v="5"/>
    <n v="-29.94"/>
    <x v="9"/>
    <x v="2"/>
  </r>
  <r>
    <n v="45227"/>
    <x v="190"/>
    <x v="16"/>
    <x v="1"/>
    <x v="8"/>
    <x v="1098"/>
    <n v="63.97"/>
    <n v="2"/>
    <n v="0"/>
    <x v="9"/>
    <x v="2"/>
  </r>
  <r>
    <n v="45227"/>
    <x v="190"/>
    <x v="16"/>
    <x v="1"/>
    <x v="8"/>
    <x v="1063"/>
    <n v="165.05"/>
    <n v="3"/>
    <n v="41.26"/>
    <x v="9"/>
    <x v="2"/>
  </r>
  <r>
    <n v="45227"/>
    <x v="436"/>
    <x v="25"/>
    <x v="0"/>
    <x v="3"/>
    <x v="1245"/>
    <n v="17.62"/>
    <n v="4"/>
    <n v="-14.09"/>
    <x v="9"/>
    <x v="2"/>
  </r>
  <r>
    <n v="45227"/>
    <x v="287"/>
    <x v="16"/>
    <x v="0"/>
    <x v="3"/>
    <x v="1154"/>
    <n v="38.19"/>
    <n v="5"/>
    <n v="-26.73"/>
    <x v="9"/>
    <x v="2"/>
  </r>
  <r>
    <n v="45227"/>
    <x v="268"/>
    <x v="20"/>
    <x v="0"/>
    <x v="4"/>
    <x v="780"/>
    <n v="12.42"/>
    <n v="3"/>
    <n v="5.22"/>
    <x v="9"/>
    <x v="2"/>
  </r>
  <r>
    <n v="45227"/>
    <x v="668"/>
    <x v="20"/>
    <x v="1"/>
    <x v="8"/>
    <x v="1730"/>
    <n v="756.8"/>
    <n v="5"/>
    <n v="75.680000000000007"/>
    <x v="9"/>
    <x v="2"/>
  </r>
  <r>
    <n v="45228"/>
    <x v="140"/>
    <x v="23"/>
    <x v="0"/>
    <x v="2"/>
    <x v="1160"/>
    <n v="40.74"/>
    <n v="3"/>
    <n v="0.41"/>
    <x v="9"/>
    <x v="2"/>
  </r>
  <r>
    <n v="45228"/>
    <x v="140"/>
    <x v="23"/>
    <x v="0"/>
    <x v="12"/>
    <x v="468"/>
    <n v="11.67"/>
    <n v="3"/>
    <n v="3.03"/>
    <x v="9"/>
    <x v="2"/>
  </r>
  <r>
    <n v="45228"/>
    <x v="682"/>
    <x v="14"/>
    <x v="1"/>
    <x v="8"/>
    <x v="1346"/>
    <n v="67"/>
    <n v="5"/>
    <n v="32.159999999999997"/>
    <x v="9"/>
    <x v="2"/>
  </r>
  <r>
    <n v="45228"/>
    <x v="564"/>
    <x v="3"/>
    <x v="0"/>
    <x v="3"/>
    <x v="1245"/>
    <n v="11.74"/>
    <n v="1"/>
    <n v="3.82"/>
    <x v="9"/>
    <x v="2"/>
  </r>
  <r>
    <n v="45229"/>
    <x v="80"/>
    <x v="14"/>
    <x v="0"/>
    <x v="4"/>
    <x v="16"/>
    <n v="11.68"/>
    <n v="2"/>
    <n v="3.5"/>
    <x v="9"/>
    <x v="2"/>
  </r>
  <r>
    <n v="45229"/>
    <x v="150"/>
    <x v="20"/>
    <x v="0"/>
    <x v="3"/>
    <x v="302"/>
    <n v="28.75"/>
    <n v="3"/>
    <n v="10.06"/>
    <x v="9"/>
    <x v="2"/>
  </r>
  <r>
    <n v="45229"/>
    <x v="150"/>
    <x v="20"/>
    <x v="0"/>
    <x v="4"/>
    <x v="666"/>
    <n v="114.95"/>
    <n v="5"/>
    <n v="32.19"/>
    <x v="9"/>
    <x v="2"/>
  </r>
  <r>
    <n v="45229"/>
    <x v="530"/>
    <x v="3"/>
    <x v="0"/>
    <x v="7"/>
    <x v="1144"/>
    <n v="3.62"/>
    <n v="2"/>
    <n v="1.19"/>
    <x v="9"/>
    <x v="2"/>
  </r>
  <r>
    <n v="45230"/>
    <x v="649"/>
    <x v="2"/>
    <x v="1"/>
    <x v="5"/>
    <x v="433"/>
    <n v="492.84"/>
    <n v="5"/>
    <n v="-14.08"/>
    <x v="9"/>
    <x v="2"/>
  </r>
  <r>
    <n v="45230"/>
    <x v="104"/>
    <x v="3"/>
    <x v="0"/>
    <x v="2"/>
    <x v="880"/>
    <n v="1085.42"/>
    <n v="7"/>
    <n v="282.20999999999998"/>
    <x v="9"/>
    <x v="2"/>
  </r>
  <r>
    <n v="45230"/>
    <x v="251"/>
    <x v="16"/>
    <x v="0"/>
    <x v="0"/>
    <x v="257"/>
    <n v="32.06"/>
    <n v="6"/>
    <n v="11.22"/>
    <x v="9"/>
    <x v="2"/>
  </r>
  <r>
    <n v="45230"/>
    <x v="698"/>
    <x v="39"/>
    <x v="0"/>
    <x v="14"/>
    <x v="1458"/>
    <n v="21.96"/>
    <n v="2"/>
    <n v="6.15"/>
    <x v="9"/>
    <x v="2"/>
  </r>
  <r>
    <n v="45230"/>
    <x v="698"/>
    <x v="39"/>
    <x v="1"/>
    <x v="5"/>
    <x v="1255"/>
    <n v="368.97"/>
    <n v="3"/>
    <n v="81.17"/>
    <x v="9"/>
    <x v="2"/>
  </r>
  <r>
    <n v="45230"/>
    <x v="698"/>
    <x v="39"/>
    <x v="0"/>
    <x v="4"/>
    <x v="1163"/>
    <n v="12.39"/>
    <n v="3"/>
    <n v="3.47"/>
    <x v="9"/>
    <x v="2"/>
  </r>
  <r>
    <n v="45230"/>
    <x v="698"/>
    <x v="39"/>
    <x v="0"/>
    <x v="2"/>
    <x v="351"/>
    <n v="332.94"/>
    <n v="3"/>
    <n v="9.99"/>
    <x v="9"/>
    <x v="2"/>
  </r>
  <r>
    <n v="45230"/>
    <x v="472"/>
    <x v="3"/>
    <x v="1"/>
    <x v="5"/>
    <x v="1107"/>
    <n v="1403.92"/>
    <n v="5"/>
    <n v="70.2"/>
    <x v="9"/>
    <x v="2"/>
  </r>
  <r>
    <n v="45231"/>
    <x v="307"/>
    <x v="6"/>
    <x v="2"/>
    <x v="6"/>
    <x v="383"/>
    <n v="21.8"/>
    <n v="2"/>
    <n v="6.1"/>
    <x v="10"/>
    <x v="2"/>
  </r>
  <r>
    <n v="45231"/>
    <x v="307"/>
    <x v="6"/>
    <x v="0"/>
    <x v="10"/>
    <x v="239"/>
    <n v="251.79"/>
    <n v="3"/>
    <n v="118.34"/>
    <x v="10"/>
    <x v="2"/>
  </r>
  <r>
    <n v="45231"/>
    <x v="599"/>
    <x v="0"/>
    <x v="0"/>
    <x v="2"/>
    <x v="1616"/>
    <n v="111.67"/>
    <n v="9"/>
    <n v="6.98"/>
    <x v="10"/>
    <x v="2"/>
  </r>
  <r>
    <n v="45231"/>
    <x v="21"/>
    <x v="1"/>
    <x v="2"/>
    <x v="9"/>
    <x v="662"/>
    <n v="68.11"/>
    <n v="3"/>
    <n v="17.88"/>
    <x v="10"/>
    <x v="2"/>
  </r>
  <r>
    <n v="45233"/>
    <x v="68"/>
    <x v="30"/>
    <x v="0"/>
    <x v="4"/>
    <x v="794"/>
    <n v="75.959999999999994"/>
    <n v="2"/>
    <n v="22.79"/>
    <x v="10"/>
    <x v="2"/>
  </r>
  <r>
    <n v="45233"/>
    <x v="68"/>
    <x v="30"/>
    <x v="0"/>
    <x v="3"/>
    <x v="362"/>
    <n v="27.24"/>
    <n v="6"/>
    <n v="13.35"/>
    <x v="10"/>
    <x v="2"/>
  </r>
  <r>
    <n v="45233"/>
    <x v="582"/>
    <x v="22"/>
    <x v="0"/>
    <x v="4"/>
    <x v="1169"/>
    <n v="8.82"/>
    <n v="3"/>
    <n v="2.38"/>
    <x v="10"/>
    <x v="2"/>
  </r>
  <r>
    <n v="45233"/>
    <x v="766"/>
    <x v="3"/>
    <x v="1"/>
    <x v="5"/>
    <x v="1627"/>
    <n v="217.58"/>
    <n v="2"/>
    <n v="-29.92"/>
    <x v="10"/>
    <x v="2"/>
  </r>
  <r>
    <n v="45233"/>
    <x v="766"/>
    <x v="3"/>
    <x v="2"/>
    <x v="9"/>
    <x v="1487"/>
    <n v="82.95"/>
    <n v="5"/>
    <n v="29.03"/>
    <x v="10"/>
    <x v="2"/>
  </r>
  <r>
    <n v="45233"/>
    <x v="766"/>
    <x v="3"/>
    <x v="0"/>
    <x v="1"/>
    <x v="1433"/>
    <n v="87.71"/>
    <n v="7"/>
    <n v="41.22"/>
    <x v="10"/>
    <x v="2"/>
  </r>
  <r>
    <n v="45233"/>
    <x v="766"/>
    <x v="3"/>
    <x v="0"/>
    <x v="12"/>
    <x v="1547"/>
    <n v="1101.48"/>
    <n v="4"/>
    <n v="429.58"/>
    <x v="10"/>
    <x v="2"/>
  </r>
  <r>
    <n v="45233"/>
    <x v="358"/>
    <x v="5"/>
    <x v="0"/>
    <x v="7"/>
    <x v="790"/>
    <n v="20"/>
    <n v="4"/>
    <n v="9.6"/>
    <x v="10"/>
    <x v="2"/>
  </r>
  <r>
    <n v="45233"/>
    <x v="358"/>
    <x v="5"/>
    <x v="0"/>
    <x v="4"/>
    <x v="158"/>
    <n v="7.98"/>
    <n v="3"/>
    <n v="2.0699999999999998"/>
    <x v="10"/>
    <x v="2"/>
  </r>
  <r>
    <n v="45233"/>
    <x v="358"/>
    <x v="5"/>
    <x v="1"/>
    <x v="8"/>
    <x v="1521"/>
    <n v="24.1"/>
    <n v="5"/>
    <n v="9.16"/>
    <x v="10"/>
    <x v="2"/>
  </r>
  <r>
    <n v="45233"/>
    <x v="358"/>
    <x v="5"/>
    <x v="0"/>
    <x v="4"/>
    <x v="498"/>
    <n v="8.75"/>
    <n v="1"/>
    <n v="2.63"/>
    <x v="10"/>
    <x v="2"/>
  </r>
  <r>
    <n v="45233"/>
    <x v="358"/>
    <x v="5"/>
    <x v="1"/>
    <x v="13"/>
    <x v="1681"/>
    <n v="842.94"/>
    <n v="3"/>
    <n v="160.16"/>
    <x v="10"/>
    <x v="2"/>
  </r>
  <r>
    <n v="45233"/>
    <x v="21"/>
    <x v="3"/>
    <x v="0"/>
    <x v="7"/>
    <x v="153"/>
    <n v="15.26"/>
    <n v="7"/>
    <n v="5.04"/>
    <x v="10"/>
    <x v="2"/>
  </r>
  <r>
    <n v="45233"/>
    <x v="21"/>
    <x v="3"/>
    <x v="0"/>
    <x v="12"/>
    <x v="1184"/>
    <n v="43.32"/>
    <n v="2"/>
    <n v="14.3"/>
    <x v="10"/>
    <x v="2"/>
  </r>
  <r>
    <n v="45233"/>
    <x v="21"/>
    <x v="3"/>
    <x v="0"/>
    <x v="3"/>
    <x v="362"/>
    <n v="43.58"/>
    <n v="12"/>
    <n v="15.8"/>
    <x v="10"/>
    <x v="2"/>
  </r>
  <r>
    <n v="45233"/>
    <x v="21"/>
    <x v="3"/>
    <x v="0"/>
    <x v="0"/>
    <x v="502"/>
    <n v="116.28"/>
    <n v="3"/>
    <n v="56.98"/>
    <x v="10"/>
    <x v="2"/>
  </r>
  <r>
    <n v="45233"/>
    <x v="21"/>
    <x v="3"/>
    <x v="0"/>
    <x v="3"/>
    <x v="246"/>
    <n v="9.3000000000000007"/>
    <n v="2"/>
    <n v="3.02"/>
    <x v="10"/>
    <x v="2"/>
  </r>
  <r>
    <n v="45233"/>
    <x v="21"/>
    <x v="3"/>
    <x v="0"/>
    <x v="0"/>
    <x v="1240"/>
    <n v="19.440000000000001"/>
    <n v="3"/>
    <n v="9.33"/>
    <x v="10"/>
    <x v="2"/>
  </r>
  <r>
    <n v="45233"/>
    <x v="21"/>
    <x v="3"/>
    <x v="0"/>
    <x v="0"/>
    <x v="1070"/>
    <n v="314.55"/>
    <n v="3"/>
    <n v="150.97999999999999"/>
    <x v="10"/>
    <x v="2"/>
  </r>
  <r>
    <n v="45233"/>
    <x v="225"/>
    <x v="0"/>
    <x v="0"/>
    <x v="0"/>
    <x v="741"/>
    <n v="9.25"/>
    <n v="2"/>
    <n v="3.35"/>
    <x v="10"/>
    <x v="2"/>
  </r>
  <r>
    <n v="45233"/>
    <x v="262"/>
    <x v="11"/>
    <x v="0"/>
    <x v="3"/>
    <x v="1508"/>
    <n v="4.16"/>
    <n v="7"/>
    <n v="-3.47"/>
    <x v="10"/>
    <x v="2"/>
  </r>
  <r>
    <n v="45233"/>
    <x v="262"/>
    <x v="11"/>
    <x v="2"/>
    <x v="15"/>
    <x v="1767"/>
    <n v="179.99"/>
    <n v="3"/>
    <n v="-251.99"/>
    <x v="10"/>
    <x v="2"/>
  </r>
  <r>
    <n v="45233"/>
    <x v="425"/>
    <x v="2"/>
    <x v="2"/>
    <x v="9"/>
    <x v="993"/>
    <n v="72"/>
    <n v="1"/>
    <n v="14.4"/>
    <x v="10"/>
    <x v="2"/>
  </r>
  <r>
    <n v="45233"/>
    <x v="425"/>
    <x v="2"/>
    <x v="1"/>
    <x v="5"/>
    <x v="342"/>
    <n v="470.16"/>
    <n v="7"/>
    <n v="-13.43"/>
    <x v="10"/>
    <x v="2"/>
  </r>
  <r>
    <n v="45234"/>
    <x v="554"/>
    <x v="5"/>
    <x v="0"/>
    <x v="7"/>
    <x v="642"/>
    <n v="10.74"/>
    <n v="3"/>
    <n v="5.26"/>
    <x v="10"/>
    <x v="2"/>
  </r>
  <r>
    <n v="45234"/>
    <x v="756"/>
    <x v="22"/>
    <x v="1"/>
    <x v="8"/>
    <x v="1330"/>
    <n v="209.88"/>
    <n v="3"/>
    <n v="35.68"/>
    <x v="10"/>
    <x v="2"/>
  </r>
  <r>
    <n v="45234"/>
    <x v="384"/>
    <x v="3"/>
    <x v="1"/>
    <x v="8"/>
    <x v="261"/>
    <n v="38.29"/>
    <n v="7"/>
    <n v="16.46"/>
    <x v="10"/>
    <x v="2"/>
  </r>
  <r>
    <n v="45234"/>
    <x v="426"/>
    <x v="3"/>
    <x v="0"/>
    <x v="4"/>
    <x v="456"/>
    <n v="192.8"/>
    <n v="4"/>
    <n v="55.91"/>
    <x v="10"/>
    <x v="2"/>
  </r>
  <r>
    <n v="45234"/>
    <x v="609"/>
    <x v="11"/>
    <x v="0"/>
    <x v="14"/>
    <x v="965"/>
    <n v="17.579999999999998"/>
    <n v="7"/>
    <n v="-4.18"/>
    <x v="10"/>
    <x v="2"/>
  </r>
  <r>
    <n v="45234"/>
    <x v="609"/>
    <x v="11"/>
    <x v="1"/>
    <x v="5"/>
    <x v="914"/>
    <n v="104.78"/>
    <n v="1"/>
    <n v="-14.41"/>
    <x v="10"/>
    <x v="2"/>
  </r>
  <r>
    <n v="45234"/>
    <x v="609"/>
    <x v="11"/>
    <x v="0"/>
    <x v="0"/>
    <x v="386"/>
    <n v="47.95"/>
    <n v="3"/>
    <n v="16.78"/>
    <x v="10"/>
    <x v="2"/>
  </r>
  <r>
    <n v="45234"/>
    <x v="609"/>
    <x v="11"/>
    <x v="1"/>
    <x v="5"/>
    <x v="927"/>
    <n v="650.35"/>
    <n v="3"/>
    <n v="-97.55"/>
    <x v="10"/>
    <x v="2"/>
  </r>
  <r>
    <n v="45234"/>
    <x v="609"/>
    <x v="11"/>
    <x v="0"/>
    <x v="1"/>
    <x v="493"/>
    <n v="629.17999999999995"/>
    <n v="8"/>
    <n v="228.08"/>
    <x v="10"/>
    <x v="2"/>
  </r>
  <r>
    <n v="45234"/>
    <x v="609"/>
    <x v="11"/>
    <x v="0"/>
    <x v="0"/>
    <x v="167"/>
    <n v="15.18"/>
    <n v="1"/>
    <n v="5.31"/>
    <x v="10"/>
    <x v="2"/>
  </r>
  <r>
    <n v="45234"/>
    <x v="591"/>
    <x v="16"/>
    <x v="1"/>
    <x v="8"/>
    <x v="58"/>
    <n v="50.5"/>
    <n v="6"/>
    <n v="8.2100000000000009"/>
    <x v="10"/>
    <x v="2"/>
  </r>
  <r>
    <n v="45234"/>
    <x v="249"/>
    <x v="3"/>
    <x v="0"/>
    <x v="3"/>
    <x v="575"/>
    <n v="7.71"/>
    <n v="2"/>
    <n v="2.8"/>
    <x v="10"/>
    <x v="2"/>
  </r>
  <r>
    <n v="45234"/>
    <x v="249"/>
    <x v="3"/>
    <x v="0"/>
    <x v="3"/>
    <x v="613"/>
    <n v="4.18"/>
    <n v="1"/>
    <n v="1.31"/>
    <x v="10"/>
    <x v="2"/>
  </r>
  <r>
    <n v="45234"/>
    <x v="249"/>
    <x v="3"/>
    <x v="0"/>
    <x v="0"/>
    <x v="697"/>
    <n v="38.880000000000003"/>
    <n v="6"/>
    <n v="18.66"/>
    <x v="10"/>
    <x v="2"/>
  </r>
  <r>
    <n v="45234"/>
    <x v="727"/>
    <x v="25"/>
    <x v="0"/>
    <x v="2"/>
    <x v="370"/>
    <n v="45.25"/>
    <n v="2"/>
    <n v="3.96"/>
    <x v="10"/>
    <x v="2"/>
  </r>
  <r>
    <n v="45234"/>
    <x v="727"/>
    <x v="25"/>
    <x v="1"/>
    <x v="13"/>
    <x v="1060"/>
    <n v="876.3"/>
    <n v="10"/>
    <n v="-292.10000000000002"/>
    <x v="10"/>
    <x v="2"/>
  </r>
  <r>
    <n v="45234"/>
    <x v="727"/>
    <x v="25"/>
    <x v="0"/>
    <x v="14"/>
    <x v="1673"/>
    <n v="185.38"/>
    <n v="2"/>
    <n v="-34.76"/>
    <x v="10"/>
    <x v="2"/>
  </r>
  <r>
    <n v="45234"/>
    <x v="204"/>
    <x v="3"/>
    <x v="2"/>
    <x v="15"/>
    <x v="1768"/>
    <n v="686.4"/>
    <n v="2"/>
    <n v="77.22"/>
    <x v="10"/>
    <x v="2"/>
  </r>
  <r>
    <n v="45234"/>
    <x v="533"/>
    <x v="0"/>
    <x v="1"/>
    <x v="8"/>
    <x v="1336"/>
    <n v="11.38"/>
    <n v="3"/>
    <n v="-5.69"/>
    <x v="10"/>
    <x v="2"/>
  </r>
  <r>
    <n v="45234"/>
    <x v="533"/>
    <x v="0"/>
    <x v="1"/>
    <x v="8"/>
    <x v="392"/>
    <n v="66.11"/>
    <n v="4"/>
    <n v="-84.29"/>
    <x v="10"/>
    <x v="2"/>
  </r>
  <r>
    <n v="45235"/>
    <x v="431"/>
    <x v="3"/>
    <x v="0"/>
    <x v="3"/>
    <x v="1550"/>
    <n v="29.12"/>
    <n v="5"/>
    <n v="9.83"/>
    <x v="10"/>
    <x v="2"/>
  </r>
  <r>
    <n v="45235"/>
    <x v="756"/>
    <x v="2"/>
    <x v="2"/>
    <x v="6"/>
    <x v="1482"/>
    <n v="23.99"/>
    <n v="2"/>
    <n v="-15.99"/>
    <x v="10"/>
    <x v="2"/>
  </r>
  <r>
    <n v="45235"/>
    <x v="287"/>
    <x v="0"/>
    <x v="1"/>
    <x v="13"/>
    <x v="1301"/>
    <n v="863.13"/>
    <n v="8"/>
    <n v="-160.30000000000001"/>
    <x v="10"/>
    <x v="2"/>
  </r>
  <r>
    <n v="45235"/>
    <x v="287"/>
    <x v="0"/>
    <x v="0"/>
    <x v="3"/>
    <x v="56"/>
    <n v="3.56"/>
    <n v="3"/>
    <n v="-6.24"/>
    <x v="10"/>
    <x v="2"/>
  </r>
  <r>
    <n v="45235"/>
    <x v="287"/>
    <x v="0"/>
    <x v="1"/>
    <x v="11"/>
    <x v="1446"/>
    <n v="956.66"/>
    <n v="7"/>
    <n v="-225.1"/>
    <x v="10"/>
    <x v="2"/>
  </r>
  <r>
    <n v="45235"/>
    <x v="287"/>
    <x v="0"/>
    <x v="0"/>
    <x v="3"/>
    <x v="702"/>
    <n v="12.59"/>
    <n v="3"/>
    <n v="-20.14"/>
    <x v="10"/>
    <x v="2"/>
  </r>
  <r>
    <n v="45235"/>
    <x v="287"/>
    <x v="0"/>
    <x v="2"/>
    <x v="9"/>
    <x v="1769"/>
    <n v="171.96"/>
    <n v="5"/>
    <n v="45.14"/>
    <x v="10"/>
    <x v="2"/>
  </r>
  <r>
    <n v="45235"/>
    <x v="415"/>
    <x v="18"/>
    <x v="0"/>
    <x v="3"/>
    <x v="702"/>
    <n v="104.9"/>
    <n v="5"/>
    <n v="50.35"/>
    <x v="10"/>
    <x v="2"/>
  </r>
  <r>
    <n v="45235"/>
    <x v="415"/>
    <x v="18"/>
    <x v="0"/>
    <x v="4"/>
    <x v="311"/>
    <n v="39.68"/>
    <n v="2"/>
    <n v="16.27"/>
    <x v="10"/>
    <x v="2"/>
  </r>
  <r>
    <n v="45235"/>
    <x v="415"/>
    <x v="18"/>
    <x v="0"/>
    <x v="1"/>
    <x v="1476"/>
    <n v="51.75"/>
    <n v="5"/>
    <n v="24.84"/>
    <x v="10"/>
    <x v="2"/>
  </r>
  <r>
    <n v="45235"/>
    <x v="343"/>
    <x v="3"/>
    <x v="0"/>
    <x v="3"/>
    <x v="1356"/>
    <n v="53.25"/>
    <n v="2"/>
    <n v="19.97"/>
    <x v="10"/>
    <x v="2"/>
  </r>
  <r>
    <n v="45235"/>
    <x v="438"/>
    <x v="0"/>
    <x v="0"/>
    <x v="1"/>
    <x v="236"/>
    <n v="11.84"/>
    <n v="1"/>
    <n v="4.4400000000000004"/>
    <x v="10"/>
    <x v="2"/>
  </r>
  <r>
    <n v="45235"/>
    <x v="377"/>
    <x v="22"/>
    <x v="2"/>
    <x v="9"/>
    <x v="1770"/>
    <n v="479.72"/>
    <n v="4"/>
    <n v="52.77"/>
    <x v="10"/>
    <x v="2"/>
  </r>
  <r>
    <n v="45235"/>
    <x v="564"/>
    <x v="3"/>
    <x v="2"/>
    <x v="9"/>
    <x v="1470"/>
    <n v="72"/>
    <n v="4"/>
    <n v="12.96"/>
    <x v="10"/>
    <x v="2"/>
  </r>
  <r>
    <n v="45235"/>
    <x v="564"/>
    <x v="3"/>
    <x v="1"/>
    <x v="5"/>
    <x v="1168"/>
    <n v="113.89"/>
    <n v="2"/>
    <n v="9.9700000000000006"/>
    <x v="10"/>
    <x v="2"/>
  </r>
  <r>
    <n v="45235"/>
    <x v="564"/>
    <x v="3"/>
    <x v="0"/>
    <x v="10"/>
    <x v="382"/>
    <n v="158.13"/>
    <n v="3"/>
    <n v="77.48"/>
    <x v="10"/>
    <x v="2"/>
  </r>
  <r>
    <n v="45235"/>
    <x v="395"/>
    <x v="6"/>
    <x v="1"/>
    <x v="8"/>
    <x v="769"/>
    <n v="273.95999999999998"/>
    <n v="2"/>
    <n v="71.23"/>
    <x v="10"/>
    <x v="2"/>
  </r>
  <r>
    <n v="45235"/>
    <x v="395"/>
    <x v="6"/>
    <x v="2"/>
    <x v="9"/>
    <x v="1503"/>
    <n v="89.97"/>
    <n v="3"/>
    <n v="18.89"/>
    <x v="10"/>
    <x v="2"/>
  </r>
  <r>
    <n v="45235"/>
    <x v="395"/>
    <x v="6"/>
    <x v="1"/>
    <x v="8"/>
    <x v="1730"/>
    <n v="756.8"/>
    <n v="5"/>
    <n v="75.680000000000007"/>
    <x v="10"/>
    <x v="2"/>
  </r>
  <r>
    <n v="45236"/>
    <x v="471"/>
    <x v="3"/>
    <x v="1"/>
    <x v="5"/>
    <x v="1748"/>
    <n v="81.42"/>
    <n v="2"/>
    <n v="-9.16"/>
    <x v="10"/>
    <x v="2"/>
  </r>
  <r>
    <n v="45236"/>
    <x v="471"/>
    <x v="3"/>
    <x v="1"/>
    <x v="8"/>
    <x v="1100"/>
    <n v="238.56"/>
    <n v="3"/>
    <n v="26.24"/>
    <x v="10"/>
    <x v="2"/>
  </r>
  <r>
    <n v="45236"/>
    <x v="254"/>
    <x v="16"/>
    <x v="1"/>
    <x v="5"/>
    <x v="1155"/>
    <n v="207.98"/>
    <n v="2"/>
    <n v="-28.6"/>
    <x v="10"/>
    <x v="2"/>
  </r>
  <r>
    <n v="45236"/>
    <x v="254"/>
    <x v="16"/>
    <x v="0"/>
    <x v="0"/>
    <x v="1675"/>
    <n v="36.11"/>
    <n v="2"/>
    <n v="12.64"/>
    <x v="10"/>
    <x v="2"/>
  </r>
  <r>
    <n v="45236"/>
    <x v="254"/>
    <x v="16"/>
    <x v="1"/>
    <x v="8"/>
    <x v="1150"/>
    <n v="35.57"/>
    <n v="2"/>
    <n v="5.78"/>
    <x v="10"/>
    <x v="2"/>
  </r>
  <r>
    <n v="45236"/>
    <x v="254"/>
    <x v="16"/>
    <x v="0"/>
    <x v="0"/>
    <x v="267"/>
    <n v="88.77"/>
    <n v="2"/>
    <n v="31.07"/>
    <x v="10"/>
    <x v="2"/>
  </r>
  <r>
    <n v="45236"/>
    <x v="576"/>
    <x v="3"/>
    <x v="0"/>
    <x v="2"/>
    <x v="370"/>
    <n v="84.84"/>
    <n v="3"/>
    <n v="22.91"/>
    <x v="10"/>
    <x v="2"/>
  </r>
  <r>
    <n v="45237"/>
    <x v="655"/>
    <x v="22"/>
    <x v="0"/>
    <x v="3"/>
    <x v="1385"/>
    <n v="27.68"/>
    <n v="2"/>
    <n v="9.69"/>
    <x v="10"/>
    <x v="2"/>
  </r>
  <r>
    <n v="45237"/>
    <x v="673"/>
    <x v="3"/>
    <x v="0"/>
    <x v="3"/>
    <x v="363"/>
    <n v="37.44"/>
    <n v="4"/>
    <n v="11.7"/>
    <x v="10"/>
    <x v="2"/>
  </r>
  <r>
    <n v="45237"/>
    <x v="673"/>
    <x v="3"/>
    <x v="0"/>
    <x v="3"/>
    <x v="250"/>
    <n v="26.98"/>
    <n v="4"/>
    <n v="8.77"/>
    <x v="10"/>
    <x v="2"/>
  </r>
  <r>
    <n v="45237"/>
    <x v="673"/>
    <x v="3"/>
    <x v="0"/>
    <x v="14"/>
    <x v="1745"/>
    <n v="11.36"/>
    <n v="2"/>
    <n v="3.29"/>
    <x v="10"/>
    <x v="2"/>
  </r>
  <r>
    <n v="45237"/>
    <x v="673"/>
    <x v="3"/>
    <x v="0"/>
    <x v="1"/>
    <x v="1323"/>
    <n v="14.62"/>
    <n v="2"/>
    <n v="6.87"/>
    <x v="10"/>
    <x v="2"/>
  </r>
  <r>
    <n v="45237"/>
    <x v="595"/>
    <x v="3"/>
    <x v="1"/>
    <x v="8"/>
    <x v="1659"/>
    <n v="14.82"/>
    <n v="3"/>
    <n v="6.22"/>
    <x v="10"/>
    <x v="2"/>
  </r>
  <r>
    <n v="45237"/>
    <x v="491"/>
    <x v="10"/>
    <x v="2"/>
    <x v="9"/>
    <x v="399"/>
    <n v="119.98"/>
    <n v="3"/>
    <n v="22.5"/>
    <x v="10"/>
    <x v="2"/>
  </r>
  <r>
    <n v="45237"/>
    <x v="204"/>
    <x v="23"/>
    <x v="0"/>
    <x v="7"/>
    <x v="1534"/>
    <n v="14.96"/>
    <n v="4"/>
    <n v="0.3"/>
    <x v="10"/>
    <x v="2"/>
  </r>
  <r>
    <n v="45237"/>
    <x v="577"/>
    <x v="3"/>
    <x v="0"/>
    <x v="0"/>
    <x v="861"/>
    <n v="12.9"/>
    <n v="2"/>
    <n v="6.32"/>
    <x v="10"/>
    <x v="2"/>
  </r>
  <r>
    <n v="45237"/>
    <x v="415"/>
    <x v="46"/>
    <x v="1"/>
    <x v="5"/>
    <x v="610"/>
    <n v="1603.14"/>
    <n v="4"/>
    <n v="100.2"/>
    <x v="10"/>
    <x v="2"/>
  </r>
  <r>
    <n v="45237"/>
    <x v="399"/>
    <x v="20"/>
    <x v="2"/>
    <x v="6"/>
    <x v="305"/>
    <n v="263.95999999999998"/>
    <n v="4"/>
    <n v="71.27"/>
    <x v="10"/>
    <x v="2"/>
  </r>
  <r>
    <n v="45237"/>
    <x v="399"/>
    <x v="20"/>
    <x v="2"/>
    <x v="6"/>
    <x v="1118"/>
    <n v="359.97"/>
    <n v="3"/>
    <n v="100.79"/>
    <x v="10"/>
    <x v="2"/>
  </r>
  <r>
    <n v="45237"/>
    <x v="399"/>
    <x v="20"/>
    <x v="0"/>
    <x v="0"/>
    <x v="736"/>
    <n v="12.96"/>
    <n v="2"/>
    <n v="6.22"/>
    <x v="10"/>
    <x v="2"/>
  </r>
  <r>
    <n v="45237"/>
    <x v="399"/>
    <x v="20"/>
    <x v="0"/>
    <x v="2"/>
    <x v="945"/>
    <n v="116.82"/>
    <n v="3"/>
    <n v="5.84"/>
    <x v="10"/>
    <x v="2"/>
  </r>
  <r>
    <n v="45237"/>
    <x v="399"/>
    <x v="20"/>
    <x v="0"/>
    <x v="3"/>
    <x v="1644"/>
    <n v="276.77999999999997"/>
    <n v="2"/>
    <n v="89.95"/>
    <x v="10"/>
    <x v="2"/>
  </r>
  <r>
    <n v="45237"/>
    <x v="283"/>
    <x v="0"/>
    <x v="1"/>
    <x v="8"/>
    <x v="1614"/>
    <n v="44.46"/>
    <n v="5"/>
    <n v="-17.78"/>
    <x v="10"/>
    <x v="2"/>
  </r>
  <r>
    <n v="45237"/>
    <x v="283"/>
    <x v="0"/>
    <x v="0"/>
    <x v="2"/>
    <x v="1575"/>
    <n v="314.08999999999997"/>
    <n v="3"/>
    <n v="19.63"/>
    <x v="10"/>
    <x v="2"/>
  </r>
  <r>
    <n v="45237"/>
    <x v="44"/>
    <x v="3"/>
    <x v="2"/>
    <x v="9"/>
    <x v="552"/>
    <n v="479.97"/>
    <n v="3"/>
    <n v="163.19"/>
    <x v="10"/>
    <x v="2"/>
  </r>
  <r>
    <n v="45237"/>
    <x v="437"/>
    <x v="3"/>
    <x v="0"/>
    <x v="3"/>
    <x v="171"/>
    <n v="57.58"/>
    <n v="2"/>
    <n v="20.149999999999999"/>
    <x v="10"/>
    <x v="2"/>
  </r>
  <r>
    <n v="45238"/>
    <x v="704"/>
    <x v="5"/>
    <x v="1"/>
    <x v="11"/>
    <x v="1662"/>
    <n v="261.95999999999998"/>
    <n v="2"/>
    <n v="41.91"/>
    <x v="10"/>
    <x v="2"/>
  </r>
  <r>
    <n v="45238"/>
    <x v="704"/>
    <x v="5"/>
    <x v="1"/>
    <x v="5"/>
    <x v="528"/>
    <n v="731.94"/>
    <n v="3"/>
    <n v="219.58"/>
    <x v="10"/>
    <x v="2"/>
  </r>
  <r>
    <n v="45239"/>
    <x v="413"/>
    <x v="3"/>
    <x v="2"/>
    <x v="9"/>
    <x v="138"/>
    <n v="479.97"/>
    <n v="3"/>
    <n v="177.59"/>
    <x v="10"/>
    <x v="2"/>
  </r>
  <r>
    <n v="45240"/>
    <x v="593"/>
    <x v="3"/>
    <x v="0"/>
    <x v="2"/>
    <x v="1122"/>
    <n v="155.82"/>
    <n v="7"/>
    <n v="42.07"/>
    <x v="10"/>
    <x v="2"/>
  </r>
  <r>
    <n v="45240"/>
    <x v="593"/>
    <x v="3"/>
    <x v="0"/>
    <x v="3"/>
    <x v="1223"/>
    <n v="70.010000000000005"/>
    <n v="3"/>
    <n v="24.5"/>
    <x v="10"/>
    <x v="2"/>
  </r>
  <r>
    <n v="45240"/>
    <x v="684"/>
    <x v="3"/>
    <x v="0"/>
    <x v="3"/>
    <x v="333"/>
    <n v="13.22"/>
    <n v="4"/>
    <n v="4.46"/>
    <x v="10"/>
    <x v="2"/>
  </r>
  <r>
    <n v="45240"/>
    <x v="684"/>
    <x v="3"/>
    <x v="0"/>
    <x v="0"/>
    <x v="1499"/>
    <n v="32.4"/>
    <n v="5"/>
    <n v="15.55"/>
    <x v="10"/>
    <x v="2"/>
  </r>
  <r>
    <n v="45240"/>
    <x v="587"/>
    <x v="4"/>
    <x v="0"/>
    <x v="4"/>
    <x v="588"/>
    <n v="41.86"/>
    <n v="7"/>
    <n v="10.47"/>
    <x v="10"/>
    <x v="2"/>
  </r>
  <r>
    <n v="45240"/>
    <x v="192"/>
    <x v="10"/>
    <x v="0"/>
    <x v="14"/>
    <x v="488"/>
    <n v="14.72"/>
    <n v="5"/>
    <n v="-3.31"/>
    <x v="10"/>
    <x v="2"/>
  </r>
  <r>
    <n v="45240"/>
    <x v="192"/>
    <x v="10"/>
    <x v="0"/>
    <x v="2"/>
    <x v="90"/>
    <n v="38.979999999999997"/>
    <n v="3"/>
    <n v="-2.44"/>
    <x v="10"/>
    <x v="2"/>
  </r>
  <r>
    <n v="45240"/>
    <x v="367"/>
    <x v="10"/>
    <x v="0"/>
    <x v="1"/>
    <x v="349"/>
    <n v="9.2200000000000006"/>
    <n v="4"/>
    <n v="3.34"/>
    <x v="10"/>
    <x v="2"/>
  </r>
  <r>
    <n v="45240"/>
    <x v="367"/>
    <x v="10"/>
    <x v="2"/>
    <x v="6"/>
    <x v="356"/>
    <n v="41.96"/>
    <n v="7"/>
    <n v="-9.7899999999999991"/>
    <x v="10"/>
    <x v="2"/>
  </r>
  <r>
    <n v="45240"/>
    <x v="367"/>
    <x v="10"/>
    <x v="0"/>
    <x v="0"/>
    <x v="1033"/>
    <n v="89.57"/>
    <n v="2"/>
    <n v="32.47"/>
    <x v="10"/>
    <x v="2"/>
  </r>
  <r>
    <n v="45240"/>
    <x v="367"/>
    <x v="10"/>
    <x v="0"/>
    <x v="0"/>
    <x v="1032"/>
    <n v="22.25"/>
    <n v="3"/>
    <n v="7.51"/>
    <x v="10"/>
    <x v="2"/>
  </r>
  <r>
    <n v="45240"/>
    <x v="367"/>
    <x v="10"/>
    <x v="0"/>
    <x v="12"/>
    <x v="1551"/>
    <n v="334.88"/>
    <n v="4"/>
    <n v="29.3"/>
    <x v="10"/>
    <x v="2"/>
  </r>
  <r>
    <n v="45240"/>
    <x v="367"/>
    <x v="10"/>
    <x v="1"/>
    <x v="8"/>
    <x v="765"/>
    <n v="148.29"/>
    <n v="7"/>
    <n v="29.66"/>
    <x v="10"/>
    <x v="2"/>
  </r>
  <r>
    <n v="45240"/>
    <x v="367"/>
    <x v="10"/>
    <x v="0"/>
    <x v="0"/>
    <x v="834"/>
    <n v="4.62"/>
    <n v="1"/>
    <n v="1.68"/>
    <x v="10"/>
    <x v="2"/>
  </r>
  <r>
    <n v="45240"/>
    <x v="367"/>
    <x v="10"/>
    <x v="2"/>
    <x v="9"/>
    <x v="1106"/>
    <n v="178.92"/>
    <n v="7"/>
    <n v="-29.07"/>
    <x v="10"/>
    <x v="2"/>
  </r>
  <r>
    <n v="45240"/>
    <x v="367"/>
    <x v="10"/>
    <x v="0"/>
    <x v="3"/>
    <x v="1356"/>
    <n v="69.89"/>
    <n v="7"/>
    <n v="-46.59"/>
    <x v="10"/>
    <x v="2"/>
  </r>
  <r>
    <n v="45240"/>
    <x v="282"/>
    <x v="0"/>
    <x v="2"/>
    <x v="9"/>
    <x v="247"/>
    <n v="279.94"/>
    <n v="7"/>
    <n v="48.99"/>
    <x v="10"/>
    <x v="2"/>
  </r>
  <r>
    <n v="45240"/>
    <x v="666"/>
    <x v="24"/>
    <x v="1"/>
    <x v="8"/>
    <x v="1290"/>
    <n v="37.299999999999997"/>
    <n v="2"/>
    <n v="17.16"/>
    <x v="10"/>
    <x v="2"/>
  </r>
  <r>
    <n v="45240"/>
    <x v="666"/>
    <x v="24"/>
    <x v="0"/>
    <x v="3"/>
    <x v="209"/>
    <n v="81.96"/>
    <n v="2"/>
    <n v="39.340000000000003"/>
    <x v="10"/>
    <x v="2"/>
  </r>
  <r>
    <n v="45240"/>
    <x v="562"/>
    <x v="20"/>
    <x v="0"/>
    <x v="3"/>
    <x v="1154"/>
    <n v="20.37"/>
    <n v="1"/>
    <n v="7.38"/>
    <x v="10"/>
    <x v="2"/>
  </r>
  <r>
    <n v="45240"/>
    <x v="562"/>
    <x v="20"/>
    <x v="0"/>
    <x v="3"/>
    <x v="471"/>
    <n v="49.85"/>
    <n v="3"/>
    <n v="16.82"/>
    <x v="10"/>
    <x v="2"/>
  </r>
  <r>
    <n v="45240"/>
    <x v="170"/>
    <x v="3"/>
    <x v="0"/>
    <x v="0"/>
    <x v="1675"/>
    <n v="67.709999999999994"/>
    <n v="3"/>
    <n v="32.5"/>
    <x v="10"/>
    <x v="2"/>
  </r>
  <r>
    <n v="45240"/>
    <x v="170"/>
    <x v="3"/>
    <x v="0"/>
    <x v="12"/>
    <x v="1771"/>
    <n v="129.91999999999999"/>
    <n v="4"/>
    <n v="38.979999999999997"/>
    <x v="10"/>
    <x v="2"/>
  </r>
  <r>
    <n v="45240"/>
    <x v="170"/>
    <x v="3"/>
    <x v="1"/>
    <x v="8"/>
    <x v="19"/>
    <n v="467.46"/>
    <n v="9"/>
    <n v="191.66"/>
    <x v="10"/>
    <x v="2"/>
  </r>
  <r>
    <n v="45240"/>
    <x v="170"/>
    <x v="3"/>
    <x v="0"/>
    <x v="0"/>
    <x v="369"/>
    <n v="61.4"/>
    <n v="5"/>
    <n v="28.86"/>
    <x v="10"/>
    <x v="2"/>
  </r>
  <r>
    <n v="45240"/>
    <x v="170"/>
    <x v="3"/>
    <x v="0"/>
    <x v="2"/>
    <x v="1126"/>
    <n v="720.76"/>
    <n v="4"/>
    <n v="187.4"/>
    <x v="10"/>
    <x v="2"/>
  </r>
  <r>
    <n v="45240"/>
    <x v="170"/>
    <x v="3"/>
    <x v="0"/>
    <x v="3"/>
    <x v="1056"/>
    <n v="5.18"/>
    <n v="3"/>
    <n v="1.81"/>
    <x v="10"/>
    <x v="2"/>
  </r>
  <r>
    <n v="45240"/>
    <x v="170"/>
    <x v="3"/>
    <x v="0"/>
    <x v="4"/>
    <x v="1772"/>
    <n v="14.7"/>
    <n v="5"/>
    <n v="3.97"/>
    <x v="10"/>
    <x v="2"/>
  </r>
  <r>
    <n v="45240"/>
    <x v="151"/>
    <x v="3"/>
    <x v="1"/>
    <x v="8"/>
    <x v="1652"/>
    <n v="9.98"/>
    <n v="1"/>
    <n v="2.79"/>
    <x v="10"/>
    <x v="2"/>
  </r>
  <r>
    <n v="45240"/>
    <x v="644"/>
    <x v="3"/>
    <x v="0"/>
    <x v="2"/>
    <x v="1750"/>
    <n v="29.74"/>
    <n v="1"/>
    <n v="4.46"/>
    <x v="10"/>
    <x v="2"/>
  </r>
  <r>
    <n v="45240"/>
    <x v="9"/>
    <x v="10"/>
    <x v="0"/>
    <x v="0"/>
    <x v="1444"/>
    <n v="31.1"/>
    <n v="6"/>
    <n v="10.89"/>
    <x v="10"/>
    <x v="2"/>
  </r>
  <r>
    <n v="45240"/>
    <x v="48"/>
    <x v="39"/>
    <x v="2"/>
    <x v="6"/>
    <x v="1250"/>
    <n v="221.98"/>
    <n v="2"/>
    <n v="62.15"/>
    <x v="10"/>
    <x v="2"/>
  </r>
  <r>
    <n v="45240"/>
    <x v="48"/>
    <x v="39"/>
    <x v="1"/>
    <x v="11"/>
    <x v="76"/>
    <n v="341.96"/>
    <n v="2"/>
    <n v="54.71"/>
    <x v="10"/>
    <x v="2"/>
  </r>
  <r>
    <n v="45240"/>
    <x v="72"/>
    <x v="20"/>
    <x v="0"/>
    <x v="3"/>
    <x v="475"/>
    <n v="3.64"/>
    <n v="1"/>
    <n v="1.37"/>
    <x v="10"/>
    <x v="2"/>
  </r>
  <r>
    <n v="45240"/>
    <x v="72"/>
    <x v="20"/>
    <x v="2"/>
    <x v="6"/>
    <x v="696"/>
    <n v="881.93"/>
    <n v="7"/>
    <n v="220.48"/>
    <x v="10"/>
    <x v="2"/>
  </r>
  <r>
    <n v="45241"/>
    <x v="741"/>
    <x v="20"/>
    <x v="2"/>
    <x v="9"/>
    <x v="1103"/>
    <n v="59.97"/>
    <n v="3"/>
    <n v="14.99"/>
    <x v="10"/>
    <x v="2"/>
  </r>
  <r>
    <n v="45241"/>
    <x v="741"/>
    <x v="20"/>
    <x v="0"/>
    <x v="2"/>
    <x v="451"/>
    <n v="83.36"/>
    <n v="1"/>
    <n v="20.84"/>
    <x v="10"/>
    <x v="2"/>
  </r>
  <r>
    <n v="45241"/>
    <x v="653"/>
    <x v="1"/>
    <x v="2"/>
    <x v="9"/>
    <x v="991"/>
    <n v="95.97"/>
    <n v="4"/>
    <n v="1.2"/>
    <x v="10"/>
    <x v="2"/>
  </r>
  <r>
    <n v="45241"/>
    <x v="653"/>
    <x v="1"/>
    <x v="1"/>
    <x v="5"/>
    <x v="1350"/>
    <n v="47.99"/>
    <n v="2"/>
    <n v="-2.06"/>
    <x v="10"/>
    <x v="2"/>
  </r>
  <r>
    <n v="45241"/>
    <x v="437"/>
    <x v="14"/>
    <x v="2"/>
    <x v="6"/>
    <x v="967"/>
    <n v="257.98"/>
    <n v="2"/>
    <n v="74.81"/>
    <x v="10"/>
    <x v="2"/>
  </r>
  <r>
    <n v="45241"/>
    <x v="328"/>
    <x v="3"/>
    <x v="1"/>
    <x v="8"/>
    <x v="365"/>
    <n v="6.96"/>
    <n v="4"/>
    <n v="2.23"/>
    <x v="10"/>
    <x v="2"/>
  </r>
  <r>
    <n v="45241"/>
    <x v="162"/>
    <x v="16"/>
    <x v="0"/>
    <x v="3"/>
    <x v="275"/>
    <n v="9.89"/>
    <n v="2"/>
    <n v="-6.92"/>
    <x v="10"/>
    <x v="2"/>
  </r>
  <r>
    <n v="45241"/>
    <x v="162"/>
    <x v="16"/>
    <x v="0"/>
    <x v="12"/>
    <x v="1712"/>
    <n v="671.54"/>
    <n v="3"/>
    <n v="50.37"/>
    <x v="10"/>
    <x v="2"/>
  </r>
  <r>
    <n v="45241"/>
    <x v="615"/>
    <x v="20"/>
    <x v="0"/>
    <x v="2"/>
    <x v="163"/>
    <n v="28.14"/>
    <n v="3"/>
    <n v="7.88"/>
    <x v="10"/>
    <x v="2"/>
  </r>
  <r>
    <n v="45241"/>
    <x v="615"/>
    <x v="20"/>
    <x v="2"/>
    <x v="9"/>
    <x v="1470"/>
    <n v="36"/>
    <n v="2"/>
    <n v="6.48"/>
    <x v="10"/>
    <x v="2"/>
  </r>
  <r>
    <n v="45241"/>
    <x v="615"/>
    <x v="20"/>
    <x v="0"/>
    <x v="4"/>
    <x v="1192"/>
    <n v="92.94"/>
    <n v="3"/>
    <n v="25.09"/>
    <x v="10"/>
    <x v="2"/>
  </r>
  <r>
    <n v="45241"/>
    <x v="615"/>
    <x v="20"/>
    <x v="1"/>
    <x v="5"/>
    <x v="943"/>
    <n v="245.65"/>
    <n v="3"/>
    <n v="8.19"/>
    <x v="10"/>
    <x v="2"/>
  </r>
  <r>
    <n v="45241"/>
    <x v="615"/>
    <x v="20"/>
    <x v="0"/>
    <x v="3"/>
    <x v="1461"/>
    <n v="55.01"/>
    <n v="3"/>
    <n v="17.190000000000001"/>
    <x v="10"/>
    <x v="2"/>
  </r>
  <r>
    <n v="45241"/>
    <x v="615"/>
    <x v="20"/>
    <x v="0"/>
    <x v="3"/>
    <x v="1245"/>
    <n v="35.229999999999997"/>
    <n v="3"/>
    <n v="11.45"/>
    <x v="10"/>
    <x v="2"/>
  </r>
  <r>
    <n v="45241"/>
    <x v="269"/>
    <x v="3"/>
    <x v="1"/>
    <x v="8"/>
    <x v="1773"/>
    <n v="41.96"/>
    <n v="2"/>
    <n v="10.91"/>
    <x v="10"/>
    <x v="2"/>
  </r>
  <r>
    <n v="45241"/>
    <x v="269"/>
    <x v="3"/>
    <x v="1"/>
    <x v="5"/>
    <x v="612"/>
    <n v="451.15"/>
    <n v="3"/>
    <n v="0"/>
    <x v="10"/>
    <x v="2"/>
  </r>
  <r>
    <n v="45241"/>
    <x v="269"/>
    <x v="3"/>
    <x v="0"/>
    <x v="3"/>
    <x v="824"/>
    <n v="31.5"/>
    <n v="11"/>
    <n v="11.03"/>
    <x v="10"/>
    <x v="2"/>
  </r>
  <r>
    <n v="45241"/>
    <x v="756"/>
    <x v="18"/>
    <x v="1"/>
    <x v="13"/>
    <x v="178"/>
    <n v="2678.94"/>
    <n v="6"/>
    <n v="241.1"/>
    <x v="10"/>
    <x v="2"/>
  </r>
  <r>
    <n v="45241"/>
    <x v="774"/>
    <x v="1"/>
    <x v="0"/>
    <x v="4"/>
    <x v="1169"/>
    <n v="14.11"/>
    <n v="6"/>
    <n v="1.23"/>
    <x v="10"/>
    <x v="2"/>
  </r>
  <r>
    <n v="45242"/>
    <x v="102"/>
    <x v="12"/>
    <x v="0"/>
    <x v="3"/>
    <x v="950"/>
    <n v="6.27"/>
    <n v="5"/>
    <n v="-4.5999999999999996"/>
    <x v="10"/>
    <x v="2"/>
  </r>
  <r>
    <n v="45242"/>
    <x v="102"/>
    <x v="12"/>
    <x v="0"/>
    <x v="3"/>
    <x v="1496"/>
    <n v="4.37"/>
    <n v="7"/>
    <n v="-3.35"/>
    <x v="10"/>
    <x v="2"/>
  </r>
  <r>
    <n v="45242"/>
    <x v="102"/>
    <x v="12"/>
    <x v="2"/>
    <x v="9"/>
    <x v="1103"/>
    <n v="31.98"/>
    <n v="2"/>
    <n v="2"/>
    <x v="10"/>
    <x v="2"/>
  </r>
  <r>
    <n v="45242"/>
    <x v="136"/>
    <x v="18"/>
    <x v="0"/>
    <x v="10"/>
    <x v="1577"/>
    <n v="287.52"/>
    <n v="8"/>
    <n v="129.38"/>
    <x v="10"/>
    <x v="2"/>
  </r>
  <r>
    <n v="45242"/>
    <x v="136"/>
    <x v="18"/>
    <x v="0"/>
    <x v="12"/>
    <x v="1173"/>
    <n v="37.68"/>
    <n v="2"/>
    <n v="10.55"/>
    <x v="10"/>
    <x v="2"/>
  </r>
  <r>
    <n v="45242"/>
    <x v="136"/>
    <x v="18"/>
    <x v="0"/>
    <x v="0"/>
    <x v="1413"/>
    <n v="19.98"/>
    <n v="2"/>
    <n v="8.99"/>
    <x v="10"/>
    <x v="2"/>
  </r>
  <r>
    <n v="45242"/>
    <x v="136"/>
    <x v="18"/>
    <x v="0"/>
    <x v="4"/>
    <x v="1169"/>
    <n v="20.58"/>
    <n v="7"/>
    <n v="5.56"/>
    <x v="10"/>
    <x v="2"/>
  </r>
  <r>
    <n v="45242"/>
    <x v="136"/>
    <x v="18"/>
    <x v="0"/>
    <x v="3"/>
    <x v="1296"/>
    <n v="17.38"/>
    <n v="2"/>
    <n v="8.69"/>
    <x v="10"/>
    <x v="2"/>
  </r>
  <r>
    <n v="45242"/>
    <x v="530"/>
    <x v="10"/>
    <x v="1"/>
    <x v="5"/>
    <x v="149"/>
    <n v="1474.8"/>
    <n v="7"/>
    <n v="-21.07"/>
    <x v="10"/>
    <x v="2"/>
  </r>
  <r>
    <n v="45242"/>
    <x v="530"/>
    <x v="10"/>
    <x v="0"/>
    <x v="12"/>
    <x v="52"/>
    <n v="110.1"/>
    <n v="2"/>
    <n v="33.03"/>
    <x v="10"/>
    <x v="2"/>
  </r>
  <r>
    <n v="45242"/>
    <x v="530"/>
    <x v="10"/>
    <x v="0"/>
    <x v="7"/>
    <x v="995"/>
    <n v="16.75"/>
    <n v="6"/>
    <n v="5.44"/>
    <x v="10"/>
    <x v="2"/>
  </r>
  <r>
    <n v="45242"/>
    <x v="530"/>
    <x v="10"/>
    <x v="1"/>
    <x v="5"/>
    <x v="528"/>
    <n v="1537.07"/>
    <n v="9"/>
    <n v="0"/>
    <x v="10"/>
    <x v="2"/>
  </r>
  <r>
    <n v="45242"/>
    <x v="530"/>
    <x v="10"/>
    <x v="1"/>
    <x v="5"/>
    <x v="1111"/>
    <n v="449.37"/>
    <n v="2"/>
    <n v="-12.84"/>
    <x v="10"/>
    <x v="2"/>
  </r>
  <r>
    <n v="45242"/>
    <x v="233"/>
    <x v="3"/>
    <x v="2"/>
    <x v="6"/>
    <x v="1210"/>
    <n v="203.98"/>
    <n v="3"/>
    <n v="25.5"/>
    <x v="10"/>
    <x v="2"/>
  </r>
  <r>
    <n v="45242"/>
    <x v="233"/>
    <x v="3"/>
    <x v="1"/>
    <x v="13"/>
    <x v="1681"/>
    <n v="674.35"/>
    <n v="3"/>
    <n v="-8.43"/>
    <x v="10"/>
    <x v="2"/>
  </r>
  <r>
    <n v="45242"/>
    <x v="153"/>
    <x v="1"/>
    <x v="1"/>
    <x v="8"/>
    <x v="1298"/>
    <n v="22.75"/>
    <n v="6"/>
    <n v="-8.5299999999999994"/>
    <x v="10"/>
    <x v="2"/>
  </r>
  <r>
    <n v="45243"/>
    <x v="365"/>
    <x v="22"/>
    <x v="0"/>
    <x v="4"/>
    <x v="864"/>
    <n v="44.02"/>
    <n v="2"/>
    <n v="11.45"/>
    <x v="10"/>
    <x v="2"/>
  </r>
  <r>
    <n v="45243"/>
    <x v="106"/>
    <x v="25"/>
    <x v="0"/>
    <x v="14"/>
    <x v="139"/>
    <n v="52.14"/>
    <n v="7"/>
    <n v="5.87"/>
    <x v="10"/>
    <x v="2"/>
  </r>
  <r>
    <n v="45243"/>
    <x v="775"/>
    <x v="22"/>
    <x v="1"/>
    <x v="8"/>
    <x v="1141"/>
    <n v="4.18"/>
    <n v="1"/>
    <n v="1.5"/>
    <x v="10"/>
    <x v="2"/>
  </r>
  <r>
    <n v="45243"/>
    <x v="684"/>
    <x v="2"/>
    <x v="0"/>
    <x v="0"/>
    <x v="655"/>
    <n v="217.06"/>
    <n v="7"/>
    <n v="78.680000000000007"/>
    <x v="10"/>
    <x v="2"/>
  </r>
  <r>
    <n v="45243"/>
    <x v="162"/>
    <x v="1"/>
    <x v="0"/>
    <x v="3"/>
    <x v="1274"/>
    <n v="3.14"/>
    <n v="2"/>
    <n v="-4.7"/>
    <x v="10"/>
    <x v="2"/>
  </r>
  <r>
    <n v="45243"/>
    <x v="38"/>
    <x v="20"/>
    <x v="0"/>
    <x v="2"/>
    <x v="271"/>
    <n v="77.55"/>
    <n v="5"/>
    <n v="20.16"/>
    <x v="10"/>
    <x v="2"/>
  </r>
  <r>
    <n v="45243"/>
    <x v="38"/>
    <x v="20"/>
    <x v="0"/>
    <x v="2"/>
    <x v="304"/>
    <n v="24.88"/>
    <n v="2"/>
    <n v="6.97"/>
    <x v="10"/>
    <x v="2"/>
  </r>
  <r>
    <n v="45243"/>
    <x v="38"/>
    <x v="20"/>
    <x v="0"/>
    <x v="4"/>
    <x v="1024"/>
    <n v="140.75"/>
    <n v="5"/>
    <n v="39.409999999999997"/>
    <x v="10"/>
    <x v="2"/>
  </r>
  <r>
    <n v="45243"/>
    <x v="38"/>
    <x v="20"/>
    <x v="0"/>
    <x v="2"/>
    <x v="737"/>
    <n v="36.630000000000003"/>
    <n v="3"/>
    <n v="9.89"/>
    <x v="10"/>
    <x v="2"/>
  </r>
  <r>
    <n v="45243"/>
    <x v="324"/>
    <x v="39"/>
    <x v="1"/>
    <x v="8"/>
    <x v="1176"/>
    <n v="30.36"/>
    <n v="4"/>
    <n v="13.05"/>
    <x v="10"/>
    <x v="2"/>
  </r>
  <r>
    <n v="45243"/>
    <x v="619"/>
    <x v="20"/>
    <x v="2"/>
    <x v="6"/>
    <x v="1774"/>
    <n v="2279.96"/>
    <n v="4"/>
    <n v="592.79"/>
    <x v="10"/>
    <x v="2"/>
  </r>
  <r>
    <n v="45243"/>
    <x v="619"/>
    <x v="20"/>
    <x v="0"/>
    <x v="1"/>
    <x v="849"/>
    <n v="14.94"/>
    <n v="3"/>
    <n v="6.87"/>
    <x v="10"/>
    <x v="2"/>
  </r>
  <r>
    <n v="45243"/>
    <x v="675"/>
    <x v="22"/>
    <x v="1"/>
    <x v="8"/>
    <x v="1683"/>
    <n v="19.54"/>
    <n v="2"/>
    <n v="7.23"/>
    <x v="10"/>
    <x v="2"/>
  </r>
  <r>
    <n v="45244"/>
    <x v="158"/>
    <x v="4"/>
    <x v="2"/>
    <x v="9"/>
    <x v="1552"/>
    <n v="499.98"/>
    <n v="2"/>
    <n v="115"/>
    <x v="10"/>
    <x v="2"/>
  </r>
  <r>
    <n v="45244"/>
    <x v="158"/>
    <x v="4"/>
    <x v="0"/>
    <x v="0"/>
    <x v="1018"/>
    <n v="5.28"/>
    <n v="1"/>
    <n v="2.38"/>
    <x v="10"/>
    <x v="2"/>
  </r>
  <r>
    <n v="45244"/>
    <x v="158"/>
    <x v="4"/>
    <x v="0"/>
    <x v="3"/>
    <x v="333"/>
    <n v="8.26"/>
    <n v="2"/>
    <n v="3.88"/>
    <x v="10"/>
    <x v="2"/>
  </r>
  <r>
    <n v="45244"/>
    <x v="776"/>
    <x v="3"/>
    <x v="0"/>
    <x v="1"/>
    <x v="1092"/>
    <n v="7.38"/>
    <n v="2"/>
    <n v="3.47"/>
    <x v="10"/>
    <x v="2"/>
  </r>
  <r>
    <n v="45244"/>
    <x v="708"/>
    <x v="0"/>
    <x v="0"/>
    <x v="3"/>
    <x v="1540"/>
    <n v="2.2999999999999998"/>
    <n v="2"/>
    <n v="-3.9"/>
    <x v="10"/>
    <x v="2"/>
  </r>
  <r>
    <n v="45244"/>
    <x v="337"/>
    <x v="20"/>
    <x v="1"/>
    <x v="5"/>
    <x v="668"/>
    <n v="408.01"/>
    <n v="2"/>
    <n v="72.53"/>
    <x v="10"/>
    <x v="2"/>
  </r>
  <r>
    <n v="45244"/>
    <x v="337"/>
    <x v="20"/>
    <x v="0"/>
    <x v="2"/>
    <x v="1369"/>
    <n v="40.44"/>
    <n v="3"/>
    <n v="10.51"/>
    <x v="10"/>
    <x v="2"/>
  </r>
  <r>
    <n v="45244"/>
    <x v="632"/>
    <x v="2"/>
    <x v="1"/>
    <x v="5"/>
    <x v="1434"/>
    <n v="380.06"/>
    <n v="3"/>
    <n v="-21.72"/>
    <x v="10"/>
    <x v="2"/>
  </r>
  <r>
    <n v="45244"/>
    <x v="632"/>
    <x v="2"/>
    <x v="2"/>
    <x v="16"/>
    <x v="673"/>
    <n v="1199.98"/>
    <n v="4"/>
    <n v="180"/>
    <x v="10"/>
    <x v="2"/>
  </r>
  <r>
    <n v="45244"/>
    <x v="632"/>
    <x v="2"/>
    <x v="1"/>
    <x v="8"/>
    <x v="220"/>
    <n v="48.58"/>
    <n v="3"/>
    <n v="9.7200000000000006"/>
    <x v="10"/>
    <x v="2"/>
  </r>
  <r>
    <n v="45244"/>
    <x v="560"/>
    <x v="3"/>
    <x v="0"/>
    <x v="4"/>
    <x v="175"/>
    <n v="9.84"/>
    <n v="3"/>
    <n v="2.85"/>
    <x v="10"/>
    <x v="2"/>
  </r>
  <r>
    <n v="45244"/>
    <x v="176"/>
    <x v="7"/>
    <x v="0"/>
    <x v="0"/>
    <x v="1071"/>
    <n v="16.45"/>
    <n v="5"/>
    <n v="7.57"/>
    <x v="10"/>
    <x v="2"/>
  </r>
  <r>
    <n v="45244"/>
    <x v="176"/>
    <x v="7"/>
    <x v="1"/>
    <x v="8"/>
    <x v="517"/>
    <n v="19.920000000000002"/>
    <n v="4"/>
    <n v="6.57"/>
    <x v="10"/>
    <x v="2"/>
  </r>
  <r>
    <n v="45244"/>
    <x v="361"/>
    <x v="36"/>
    <x v="2"/>
    <x v="6"/>
    <x v="1109"/>
    <n v="89.97"/>
    <n v="3"/>
    <n v="25.19"/>
    <x v="10"/>
    <x v="2"/>
  </r>
  <r>
    <n v="45244"/>
    <x v="0"/>
    <x v="20"/>
    <x v="2"/>
    <x v="6"/>
    <x v="1258"/>
    <n v="13.98"/>
    <n v="2"/>
    <n v="3.91"/>
    <x v="10"/>
    <x v="2"/>
  </r>
  <r>
    <n v="45244"/>
    <x v="0"/>
    <x v="20"/>
    <x v="0"/>
    <x v="4"/>
    <x v="286"/>
    <n v="23.65"/>
    <n v="1"/>
    <n v="6.15"/>
    <x v="10"/>
    <x v="2"/>
  </r>
  <r>
    <n v="45245"/>
    <x v="660"/>
    <x v="3"/>
    <x v="2"/>
    <x v="9"/>
    <x v="1037"/>
    <n v="99.39"/>
    <n v="3"/>
    <n v="40.75"/>
    <x v="10"/>
    <x v="2"/>
  </r>
  <r>
    <n v="45245"/>
    <x v="614"/>
    <x v="3"/>
    <x v="0"/>
    <x v="3"/>
    <x v="1030"/>
    <n v="1016.79"/>
    <n v="1"/>
    <n v="381.3"/>
    <x v="10"/>
    <x v="2"/>
  </r>
  <r>
    <n v="45245"/>
    <x v="614"/>
    <x v="3"/>
    <x v="0"/>
    <x v="3"/>
    <x v="876"/>
    <n v="38.14"/>
    <n v="7"/>
    <n v="13.35"/>
    <x v="10"/>
    <x v="2"/>
  </r>
  <r>
    <n v="45245"/>
    <x v="123"/>
    <x v="3"/>
    <x v="2"/>
    <x v="6"/>
    <x v="803"/>
    <n v="361.38"/>
    <n v="2"/>
    <n v="27.1"/>
    <x v="10"/>
    <x v="2"/>
  </r>
  <r>
    <n v="45245"/>
    <x v="402"/>
    <x v="25"/>
    <x v="1"/>
    <x v="13"/>
    <x v="989"/>
    <n v="630.02"/>
    <n v="4"/>
    <n v="-199.51"/>
    <x v="10"/>
    <x v="2"/>
  </r>
  <r>
    <n v="45246"/>
    <x v="131"/>
    <x v="31"/>
    <x v="0"/>
    <x v="10"/>
    <x v="21"/>
    <n v="28.4"/>
    <n v="5"/>
    <n v="13.35"/>
    <x v="10"/>
    <x v="2"/>
  </r>
  <r>
    <n v="45246"/>
    <x v="24"/>
    <x v="3"/>
    <x v="0"/>
    <x v="3"/>
    <x v="1496"/>
    <n v="8.32"/>
    <n v="5"/>
    <n v="2.81"/>
    <x v="10"/>
    <x v="2"/>
  </r>
  <r>
    <n v="45247"/>
    <x v="389"/>
    <x v="31"/>
    <x v="0"/>
    <x v="3"/>
    <x v="263"/>
    <n v="10.78"/>
    <n v="3"/>
    <n v="3.37"/>
    <x v="10"/>
    <x v="2"/>
  </r>
  <r>
    <n v="45247"/>
    <x v="497"/>
    <x v="0"/>
    <x v="2"/>
    <x v="6"/>
    <x v="1570"/>
    <n v="67.180000000000007"/>
    <n v="3"/>
    <n v="6.72"/>
    <x v="10"/>
    <x v="2"/>
  </r>
  <r>
    <n v="45247"/>
    <x v="497"/>
    <x v="0"/>
    <x v="0"/>
    <x v="0"/>
    <x v="1692"/>
    <n v="15.23"/>
    <n v="4"/>
    <n v="5.52"/>
    <x v="10"/>
    <x v="2"/>
  </r>
  <r>
    <n v="45247"/>
    <x v="631"/>
    <x v="3"/>
    <x v="0"/>
    <x v="14"/>
    <x v="1452"/>
    <n v="49.5"/>
    <n v="5"/>
    <n v="13.37"/>
    <x v="10"/>
    <x v="2"/>
  </r>
  <r>
    <n v="45248"/>
    <x v="299"/>
    <x v="39"/>
    <x v="0"/>
    <x v="2"/>
    <x v="479"/>
    <n v="1117.92"/>
    <n v="4"/>
    <n v="55.9"/>
    <x v="10"/>
    <x v="2"/>
  </r>
  <r>
    <n v="45248"/>
    <x v="188"/>
    <x v="0"/>
    <x v="0"/>
    <x v="4"/>
    <x v="29"/>
    <n v="6.37"/>
    <n v="2"/>
    <n v="1.03"/>
    <x v="10"/>
    <x v="2"/>
  </r>
  <r>
    <n v="45248"/>
    <x v="188"/>
    <x v="0"/>
    <x v="0"/>
    <x v="1"/>
    <x v="956"/>
    <n v="48.85"/>
    <n v="2"/>
    <n v="15.88"/>
    <x v="10"/>
    <x v="2"/>
  </r>
  <r>
    <n v="45248"/>
    <x v="188"/>
    <x v="0"/>
    <x v="0"/>
    <x v="0"/>
    <x v="572"/>
    <n v="19.649999999999999"/>
    <n v="2"/>
    <n v="6.63"/>
    <x v="10"/>
    <x v="2"/>
  </r>
  <r>
    <n v="45248"/>
    <x v="188"/>
    <x v="0"/>
    <x v="1"/>
    <x v="5"/>
    <x v="664"/>
    <n v="255.11"/>
    <n v="6"/>
    <n v="-18.22"/>
    <x v="10"/>
    <x v="2"/>
  </r>
  <r>
    <n v="45248"/>
    <x v="191"/>
    <x v="10"/>
    <x v="0"/>
    <x v="12"/>
    <x v="1184"/>
    <n v="103.97"/>
    <n v="6"/>
    <n v="16.89"/>
    <x v="10"/>
    <x v="2"/>
  </r>
  <r>
    <n v="45248"/>
    <x v="492"/>
    <x v="3"/>
    <x v="2"/>
    <x v="6"/>
    <x v="1327"/>
    <n v="61.19"/>
    <n v="1"/>
    <n v="6.12"/>
    <x v="10"/>
    <x v="2"/>
  </r>
  <r>
    <n v="45248"/>
    <x v="492"/>
    <x v="3"/>
    <x v="0"/>
    <x v="12"/>
    <x v="1562"/>
    <n v="67.84"/>
    <n v="1"/>
    <n v="18.32"/>
    <x v="10"/>
    <x v="2"/>
  </r>
  <r>
    <n v="45248"/>
    <x v="63"/>
    <x v="14"/>
    <x v="1"/>
    <x v="5"/>
    <x v="120"/>
    <n v="301.95999999999998"/>
    <n v="2"/>
    <n v="33.22"/>
    <x v="10"/>
    <x v="2"/>
  </r>
  <r>
    <n v="45248"/>
    <x v="385"/>
    <x v="33"/>
    <x v="2"/>
    <x v="9"/>
    <x v="1375"/>
    <n v="1319.96"/>
    <n v="4"/>
    <n v="527.98"/>
    <x v="10"/>
    <x v="2"/>
  </r>
  <r>
    <n v="45248"/>
    <x v="190"/>
    <x v="3"/>
    <x v="2"/>
    <x v="9"/>
    <x v="640"/>
    <n v="595"/>
    <n v="5"/>
    <n v="95.2"/>
    <x v="10"/>
    <x v="2"/>
  </r>
  <r>
    <n v="45248"/>
    <x v="737"/>
    <x v="3"/>
    <x v="0"/>
    <x v="3"/>
    <x v="1489"/>
    <n v="61.12"/>
    <n v="5"/>
    <n v="22.16"/>
    <x v="10"/>
    <x v="2"/>
  </r>
  <r>
    <n v="45249"/>
    <x v="724"/>
    <x v="20"/>
    <x v="0"/>
    <x v="3"/>
    <x v="1198"/>
    <n v="14.35"/>
    <n v="3"/>
    <n v="4.66"/>
    <x v="10"/>
    <x v="2"/>
  </r>
  <r>
    <n v="45249"/>
    <x v="724"/>
    <x v="20"/>
    <x v="0"/>
    <x v="2"/>
    <x v="99"/>
    <n v="64.959999999999994"/>
    <n v="2"/>
    <n v="2.6"/>
    <x v="10"/>
    <x v="2"/>
  </r>
  <r>
    <n v="45249"/>
    <x v="724"/>
    <x v="20"/>
    <x v="0"/>
    <x v="2"/>
    <x v="1187"/>
    <n v="68.599999999999994"/>
    <n v="4"/>
    <n v="18.52"/>
    <x v="10"/>
    <x v="2"/>
  </r>
  <r>
    <n v="45249"/>
    <x v="281"/>
    <x v="0"/>
    <x v="0"/>
    <x v="2"/>
    <x v="916"/>
    <n v="100.7"/>
    <n v="6"/>
    <n v="-16.36"/>
    <x v="10"/>
    <x v="2"/>
  </r>
  <r>
    <n v="45249"/>
    <x v="281"/>
    <x v="0"/>
    <x v="1"/>
    <x v="8"/>
    <x v="1670"/>
    <n v="2.33"/>
    <n v="2"/>
    <n v="-0.76"/>
    <x v="10"/>
    <x v="2"/>
  </r>
  <r>
    <n v="45249"/>
    <x v="281"/>
    <x v="0"/>
    <x v="0"/>
    <x v="3"/>
    <x v="39"/>
    <n v="10.78"/>
    <n v="5"/>
    <n v="-17.25"/>
    <x v="10"/>
    <x v="2"/>
  </r>
  <r>
    <n v="45249"/>
    <x v="281"/>
    <x v="0"/>
    <x v="0"/>
    <x v="7"/>
    <x v="78"/>
    <n v="58.37"/>
    <n v="12"/>
    <n v="21.89"/>
    <x v="10"/>
    <x v="2"/>
  </r>
  <r>
    <n v="45249"/>
    <x v="281"/>
    <x v="0"/>
    <x v="0"/>
    <x v="10"/>
    <x v="1606"/>
    <n v="40.97"/>
    <n v="3"/>
    <n v="13.83"/>
    <x v="10"/>
    <x v="2"/>
  </r>
  <r>
    <n v="45249"/>
    <x v="281"/>
    <x v="0"/>
    <x v="2"/>
    <x v="6"/>
    <x v="764"/>
    <n v="71.959999999999994"/>
    <n v="5"/>
    <n v="25.19"/>
    <x v="10"/>
    <x v="2"/>
  </r>
  <r>
    <n v="45249"/>
    <x v="281"/>
    <x v="0"/>
    <x v="0"/>
    <x v="0"/>
    <x v="1757"/>
    <n v="10.37"/>
    <n v="2"/>
    <n v="3.63"/>
    <x v="10"/>
    <x v="2"/>
  </r>
  <r>
    <n v="45249"/>
    <x v="281"/>
    <x v="0"/>
    <x v="0"/>
    <x v="3"/>
    <x v="566"/>
    <n v="1.19"/>
    <n v="2"/>
    <n v="-2.0299999999999998"/>
    <x v="10"/>
    <x v="2"/>
  </r>
  <r>
    <n v="45249"/>
    <x v="70"/>
    <x v="20"/>
    <x v="0"/>
    <x v="4"/>
    <x v="743"/>
    <n v="17.28"/>
    <n v="6"/>
    <n v="5.01"/>
    <x v="10"/>
    <x v="2"/>
  </r>
  <r>
    <n v="45249"/>
    <x v="70"/>
    <x v="20"/>
    <x v="0"/>
    <x v="3"/>
    <x v="116"/>
    <n v="17.71"/>
    <n v="3"/>
    <n v="6.42"/>
    <x v="10"/>
    <x v="2"/>
  </r>
  <r>
    <n v="45249"/>
    <x v="676"/>
    <x v="18"/>
    <x v="0"/>
    <x v="12"/>
    <x v="1284"/>
    <n v="54.96"/>
    <n v="3"/>
    <n v="15.94"/>
    <x v="10"/>
    <x v="2"/>
  </r>
  <r>
    <n v="45249"/>
    <x v="235"/>
    <x v="25"/>
    <x v="0"/>
    <x v="4"/>
    <x v="489"/>
    <n v="18.48"/>
    <n v="2"/>
    <n v="6.01"/>
    <x v="10"/>
    <x v="2"/>
  </r>
  <r>
    <n v="45249"/>
    <x v="11"/>
    <x v="20"/>
    <x v="0"/>
    <x v="12"/>
    <x v="1280"/>
    <n v="8.74"/>
    <n v="2"/>
    <n v="2.27"/>
    <x v="10"/>
    <x v="2"/>
  </r>
  <r>
    <n v="45249"/>
    <x v="11"/>
    <x v="20"/>
    <x v="0"/>
    <x v="0"/>
    <x v="1010"/>
    <n v="44.75"/>
    <n v="5"/>
    <n v="20.59"/>
    <x v="10"/>
    <x v="2"/>
  </r>
  <r>
    <n v="45249"/>
    <x v="362"/>
    <x v="22"/>
    <x v="1"/>
    <x v="8"/>
    <x v="964"/>
    <n v="31.96"/>
    <n v="2"/>
    <n v="1.6"/>
    <x v="10"/>
    <x v="2"/>
  </r>
  <r>
    <n v="45250"/>
    <x v="608"/>
    <x v="39"/>
    <x v="0"/>
    <x v="1"/>
    <x v="913"/>
    <n v="14.62"/>
    <n v="2"/>
    <n v="6.87"/>
    <x v="10"/>
    <x v="2"/>
  </r>
  <r>
    <n v="45250"/>
    <x v="608"/>
    <x v="39"/>
    <x v="2"/>
    <x v="6"/>
    <x v="1775"/>
    <n v="944.93"/>
    <n v="7"/>
    <n v="236.23"/>
    <x v="10"/>
    <x v="2"/>
  </r>
  <r>
    <n v="45250"/>
    <x v="327"/>
    <x v="10"/>
    <x v="0"/>
    <x v="7"/>
    <x v="1739"/>
    <n v="19.100000000000001"/>
    <n v="7"/>
    <n v="6.68"/>
    <x v="10"/>
    <x v="2"/>
  </r>
  <r>
    <n v="45250"/>
    <x v="327"/>
    <x v="10"/>
    <x v="0"/>
    <x v="1"/>
    <x v="912"/>
    <n v="18.5"/>
    <n v="8"/>
    <n v="6.24"/>
    <x v="10"/>
    <x v="2"/>
  </r>
  <r>
    <n v="45250"/>
    <x v="327"/>
    <x v="10"/>
    <x v="2"/>
    <x v="9"/>
    <x v="138"/>
    <n v="255.98"/>
    <n v="2"/>
    <n v="54.4"/>
    <x v="10"/>
    <x v="2"/>
  </r>
  <r>
    <n v="45250"/>
    <x v="327"/>
    <x v="10"/>
    <x v="1"/>
    <x v="11"/>
    <x v="1419"/>
    <n v="86.97"/>
    <n v="3"/>
    <n v="-48.7"/>
    <x v="10"/>
    <x v="2"/>
  </r>
  <r>
    <n v="45250"/>
    <x v="156"/>
    <x v="10"/>
    <x v="0"/>
    <x v="0"/>
    <x v="13"/>
    <n v="15.7"/>
    <n v="3"/>
    <n v="5.0999999999999996"/>
    <x v="10"/>
    <x v="2"/>
  </r>
  <r>
    <n v="45250"/>
    <x v="156"/>
    <x v="10"/>
    <x v="0"/>
    <x v="3"/>
    <x v="878"/>
    <n v="2.63"/>
    <n v="2"/>
    <n v="-1.93"/>
    <x v="10"/>
    <x v="2"/>
  </r>
  <r>
    <n v="45250"/>
    <x v="156"/>
    <x v="10"/>
    <x v="0"/>
    <x v="3"/>
    <x v="775"/>
    <n v="14.43"/>
    <n v="3"/>
    <n v="-10.58"/>
    <x v="10"/>
    <x v="2"/>
  </r>
  <r>
    <n v="45250"/>
    <x v="17"/>
    <x v="0"/>
    <x v="1"/>
    <x v="5"/>
    <x v="943"/>
    <n v="318.43"/>
    <n v="5"/>
    <n v="-77.33"/>
    <x v="10"/>
    <x v="2"/>
  </r>
  <r>
    <n v="45250"/>
    <x v="17"/>
    <x v="0"/>
    <x v="2"/>
    <x v="6"/>
    <x v="1130"/>
    <n v="122.92"/>
    <n v="7"/>
    <n v="46.1"/>
    <x v="10"/>
    <x v="2"/>
  </r>
  <r>
    <n v="45250"/>
    <x v="17"/>
    <x v="0"/>
    <x v="1"/>
    <x v="8"/>
    <x v="152"/>
    <n v="7.07"/>
    <n v="3"/>
    <n v="-2.83"/>
    <x v="10"/>
    <x v="2"/>
  </r>
  <r>
    <n v="45250"/>
    <x v="302"/>
    <x v="18"/>
    <x v="0"/>
    <x v="0"/>
    <x v="443"/>
    <n v="9.08"/>
    <n v="2"/>
    <n v="4.09"/>
    <x v="10"/>
    <x v="2"/>
  </r>
  <r>
    <n v="45250"/>
    <x v="302"/>
    <x v="18"/>
    <x v="0"/>
    <x v="0"/>
    <x v="600"/>
    <n v="314.55"/>
    <n v="3"/>
    <n v="150.97999999999999"/>
    <x v="10"/>
    <x v="2"/>
  </r>
  <r>
    <n v="45250"/>
    <x v="302"/>
    <x v="18"/>
    <x v="0"/>
    <x v="3"/>
    <x v="73"/>
    <n v="4.91"/>
    <n v="1"/>
    <n v="2.31"/>
    <x v="10"/>
    <x v="2"/>
  </r>
  <r>
    <n v="45250"/>
    <x v="15"/>
    <x v="0"/>
    <x v="2"/>
    <x v="6"/>
    <x v="11"/>
    <n v="151.19"/>
    <n v="1"/>
    <n v="13.23"/>
    <x v="10"/>
    <x v="2"/>
  </r>
  <r>
    <n v="45250"/>
    <x v="91"/>
    <x v="3"/>
    <x v="0"/>
    <x v="12"/>
    <x v="652"/>
    <n v="39"/>
    <n v="12"/>
    <n v="11.31"/>
    <x v="10"/>
    <x v="2"/>
  </r>
  <r>
    <n v="45250"/>
    <x v="373"/>
    <x v="7"/>
    <x v="0"/>
    <x v="3"/>
    <x v="738"/>
    <n v="128.4"/>
    <n v="3"/>
    <n v="62.92"/>
    <x v="10"/>
    <x v="2"/>
  </r>
  <r>
    <n v="45250"/>
    <x v="410"/>
    <x v="16"/>
    <x v="1"/>
    <x v="11"/>
    <x v="1212"/>
    <n v="289.57"/>
    <n v="2"/>
    <n v="10.86"/>
    <x v="10"/>
    <x v="2"/>
  </r>
  <r>
    <n v="45250"/>
    <x v="410"/>
    <x v="16"/>
    <x v="0"/>
    <x v="2"/>
    <x v="776"/>
    <n v="39.72"/>
    <n v="5"/>
    <n v="4.47"/>
    <x v="10"/>
    <x v="2"/>
  </r>
  <r>
    <n v="45250"/>
    <x v="410"/>
    <x v="16"/>
    <x v="2"/>
    <x v="6"/>
    <x v="1327"/>
    <n v="244.77"/>
    <n v="4"/>
    <n v="24.48"/>
    <x v="10"/>
    <x v="2"/>
  </r>
  <r>
    <n v="45250"/>
    <x v="688"/>
    <x v="3"/>
    <x v="2"/>
    <x v="9"/>
    <x v="1734"/>
    <n v="27.88"/>
    <n v="2"/>
    <n v="3.9"/>
    <x v="10"/>
    <x v="2"/>
  </r>
  <r>
    <n v="45251"/>
    <x v="645"/>
    <x v="11"/>
    <x v="1"/>
    <x v="5"/>
    <x v="707"/>
    <n v="195.14"/>
    <n v="4"/>
    <n v="-12.2"/>
    <x v="10"/>
    <x v="2"/>
  </r>
  <r>
    <n v="45251"/>
    <x v="491"/>
    <x v="30"/>
    <x v="0"/>
    <x v="0"/>
    <x v="1132"/>
    <n v="40.46"/>
    <n v="7"/>
    <n v="19.829999999999998"/>
    <x v="10"/>
    <x v="2"/>
  </r>
  <r>
    <n v="45251"/>
    <x v="491"/>
    <x v="30"/>
    <x v="2"/>
    <x v="6"/>
    <x v="1094"/>
    <n v="404.94"/>
    <n v="3"/>
    <n v="109.33"/>
    <x v="10"/>
    <x v="2"/>
  </r>
  <r>
    <n v="45251"/>
    <x v="74"/>
    <x v="10"/>
    <x v="2"/>
    <x v="15"/>
    <x v="1776"/>
    <n v="30.35"/>
    <n v="7"/>
    <n v="-24.28"/>
    <x v="10"/>
    <x v="2"/>
  </r>
  <r>
    <n v="45251"/>
    <x v="74"/>
    <x v="10"/>
    <x v="1"/>
    <x v="5"/>
    <x v="664"/>
    <n v="127.55"/>
    <n v="3"/>
    <n v="-9.11"/>
    <x v="10"/>
    <x v="2"/>
  </r>
  <r>
    <n v="45251"/>
    <x v="74"/>
    <x v="10"/>
    <x v="1"/>
    <x v="8"/>
    <x v="866"/>
    <n v="77.95"/>
    <n v="3"/>
    <n v="15.59"/>
    <x v="10"/>
    <x v="2"/>
  </r>
  <r>
    <n v="45251"/>
    <x v="310"/>
    <x v="1"/>
    <x v="0"/>
    <x v="0"/>
    <x v="1544"/>
    <n v="38.43"/>
    <n v="1"/>
    <n v="13.45"/>
    <x v="10"/>
    <x v="2"/>
  </r>
  <r>
    <n v="45251"/>
    <x v="310"/>
    <x v="1"/>
    <x v="0"/>
    <x v="2"/>
    <x v="1369"/>
    <n v="21.57"/>
    <n v="2"/>
    <n v="1.62"/>
    <x v="10"/>
    <x v="2"/>
  </r>
  <r>
    <n v="45251"/>
    <x v="310"/>
    <x v="1"/>
    <x v="2"/>
    <x v="9"/>
    <x v="1381"/>
    <n v="81.58"/>
    <n v="3"/>
    <n v="2.04"/>
    <x v="10"/>
    <x v="2"/>
  </r>
  <r>
    <n v="45251"/>
    <x v="30"/>
    <x v="20"/>
    <x v="0"/>
    <x v="0"/>
    <x v="1709"/>
    <n v="12.96"/>
    <n v="2"/>
    <n v="6.35"/>
    <x v="10"/>
    <x v="2"/>
  </r>
  <r>
    <n v="45251"/>
    <x v="488"/>
    <x v="20"/>
    <x v="1"/>
    <x v="11"/>
    <x v="1233"/>
    <n v="113.57"/>
    <n v="2"/>
    <n v="12.78"/>
    <x v="10"/>
    <x v="2"/>
  </r>
  <r>
    <n v="45251"/>
    <x v="495"/>
    <x v="3"/>
    <x v="0"/>
    <x v="0"/>
    <x v="1378"/>
    <n v="32.4"/>
    <n v="5"/>
    <n v="15.55"/>
    <x v="10"/>
    <x v="2"/>
  </r>
  <r>
    <n v="45252"/>
    <x v="735"/>
    <x v="20"/>
    <x v="1"/>
    <x v="8"/>
    <x v="1013"/>
    <n v="39.880000000000003"/>
    <n v="2"/>
    <n v="11.17"/>
    <x v="10"/>
    <x v="2"/>
  </r>
  <r>
    <n v="45252"/>
    <x v="735"/>
    <x v="20"/>
    <x v="0"/>
    <x v="3"/>
    <x v="51"/>
    <n v="12.19"/>
    <n v="4"/>
    <n v="4.1100000000000003"/>
    <x v="10"/>
    <x v="2"/>
  </r>
  <r>
    <n v="45252"/>
    <x v="735"/>
    <x v="20"/>
    <x v="0"/>
    <x v="4"/>
    <x v="1697"/>
    <n v="20.82"/>
    <n v="3"/>
    <n v="7.5"/>
    <x v="10"/>
    <x v="2"/>
  </r>
  <r>
    <n v="45252"/>
    <x v="122"/>
    <x v="14"/>
    <x v="0"/>
    <x v="3"/>
    <x v="275"/>
    <n v="49.44"/>
    <n v="3"/>
    <n v="24.23"/>
    <x v="10"/>
    <x v="2"/>
  </r>
  <r>
    <n v="45252"/>
    <x v="617"/>
    <x v="0"/>
    <x v="0"/>
    <x v="3"/>
    <x v="811"/>
    <n v="6.22"/>
    <n v="6"/>
    <n v="-9.6300000000000008"/>
    <x v="10"/>
    <x v="2"/>
  </r>
  <r>
    <n v="45252"/>
    <x v="617"/>
    <x v="0"/>
    <x v="0"/>
    <x v="4"/>
    <x v="608"/>
    <n v="23.62"/>
    <n v="9"/>
    <n v="2.66"/>
    <x v="10"/>
    <x v="2"/>
  </r>
  <r>
    <n v="45252"/>
    <x v="617"/>
    <x v="0"/>
    <x v="2"/>
    <x v="9"/>
    <x v="1264"/>
    <n v="24.03"/>
    <n v="2"/>
    <n v="-0.6"/>
    <x v="10"/>
    <x v="2"/>
  </r>
  <r>
    <n v="45252"/>
    <x v="617"/>
    <x v="0"/>
    <x v="0"/>
    <x v="1"/>
    <x v="685"/>
    <n v="2.09"/>
    <n v="1"/>
    <n v="0.68"/>
    <x v="10"/>
    <x v="2"/>
  </r>
  <r>
    <n v="45252"/>
    <x v="617"/>
    <x v="0"/>
    <x v="0"/>
    <x v="3"/>
    <x v="949"/>
    <n v="4.49"/>
    <n v="6"/>
    <n v="-6.73"/>
    <x v="10"/>
    <x v="2"/>
  </r>
  <r>
    <n v="45252"/>
    <x v="683"/>
    <x v="20"/>
    <x v="0"/>
    <x v="3"/>
    <x v="637"/>
    <n v="134.27000000000001"/>
    <n v="8"/>
    <n v="47"/>
    <x v="10"/>
    <x v="2"/>
  </r>
  <r>
    <n v="45253"/>
    <x v="465"/>
    <x v="2"/>
    <x v="0"/>
    <x v="7"/>
    <x v="961"/>
    <n v="15.8"/>
    <n v="5"/>
    <n v="2.37"/>
    <x v="10"/>
    <x v="2"/>
  </r>
  <r>
    <n v="45253"/>
    <x v="465"/>
    <x v="2"/>
    <x v="1"/>
    <x v="8"/>
    <x v="682"/>
    <n v="14.37"/>
    <n v="2"/>
    <n v="3.95"/>
    <x v="10"/>
    <x v="2"/>
  </r>
  <r>
    <n v="45253"/>
    <x v="465"/>
    <x v="2"/>
    <x v="1"/>
    <x v="8"/>
    <x v="1716"/>
    <n v="70.45"/>
    <n v="7"/>
    <n v="12.33"/>
    <x v="10"/>
    <x v="2"/>
  </r>
  <r>
    <n v="45254"/>
    <x v="342"/>
    <x v="2"/>
    <x v="0"/>
    <x v="7"/>
    <x v="1777"/>
    <n v="4.42"/>
    <n v="3"/>
    <n v="1.6"/>
    <x v="10"/>
    <x v="2"/>
  </r>
  <r>
    <n v="45254"/>
    <x v="115"/>
    <x v="20"/>
    <x v="0"/>
    <x v="3"/>
    <x v="797"/>
    <n v="17.22"/>
    <n v="4"/>
    <n v="6.03"/>
    <x v="10"/>
    <x v="2"/>
  </r>
  <r>
    <n v="45254"/>
    <x v="115"/>
    <x v="20"/>
    <x v="0"/>
    <x v="0"/>
    <x v="1515"/>
    <n v="11.56"/>
    <n v="2"/>
    <n v="5.66"/>
    <x v="10"/>
    <x v="2"/>
  </r>
  <r>
    <n v="45254"/>
    <x v="115"/>
    <x v="20"/>
    <x v="2"/>
    <x v="9"/>
    <x v="225"/>
    <n v="88.4"/>
    <n v="4"/>
    <n v="11.49"/>
    <x v="10"/>
    <x v="2"/>
  </r>
  <r>
    <n v="45254"/>
    <x v="115"/>
    <x v="20"/>
    <x v="0"/>
    <x v="0"/>
    <x v="869"/>
    <n v="6.48"/>
    <n v="1"/>
    <n v="3.11"/>
    <x v="10"/>
    <x v="2"/>
  </r>
  <r>
    <n v="45254"/>
    <x v="538"/>
    <x v="3"/>
    <x v="2"/>
    <x v="6"/>
    <x v="1337"/>
    <n v="33.520000000000003"/>
    <n v="2"/>
    <n v="3.35"/>
    <x v="10"/>
    <x v="2"/>
  </r>
  <r>
    <n v="45254"/>
    <x v="538"/>
    <x v="3"/>
    <x v="1"/>
    <x v="8"/>
    <x v="20"/>
    <n v="9.94"/>
    <n v="2"/>
    <n v="3.08"/>
    <x v="10"/>
    <x v="2"/>
  </r>
  <r>
    <n v="45254"/>
    <x v="777"/>
    <x v="0"/>
    <x v="0"/>
    <x v="2"/>
    <x v="1462"/>
    <n v="41.92"/>
    <n v="5"/>
    <n v="3.67"/>
    <x v="10"/>
    <x v="2"/>
  </r>
  <r>
    <n v="45254"/>
    <x v="777"/>
    <x v="0"/>
    <x v="2"/>
    <x v="9"/>
    <x v="1464"/>
    <n v="297.58"/>
    <n v="3"/>
    <n v="-7.44"/>
    <x v="10"/>
    <x v="2"/>
  </r>
  <r>
    <n v="45254"/>
    <x v="777"/>
    <x v="0"/>
    <x v="0"/>
    <x v="7"/>
    <x v="710"/>
    <n v="4.34"/>
    <n v="3"/>
    <n v="0.87"/>
    <x v="10"/>
    <x v="2"/>
  </r>
  <r>
    <n v="45254"/>
    <x v="777"/>
    <x v="0"/>
    <x v="2"/>
    <x v="9"/>
    <x v="910"/>
    <n v="94.99"/>
    <n v="2"/>
    <n v="-2.37"/>
    <x v="10"/>
    <x v="2"/>
  </r>
  <r>
    <n v="45254"/>
    <x v="777"/>
    <x v="0"/>
    <x v="0"/>
    <x v="0"/>
    <x v="705"/>
    <n v="74.349999999999994"/>
    <n v="3"/>
    <n v="23.24"/>
    <x v="10"/>
    <x v="2"/>
  </r>
  <r>
    <n v="45254"/>
    <x v="777"/>
    <x v="0"/>
    <x v="0"/>
    <x v="4"/>
    <x v="540"/>
    <n v="14.04"/>
    <n v="3"/>
    <n v="1.58"/>
    <x v="10"/>
    <x v="2"/>
  </r>
  <r>
    <n v="45254"/>
    <x v="778"/>
    <x v="11"/>
    <x v="0"/>
    <x v="0"/>
    <x v="1708"/>
    <n v="24.78"/>
    <n v="1"/>
    <n v="7.75"/>
    <x v="10"/>
    <x v="2"/>
  </r>
  <r>
    <n v="45254"/>
    <x v="208"/>
    <x v="0"/>
    <x v="2"/>
    <x v="6"/>
    <x v="1492"/>
    <n v="657.55"/>
    <n v="6"/>
    <n v="49.32"/>
    <x v="10"/>
    <x v="2"/>
  </r>
  <r>
    <n v="45254"/>
    <x v="569"/>
    <x v="3"/>
    <x v="2"/>
    <x v="9"/>
    <x v="1146"/>
    <n v="659.9"/>
    <n v="2"/>
    <n v="217.77"/>
    <x v="10"/>
    <x v="2"/>
  </r>
  <r>
    <n v="45254"/>
    <x v="569"/>
    <x v="3"/>
    <x v="1"/>
    <x v="5"/>
    <x v="354"/>
    <n v="1684.75"/>
    <n v="6"/>
    <n v="210.59"/>
    <x v="10"/>
    <x v="2"/>
  </r>
  <r>
    <n v="45254"/>
    <x v="569"/>
    <x v="3"/>
    <x v="2"/>
    <x v="9"/>
    <x v="1620"/>
    <n v="559.91999999999996"/>
    <n v="8"/>
    <n v="190.37"/>
    <x v="10"/>
    <x v="2"/>
  </r>
  <r>
    <n v="45254"/>
    <x v="482"/>
    <x v="22"/>
    <x v="0"/>
    <x v="3"/>
    <x v="8"/>
    <n v="1219.96"/>
    <n v="5"/>
    <n v="381.24"/>
    <x v="10"/>
    <x v="2"/>
  </r>
  <r>
    <n v="45254"/>
    <x v="174"/>
    <x v="36"/>
    <x v="1"/>
    <x v="8"/>
    <x v="19"/>
    <n v="207.76"/>
    <n v="4"/>
    <n v="85.18"/>
    <x v="10"/>
    <x v="2"/>
  </r>
  <r>
    <n v="45254"/>
    <x v="683"/>
    <x v="10"/>
    <x v="0"/>
    <x v="10"/>
    <x v="22"/>
    <n v="40.75"/>
    <n v="3"/>
    <n v="15.28"/>
    <x v="10"/>
    <x v="2"/>
  </r>
  <r>
    <n v="45254"/>
    <x v="683"/>
    <x v="10"/>
    <x v="2"/>
    <x v="9"/>
    <x v="1646"/>
    <n v="139.96"/>
    <n v="5"/>
    <n v="-22.74"/>
    <x v="10"/>
    <x v="2"/>
  </r>
  <r>
    <n v="45254"/>
    <x v="748"/>
    <x v="22"/>
    <x v="0"/>
    <x v="14"/>
    <x v="1486"/>
    <n v="25.35"/>
    <n v="3"/>
    <n v="7.61"/>
    <x v="10"/>
    <x v="2"/>
  </r>
  <r>
    <n v="45254"/>
    <x v="528"/>
    <x v="22"/>
    <x v="1"/>
    <x v="8"/>
    <x v="1484"/>
    <n v="82.26"/>
    <n v="3"/>
    <n v="33.729999999999997"/>
    <x v="10"/>
    <x v="2"/>
  </r>
  <r>
    <n v="45254"/>
    <x v="90"/>
    <x v="16"/>
    <x v="1"/>
    <x v="11"/>
    <x v="1778"/>
    <n v="339.92"/>
    <n v="5"/>
    <n v="8.5"/>
    <x v="10"/>
    <x v="2"/>
  </r>
  <r>
    <n v="45254"/>
    <x v="90"/>
    <x v="16"/>
    <x v="0"/>
    <x v="0"/>
    <x v="1071"/>
    <n v="10.53"/>
    <n v="4"/>
    <n v="3.42"/>
    <x v="10"/>
    <x v="2"/>
  </r>
  <r>
    <n v="45254"/>
    <x v="90"/>
    <x v="16"/>
    <x v="0"/>
    <x v="12"/>
    <x v="244"/>
    <n v="42.38"/>
    <n v="2"/>
    <n v="4.24"/>
    <x v="10"/>
    <x v="2"/>
  </r>
  <r>
    <n v="45255"/>
    <x v="631"/>
    <x v="16"/>
    <x v="0"/>
    <x v="0"/>
    <x v="1700"/>
    <n v="5.08"/>
    <n v="1"/>
    <n v="1.65"/>
    <x v="10"/>
    <x v="2"/>
  </r>
  <r>
    <n v="45255"/>
    <x v="455"/>
    <x v="23"/>
    <x v="0"/>
    <x v="2"/>
    <x v="1194"/>
    <n v="563.4"/>
    <n v="4"/>
    <n v="67.61"/>
    <x v="10"/>
    <x v="2"/>
  </r>
  <r>
    <n v="45255"/>
    <x v="455"/>
    <x v="23"/>
    <x v="2"/>
    <x v="15"/>
    <x v="1779"/>
    <n v="319.92"/>
    <n v="8"/>
    <n v="118.37"/>
    <x v="10"/>
    <x v="2"/>
  </r>
  <r>
    <n v="45255"/>
    <x v="287"/>
    <x v="13"/>
    <x v="2"/>
    <x v="6"/>
    <x v="1511"/>
    <n v="59.98"/>
    <n v="2"/>
    <n v="17.989999999999998"/>
    <x v="10"/>
    <x v="2"/>
  </r>
  <r>
    <n v="45255"/>
    <x v="653"/>
    <x v="14"/>
    <x v="1"/>
    <x v="13"/>
    <x v="1348"/>
    <n v="1568.61"/>
    <n v="9"/>
    <n v="329.41"/>
    <x v="10"/>
    <x v="2"/>
  </r>
  <r>
    <n v="45255"/>
    <x v="653"/>
    <x v="14"/>
    <x v="0"/>
    <x v="3"/>
    <x v="1385"/>
    <n v="17.3"/>
    <n v="1"/>
    <n v="8.3000000000000007"/>
    <x v="10"/>
    <x v="2"/>
  </r>
  <r>
    <n v="45255"/>
    <x v="653"/>
    <x v="14"/>
    <x v="2"/>
    <x v="9"/>
    <x v="1691"/>
    <n v="160"/>
    <n v="8"/>
    <n v="62.4"/>
    <x v="10"/>
    <x v="2"/>
  </r>
  <r>
    <n v="45255"/>
    <x v="106"/>
    <x v="10"/>
    <x v="0"/>
    <x v="3"/>
    <x v="1391"/>
    <n v="456.59"/>
    <n v="2"/>
    <n v="-304.39"/>
    <x v="10"/>
    <x v="2"/>
  </r>
  <r>
    <n v="45255"/>
    <x v="106"/>
    <x v="10"/>
    <x v="2"/>
    <x v="15"/>
    <x v="1602"/>
    <n v="4499.99"/>
    <n v="5"/>
    <n v="-6599.98"/>
    <x v="10"/>
    <x v="2"/>
  </r>
  <r>
    <n v="45255"/>
    <x v="106"/>
    <x v="10"/>
    <x v="2"/>
    <x v="9"/>
    <x v="1780"/>
    <n v="59.98"/>
    <n v="3"/>
    <n v="12"/>
    <x v="10"/>
    <x v="2"/>
  </r>
  <r>
    <n v="45255"/>
    <x v="144"/>
    <x v="33"/>
    <x v="0"/>
    <x v="2"/>
    <x v="1462"/>
    <n v="73.36"/>
    <n v="7"/>
    <n v="19.809999999999999"/>
    <x v="10"/>
    <x v="2"/>
  </r>
  <r>
    <n v="45255"/>
    <x v="294"/>
    <x v="3"/>
    <x v="1"/>
    <x v="5"/>
    <x v="526"/>
    <n v="194.35"/>
    <n v="3"/>
    <n v="19.440000000000001"/>
    <x v="10"/>
    <x v="2"/>
  </r>
  <r>
    <n v="45256"/>
    <x v="231"/>
    <x v="33"/>
    <x v="0"/>
    <x v="0"/>
    <x v="371"/>
    <n v="70.98"/>
    <n v="7"/>
    <n v="34.78"/>
    <x v="10"/>
    <x v="2"/>
  </r>
  <r>
    <n v="45256"/>
    <x v="231"/>
    <x v="33"/>
    <x v="0"/>
    <x v="3"/>
    <x v="79"/>
    <n v="91.68"/>
    <n v="3"/>
    <n v="45.84"/>
    <x v="10"/>
    <x v="2"/>
  </r>
  <r>
    <n v="45256"/>
    <x v="231"/>
    <x v="33"/>
    <x v="0"/>
    <x v="3"/>
    <x v="1421"/>
    <n v="33.75"/>
    <n v="5"/>
    <n v="16.88"/>
    <x v="10"/>
    <x v="2"/>
  </r>
  <r>
    <n v="45256"/>
    <x v="231"/>
    <x v="33"/>
    <x v="2"/>
    <x v="15"/>
    <x v="1781"/>
    <n v="3040"/>
    <n v="8"/>
    <n v="1459.2"/>
    <x v="10"/>
    <x v="2"/>
  </r>
  <r>
    <n v="45256"/>
    <x v="498"/>
    <x v="22"/>
    <x v="0"/>
    <x v="3"/>
    <x v="573"/>
    <n v="7.31"/>
    <n v="2"/>
    <n v="2.56"/>
    <x v="10"/>
    <x v="2"/>
  </r>
  <r>
    <n v="45256"/>
    <x v="189"/>
    <x v="2"/>
    <x v="2"/>
    <x v="6"/>
    <x v="1404"/>
    <n v="494.98"/>
    <n v="3"/>
    <n v="-115.5"/>
    <x v="10"/>
    <x v="2"/>
  </r>
  <r>
    <n v="45256"/>
    <x v="205"/>
    <x v="16"/>
    <x v="0"/>
    <x v="3"/>
    <x v="253"/>
    <n v="3.74"/>
    <n v="4"/>
    <n v="-2.62"/>
    <x v="10"/>
    <x v="2"/>
  </r>
  <r>
    <n v="45256"/>
    <x v="78"/>
    <x v="20"/>
    <x v="1"/>
    <x v="13"/>
    <x v="134"/>
    <n v="313.18"/>
    <n v="2"/>
    <n v="-120.05"/>
    <x v="10"/>
    <x v="2"/>
  </r>
  <r>
    <n v="45256"/>
    <x v="208"/>
    <x v="0"/>
    <x v="0"/>
    <x v="4"/>
    <x v="385"/>
    <n v="17.86"/>
    <n v="4"/>
    <n v="4.24"/>
    <x v="10"/>
    <x v="2"/>
  </r>
  <r>
    <n v="45256"/>
    <x v="33"/>
    <x v="37"/>
    <x v="2"/>
    <x v="9"/>
    <x v="1103"/>
    <n v="59.97"/>
    <n v="3"/>
    <n v="14.99"/>
    <x v="10"/>
    <x v="2"/>
  </r>
  <r>
    <n v="45256"/>
    <x v="33"/>
    <x v="37"/>
    <x v="0"/>
    <x v="0"/>
    <x v="1215"/>
    <n v="13.36"/>
    <n v="2"/>
    <n v="6.41"/>
    <x v="10"/>
    <x v="2"/>
  </r>
  <r>
    <n v="45256"/>
    <x v="281"/>
    <x v="2"/>
    <x v="0"/>
    <x v="3"/>
    <x v="1223"/>
    <n v="78.760000000000005"/>
    <n v="9"/>
    <n v="-57.76"/>
    <x v="10"/>
    <x v="2"/>
  </r>
  <r>
    <n v="45256"/>
    <x v="389"/>
    <x v="3"/>
    <x v="1"/>
    <x v="11"/>
    <x v="853"/>
    <n v="3406.66"/>
    <n v="8"/>
    <n v="160.31"/>
    <x v="10"/>
    <x v="2"/>
  </r>
  <r>
    <n v="45256"/>
    <x v="389"/>
    <x v="3"/>
    <x v="0"/>
    <x v="4"/>
    <x v="1163"/>
    <n v="37.17"/>
    <n v="9"/>
    <n v="10.41"/>
    <x v="10"/>
    <x v="2"/>
  </r>
  <r>
    <n v="45256"/>
    <x v="389"/>
    <x v="3"/>
    <x v="0"/>
    <x v="12"/>
    <x v="1771"/>
    <n v="64.959999999999994"/>
    <n v="2"/>
    <n v="19.489999999999998"/>
    <x v="10"/>
    <x v="2"/>
  </r>
  <r>
    <n v="45256"/>
    <x v="389"/>
    <x v="3"/>
    <x v="1"/>
    <x v="8"/>
    <x v="1328"/>
    <n v="595.38"/>
    <n v="6"/>
    <n v="297.69"/>
    <x v="10"/>
    <x v="2"/>
  </r>
  <r>
    <n v="45257"/>
    <x v="480"/>
    <x v="1"/>
    <x v="0"/>
    <x v="2"/>
    <x v="62"/>
    <n v="97.98"/>
    <n v="2"/>
    <n v="-24.5"/>
    <x v="10"/>
    <x v="2"/>
  </r>
  <r>
    <n v="45257"/>
    <x v="480"/>
    <x v="1"/>
    <x v="2"/>
    <x v="9"/>
    <x v="17"/>
    <n v="62.4"/>
    <n v="6"/>
    <n v="19.5"/>
    <x v="10"/>
    <x v="2"/>
  </r>
  <r>
    <n v="45257"/>
    <x v="583"/>
    <x v="12"/>
    <x v="2"/>
    <x v="6"/>
    <x v="1782"/>
    <n v="271.99"/>
    <n v="1"/>
    <n v="23.8"/>
    <x v="10"/>
    <x v="2"/>
  </r>
  <r>
    <n v="45257"/>
    <x v="668"/>
    <x v="14"/>
    <x v="0"/>
    <x v="12"/>
    <x v="256"/>
    <n v="167.29"/>
    <n v="6"/>
    <n v="29.74"/>
    <x v="10"/>
    <x v="2"/>
  </r>
  <r>
    <n v="45257"/>
    <x v="274"/>
    <x v="42"/>
    <x v="2"/>
    <x v="9"/>
    <x v="843"/>
    <n v="34.950000000000003"/>
    <n v="5"/>
    <n v="15.38"/>
    <x v="10"/>
    <x v="2"/>
  </r>
  <r>
    <n v="45257"/>
    <x v="274"/>
    <x v="42"/>
    <x v="0"/>
    <x v="3"/>
    <x v="417"/>
    <n v="152"/>
    <n v="5"/>
    <n v="69.92"/>
    <x v="10"/>
    <x v="2"/>
  </r>
  <r>
    <n v="45257"/>
    <x v="593"/>
    <x v="23"/>
    <x v="1"/>
    <x v="8"/>
    <x v="58"/>
    <n v="31.56"/>
    <n v="3"/>
    <n v="10.41"/>
    <x v="10"/>
    <x v="2"/>
  </r>
  <r>
    <n v="45257"/>
    <x v="221"/>
    <x v="16"/>
    <x v="2"/>
    <x v="6"/>
    <x v="1157"/>
    <n v="116.76"/>
    <n v="1"/>
    <n v="14.6"/>
    <x v="10"/>
    <x v="2"/>
  </r>
  <r>
    <n v="45257"/>
    <x v="221"/>
    <x v="16"/>
    <x v="1"/>
    <x v="13"/>
    <x v="278"/>
    <n v="331.02"/>
    <n v="7"/>
    <n v="-114.35"/>
    <x v="10"/>
    <x v="2"/>
  </r>
  <r>
    <n v="45257"/>
    <x v="752"/>
    <x v="12"/>
    <x v="0"/>
    <x v="2"/>
    <x v="304"/>
    <n v="39.81"/>
    <n v="4"/>
    <n v="3.98"/>
    <x v="10"/>
    <x v="2"/>
  </r>
  <r>
    <n v="45257"/>
    <x v="92"/>
    <x v="23"/>
    <x v="0"/>
    <x v="0"/>
    <x v="1783"/>
    <n v="25.92"/>
    <n v="4"/>
    <n v="12.44"/>
    <x v="10"/>
    <x v="2"/>
  </r>
  <r>
    <n v="45257"/>
    <x v="92"/>
    <x v="23"/>
    <x v="0"/>
    <x v="4"/>
    <x v="619"/>
    <n v="34.65"/>
    <n v="3"/>
    <n v="9.6999999999999993"/>
    <x v="10"/>
    <x v="2"/>
  </r>
  <r>
    <n v="45257"/>
    <x v="92"/>
    <x v="23"/>
    <x v="0"/>
    <x v="0"/>
    <x v="290"/>
    <n v="204.95"/>
    <n v="5"/>
    <n v="100.43"/>
    <x v="10"/>
    <x v="2"/>
  </r>
  <r>
    <n v="45257"/>
    <x v="92"/>
    <x v="23"/>
    <x v="0"/>
    <x v="3"/>
    <x v="445"/>
    <n v="79.95"/>
    <n v="5"/>
    <n v="38.380000000000003"/>
    <x v="10"/>
    <x v="2"/>
  </r>
  <r>
    <n v="45258"/>
    <x v="779"/>
    <x v="37"/>
    <x v="0"/>
    <x v="3"/>
    <x v="824"/>
    <n v="7.16"/>
    <n v="2"/>
    <n v="3.44"/>
    <x v="10"/>
    <x v="2"/>
  </r>
  <r>
    <n v="45258"/>
    <x v="8"/>
    <x v="16"/>
    <x v="0"/>
    <x v="3"/>
    <x v="331"/>
    <n v="7.43"/>
    <n v="6"/>
    <n v="-5.7"/>
    <x v="10"/>
    <x v="2"/>
  </r>
  <r>
    <n v="45258"/>
    <x v="211"/>
    <x v="4"/>
    <x v="1"/>
    <x v="5"/>
    <x v="142"/>
    <n v="182.67"/>
    <n v="3"/>
    <n v="52.97"/>
    <x v="10"/>
    <x v="2"/>
  </r>
  <r>
    <n v="45258"/>
    <x v="211"/>
    <x v="4"/>
    <x v="2"/>
    <x v="9"/>
    <x v="281"/>
    <n v="101.7"/>
    <n v="6"/>
    <n v="6.1"/>
    <x v="10"/>
    <x v="2"/>
  </r>
  <r>
    <n v="45258"/>
    <x v="211"/>
    <x v="4"/>
    <x v="0"/>
    <x v="2"/>
    <x v="694"/>
    <n v="1126.02"/>
    <n v="3"/>
    <n v="56.3"/>
    <x v="10"/>
    <x v="2"/>
  </r>
  <r>
    <n v="45258"/>
    <x v="211"/>
    <x v="4"/>
    <x v="0"/>
    <x v="2"/>
    <x v="954"/>
    <n v="1263.3"/>
    <n v="6"/>
    <n v="315.83"/>
    <x v="10"/>
    <x v="2"/>
  </r>
  <r>
    <n v="45258"/>
    <x v="171"/>
    <x v="2"/>
    <x v="2"/>
    <x v="6"/>
    <x v="11"/>
    <n v="340.18"/>
    <n v="3"/>
    <n v="-73.709999999999994"/>
    <x v="10"/>
    <x v="2"/>
  </r>
  <r>
    <n v="45258"/>
    <x v="171"/>
    <x v="2"/>
    <x v="0"/>
    <x v="7"/>
    <x v="1713"/>
    <n v="12.67"/>
    <n v="8"/>
    <n v="2.69"/>
    <x v="10"/>
    <x v="2"/>
  </r>
  <r>
    <n v="45258"/>
    <x v="171"/>
    <x v="2"/>
    <x v="0"/>
    <x v="3"/>
    <x v="1467"/>
    <n v="6.89"/>
    <n v="2"/>
    <n v="-5.05"/>
    <x v="10"/>
    <x v="2"/>
  </r>
  <r>
    <n v="45258"/>
    <x v="171"/>
    <x v="2"/>
    <x v="0"/>
    <x v="2"/>
    <x v="204"/>
    <n v="32.54"/>
    <n v="2"/>
    <n v="-7.73"/>
    <x v="10"/>
    <x v="2"/>
  </r>
  <r>
    <n v="45258"/>
    <x v="171"/>
    <x v="2"/>
    <x v="1"/>
    <x v="5"/>
    <x v="478"/>
    <n v="347.8"/>
    <n v="7"/>
    <n v="-24.84"/>
    <x v="10"/>
    <x v="2"/>
  </r>
  <r>
    <n v="45259"/>
    <x v="317"/>
    <x v="0"/>
    <x v="2"/>
    <x v="9"/>
    <x v="1003"/>
    <n v="58.42"/>
    <n v="2"/>
    <n v="16.79"/>
    <x v="10"/>
    <x v="2"/>
  </r>
  <r>
    <n v="45259"/>
    <x v="108"/>
    <x v="1"/>
    <x v="1"/>
    <x v="8"/>
    <x v="1730"/>
    <n v="242.18"/>
    <n v="4"/>
    <n v="-302.72000000000003"/>
    <x v="10"/>
    <x v="2"/>
  </r>
  <r>
    <n v="45260"/>
    <x v="622"/>
    <x v="25"/>
    <x v="2"/>
    <x v="6"/>
    <x v="80"/>
    <n v="36.19"/>
    <n v="1"/>
    <n v="2.71"/>
    <x v="10"/>
    <x v="2"/>
  </r>
  <r>
    <n v="45260"/>
    <x v="206"/>
    <x v="14"/>
    <x v="0"/>
    <x v="0"/>
    <x v="64"/>
    <n v="33.36"/>
    <n v="4"/>
    <n v="16.68"/>
    <x v="10"/>
    <x v="2"/>
  </r>
  <r>
    <n v="45260"/>
    <x v="206"/>
    <x v="14"/>
    <x v="0"/>
    <x v="0"/>
    <x v="1589"/>
    <n v="13.76"/>
    <n v="2"/>
    <n v="6.33"/>
    <x v="10"/>
    <x v="2"/>
  </r>
  <r>
    <n v="45260"/>
    <x v="206"/>
    <x v="14"/>
    <x v="0"/>
    <x v="2"/>
    <x v="135"/>
    <n v="496.86"/>
    <n v="7"/>
    <n v="24.84"/>
    <x v="10"/>
    <x v="2"/>
  </r>
  <r>
    <n v="45260"/>
    <x v="206"/>
    <x v="14"/>
    <x v="1"/>
    <x v="5"/>
    <x v="1155"/>
    <n v="389.97"/>
    <n v="3"/>
    <n v="35.1"/>
    <x v="10"/>
    <x v="2"/>
  </r>
  <r>
    <n v="45261"/>
    <x v="333"/>
    <x v="28"/>
    <x v="0"/>
    <x v="0"/>
    <x v="1396"/>
    <n v="23.92"/>
    <n v="4"/>
    <n v="11.72"/>
    <x v="11"/>
    <x v="2"/>
  </r>
  <r>
    <n v="45261"/>
    <x v="264"/>
    <x v="36"/>
    <x v="1"/>
    <x v="5"/>
    <x v="123"/>
    <n v="172.5"/>
    <n v="2"/>
    <n v="51.75"/>
    <x v="11"/>
    <x v="2"/>
  </r>
  <r>
    <n v="45261"/>
    <x v="264"/>
    <x v="36"/>
    <x v="2"/>
    <x v="6"/>
    <x v="784"/>
    <n v="179.97"/>
    <n v="3"/>
    <n v="44.99"/>
    <x v="11"/>
    <x v="2"/>
  </r>
  <r>
    <n v="45261"/>
    <x v="247"/>
    <x v="18"/>
    <x v="1"/>
    <x v="8"/>
    <x v="924"/>
    <n v="17.309999999999999"/>
    <n v="3"/>
    <n v="5.19"/>
    <x v="11"/>
    <x v="2"/>
  </r>
  <r>
    <n v="45261"/>
    <x v="156"/>
    <x v="15"/>
    <x v="0"/>
    <x v="4"/>
    <x v="1000"/>
    <n v="4.7"/>
    <n v="2"/>
    <n v="0.41"/>
    <x v="11"/>
    <x v="2"/>
  </r>
  <r>
    <n v="45261"/>
    <x v="319"/>
    <x v="3"/>
    <x v="1"/>
    <x v="8"/>
    <x v="598"/>
    <n v="16.739999999999998"/>
    <n v="2"/>
    <n v="4.3499999999999996"/>
    <x v="11"/>
    <x v="2"/>
  </r>
  <r>
    <n v="45261"/>
    <x v="373"/>
    <x v="37"/>
    <x v="0"/>
    <x v="3"/>
    <x v="1245"/>
    <n v="88.08"/>
    <n v="6"/>
    <n v="40.520000000000003"/>
    <x v="11"/>
    <x v="2"/>
  </r>
  <r>
    <n v="45261"/>
    <x v="373"/>
    <x v="37"/>
    <x v="1"/>
    <x v="5"/>
    <x v="612"/>
    <n v="751.92"/>
    <n v="4"/>
    <n v="150.38"/>
    <x v="11"/>
    <x v="2"/>
  </r>
  <r>
    <n v="45261"/>
    <x v="30"/>
    <x v="25"/>
    <x v="2"/>
    <x v="6"/>
    <x v="1118"/>
    <n v="863.93"/>
    <n v="9"/>
    <n v="86.39"/>
    <x v="11"/>
    <x v="2"/>
  </r>
  <r>
    <n v="45261"/>
    <x v="522"/>
    <x v="0"/>
    <x v="1"/>
    <x v="5"/>
    <x v="478"/>
    <n v="248.43"/>
    <n v="5"/>
    <n v="-17.75"/>
    <x v="11"/>
    <x v="2"/>
  </r>
  <r>
    <n v="45261"/>
    <x v="522"/>
    <x v="0"/>
    <x v="0"/>
    <x v="12"/>
    <x v="460"/>
    <n v="11.65"/>
    <n v="4"/>
    <n v="-30.87"/>
    <x v="11"/>
    <x v="2"/>
  </r>
  <r>
    <n v="45261"/>
    <x v="522"/>
    <x v="0"/>
    <x v="1"/>
    <x v="5"/>
    <x v="142"/>
    <n v="85.25"/>
    <n v="2"/>
    <n v="-1.22"/>
    <x v="11"/>
    <x v="2"/>
  </r>
  <r>
    <n v="45261"/>
    <x v="67"/>
    <x v="32"/>
    <x v="2"/>
    <x v="6"/>
    <x v="1585"/>
    <n v="137.94"/>
    <n v="3"/>
    <n v="35.86"/>
    <x v="11"/>
    <x v="2"/>
  </r>
  <r>
    <n v="45261"/>
    <x v="67"/>
    <x v="32"/>
    <x v="1"/>
    <x v="8"/>
    <x v="1087"/>
    <n v="111.15"/>
    <n v="5"/>
    <n v="48.91"/>
    <x v="11"/>
    <x v="2"/>
  </r>
  <r>
    <n v="45261"/>
    <x v="67"/>
    <x v="32"/>
    <x v="0"/>
    <x v="12"/>
    <x v="453"/>
    <n v="901.95"/>
    <n v="3"/>
    <n v="297.64"/>
    <x v="11"/>
    <x v="2"/>
  </r>
  <r>
    <n v="45261"/>
    <x v="67"/>
    <x v="32"/>
    <x v="1"/>
    <x v="13"/>
    <x v="1348"/>
    <n v="366.01"/>
    <n v="3"/>
    <n v="-47.06"/>
    <x v="11"/>
    <x v="2"/>
  </r>
  <r>
    <n v="45261"/>
    <x v="104"/>
    <x v="6"/>
    <x v="0"/>
    <x v="12"/>
    <x v="453"/>
    <n v="2104.5500000000002"/>
    <n v="7"/>
    <n v="694.5"/>
    <x v="11"/>
    <x v="2"/>
  </r>
  <r>
    <n v="45261"/>
    <x v="104"/>
    <x v="6"/>
    <x v="0"/>
    <x v="14"/>
    <x v="622"/>
    <n v="40.700000000000003"/>
    <n v="5"/>
    <n v="11.8"/>
    <x v="11"/>
    <x v="2"/>
  </r>
  <r>
    <n v="45261"/>
    <x v="162"/>
    <x v="3"/>
    <x v="1"/>
    <x v="8"/>
    <x v="964"/>
    <n v="31.96"/>
    <n v="2"/>
    <n v="1.6"/>
    <x v="11"/>
    <x v="2"/>
  </r>
  <r>
    <n v="45261"/>
    <x v="162"/>
    <x v="3"/>
    <x v="0"/>
    <x v="0"/>
    <x v="1437"/>
    <n v="47.9"/>
    <n v="1"/>
    <n v="22.99"/>
    <x v="11"/>
    <x v="2"/>
  </r>
  <r>
    <n v="45261"/>
    <x v="162"/>
    <x v="3"/>
    <x v="0"/>
    <x v="2"/>
    <x v="1726"/>
    <n v="1112.94"/>
    <n v="3"/>
    <n v="222.59"/>
    <x v="11"/>
    <x v="2"/>
  </r>
  <r>
    <n v="45261"/>
    <x v="162"/>
    <x v="3"/>
    <x v="0"/>
    <x v="10"/>
    <x v="920"/>
    <n v="22.92"/>
    <n v="3"/>
    <n v="11.23"/>
    <x v="11"/>
    <x v="2"/>
  </r>
  <r>
    <n v="45261"/>
    <x v="470"/>
    <x v="3"/>
    <x v="0"/>
    <x v="4"/>
    <x v="1237"/>
    <n v="23.04"/>
    <n v="8"/>
    <n v="6.91"/>
    <x v="11"/>
    <x v="2"/>
  </r>
  <r>
    <n v="45262"/>
    <x v="575"/>
    <x v="3"/>
    <x v="0"/>
    <x v="0"/>
    <x v="1040"/>
    <n v="25.92"/>
    <n v="4"/>
    <n v="12.44"/>
    <x v="11"/>
    <x v="2"/>
  </r>
  <r>
    <n v="45262"/>
    <x v="575"/>
    <x v="3"/>
    <x v="0"/>
    <x v="0"/>
    <x v="1479"/>
    <n v="40.46"/>
    <n v="7"/>
    <n v="19.829999999999998"/>
    <x v="11"/>
    <x v="2"/>
  </r>
  <r>
    <n v="45262"/>
    <x v="575"/>
    <x v="3"/>
    <x v="0"/>
    <x v="2"/>
    <x v="350"/>
    <n v="33.869999999999997"/>
    <n v="3"/>
    <n v="8.81"/>
    <x v="11"/>
    <x v="2"/>
  </r>
  <r>
    <n v="45262"/>
    <x v="435"/>
    <x v="3"/>
    <x v="0"/>
    <x v="3"/>
    <x v="962"/>
    <n v="24.7"/>
    <n v="2"/>
    <n v="9.26"/>
    <x v="11"/>
    <x v="2"/>
  </r>
  <r>
    <n v="45262"/>
    <x v="435"/>
    <x v="3"/>
    <x v="0"/>
    <x v="12"/>
    <x v="107"/>
    <n v="59.7"/>
    <n v="3"/>
    <n v="26.87"/>
    <x v="11"/>
    <x v="2"/>
  </r>
  <r>
    <n v="45262"/>
    <x v="435"/>
    <x v="3"/>
    <x v="1"/>
    <x v="8"/>
    <x v="1522"/>
    <n v="14.52"/>
    <n v="3"/>
    <n v="5.66"/>
    <x v="11"/>
    <x v="2"/>
  </r>
  <r>
    <n v="45262"/>
    <x v="435"/>
    <x v="3"/>
    <x v="0"/>
    <x v="3"/>
    <x v="715"/>
    <n v="104.18"/>
    <n v="3"/>
    <n v="33.86"/>
    <x v="11"/>
    <x v="2"/>
  </r>
  <r>
    <n v="45262"/>
    <x v="35"/>
    <x v="43"/>
    <x v="0"/>
    <x v="2"/>
    <x v="1266"/>
    <n v="2079.4"/>
    <n v="5"/>
    <n v="582.23"/>
    <x v="11"/>
    <x v="2"/>
  </r>
  <r>
    <n v="45262"/>
    <x v="35"/>
    <x v="43"/>
    <x v="2"/>
    <x v="6"/>
    <x v="431"/>
    <n v="629.95000000000005"/>
    <n v="5"/>
    <n v="176.39"/>
    <x v="11"/>
    <x v="2"/>
  </r>
  <r>
    <n v="45262"/>
    <x v="35"/>
    <x v="43"/>
    <x v="1"/>
    <x v="8"/>
    <x v="1732"/>
    <n v="72.42"/>
    <n v="6"/>
    <n v="23.9"/>
    <x v="11"/>
    <x v="2"/>
  </r>
  <r>
    <n v="45262"/>
    <x v="509"/>
    <x v="20"/>
    <x v="0"/>
    <x v="3"/>
    <x v="1644"/>
    <n v="415.18"/>
    <n v="3"/>
    <n v="134.93"/>
    <x v="11"/>
    <x v="2"/>
  </r>
  <r>
    <n v="45262"/>
    <x v="509"/>
    <x v="20"/>
    <x v="0"/>
    <x v="3"/>
    <x v="1245"/>
    <n v="35.229999999999997"/>
    <n v="3"/>
    <n v="11.45"/>
    <x v="11"/>
    <x v="2"/>
  </r>
  <r>
    <n v="45262"/>
    <x v="509"/>
    <x v="20"/>
    <x v="0"/>
    <x v="0"/>
    <x v="1127"/>
    <n v="54.96"/>
    <n v="1"/>
    <n v="26.93"/>
    <x v="11"/>
    <x v="2"/>
  </r>
  <r>
    <n v="45262"/>
    <x v="464"/>
    <x v="26"/>
    <x v="2"/>
    <x v="9"/>
    <x v="925"/>
    <n v="165.6"/>
    <n v="3"/>
    <n v="-6.21"/>
    <x v="11"/>
    <x v="2"/>
  </r>
  <r>
    <n v="45262"/>
    <x v="203"/>
    <x v="30"/>
    <x v="0"/>
    <x v="3"/>
    <x v="1057"/>
    <n v="115.84"/>
    <n v="8"/>
    <n v="54.44"/>
    <x v="11"/>
    <x v="2"/>
  </r>
  <r>
    <n v="45262"/>
    <x v="168"/>
    <x v="0"/>
    <x v="1"/>
    <x v="11"/>
    <x v="1450"/>
    <n v="781.86"/>
    <n v="10"/>
    <n v="-137.97999999999999"/>
    <x v="11"/>
    <x v="2"/>
  </r>
  <r>
    <n v="45262"/>
    <x v="168"/>
    <x v="0"/>
    <x v="0"/>
    <x v="0"/>
    <x v="1351"/>
    <n v="30.82"/>
    <n v="9"/>
    <n v="9.6300000000000008"/>
    <x v="11"/>
    <x v="2"/>
  </r>
  <r>
    <n v="45263"/>
    <x v="709"/>
    <x v="20"/>
    <x v="0"/>
    <x v="0"/>
    <x v="1131"/>
    <n v="182.72"/>
    <n v="8"/>
    <n v="84.05"/>
    <x v="11"/>
    <x v="2"/>
  </r>
  <r>
    <n v="45263"/>
    <x v="709"/>
    <x v="20"/>
    <x v="1"/>
    <x v="13"/>
    <x v="397"/>
    <n v="400.03"/>
    <n v="2"/>
    <n v="-153.35"/>
    <x v="11"/>
    <x v="2"/>
  </r>
  <r>
    <n v="45263"/>
    <x v="709"/>
    <x v="20"/>
    <x v="0"/>
    <x v="2"/>
    <x v="329"/>
    <n v="33.630000000000003"/>
    <n v="3"/>
    <n v="10.09"/>
    <x v="11"/>
    <x v="2"/>
  </r>
  <r>
    <n v="45263"/>
    <x v="709"/>
    <x v="20"/>
    <x v="1"/>
    <x v="5"/>
    <x v="249"/>
    <n v="542.65"/>
    <n v="3"/>
    <n v="102.5"/>
    <x v="11"/>
    <x v="2"/>
  </r>
  <r>
    <n v="45263"/>
    <x v="709"/>
    <x v="20"/>
    <x v="0"/>
    <x v="1"/>
    <x v="1090"/>
    <n v="6.3"/>
    <n v="2"/>
    <n v="3.02"/>
    <x v="11"/>
    <x v="2"/>
  </r>
  <r>
    <n v="45263"/>
    <x v="740"/>
    <x v="2"/>
    <x v="0"/>
    <x v="12"/>
    <x v="1302"/>
    <n v="394.82"/>
    <n v="4"/>
    <n v="93.77"/>
    <x v="11"/>
    <x v="2"/>
  </r>
  <r>
    <n v="45263"/>
    <x v="740"/>
    <x v="2"/>
    <x v="0"/>
    <x v="3"/>
    <x v="455"/>
    <n v="18.190000000000001"/>
    <n v="4"/>
    <n v="-14.55"/>
    <x v="11"/>
    <x v="2"/>
  </r>
  <r>
    <n v="45263"/>
    <x v="685"/>
    <x v="3"/>
    <x v="2"/>
    <x v="9"/>
    <x v="1375"/>
    <n v="1649.95"/>
    <n v="5"/>
    <n v="659.98"/>
    <x v="11"/>
    <x v="2"/>
  </r>
  <r>
    <n v="45263"/>
    <x v="685"/>
    <x v="3"/>
    <x v="1"/>
    <x v="8"/>
    <x v="1290"/>
    <n v="111.9"/>
    <n v="6"/>
    <n v="51.47"/>
    <x v="11"/>
    <x v="2"/>
  </r>
  <r>
    <n v="45263"/>
    <x v="13"/>
    <x v="18"/>
    <x v="1"/>
    <x v="13"/>
    <x v="576"/>
    <n v="581.96"/>
    <n v="2"/>
    <n v="104.75"/>
    <x v="11"/>
    <x v="2"/>
  </r>
  <r>
    <n v="45263"/>
    <x v="13"/>
    <x v="18"/>
    <x v="1"/>
    <x v="5"/>
    <x v="1004"/>
    <n v="29.98"/>
    <n v="1"/>
    <n v="8.09"/>
    <x v="11"/>
    <x v="2"/>
  </r>
  <r>
    <n v="45263"/>
    <x v="95"/>
    <x v="3"/>
    <x v="0"/>
    <x v="2"/>
    <x v="917"/>
    <n v="772.68"/>
    <n v="4"/>
    <n v="108.18"/>
    <x v="11"/>
    <x v="2"/>
  </r>
  <r>
    <n v="45263"/>
    <x v="310"/>
    <x v="3"/>
    <x v="1"/>
    <x v="13"/>
    <x v="534"/>
    <n v="268.7"/>
    <n v="3"/>
    <n v="6.72"/>
    <x v="11"/>
    <x v="2"/>
  </r>
  <r>
    <n v="45263"/>
    <x v="310"/>
    <x v="3"/>
    <x v="0"/>
    <x v="4"/>
    <x v="9"/>
    <n v="21.92"/>
    <n v="8"/>
    <n v="5.92"/>
    <x v="11"/>
    <x v="2"/>
  </r>
  <r>
    <n v="45263"/>
    <x v="310"/>
    <x v="3"/>
    <x v="0"/>
    <x v="2"/>
    <x v="90"/>
    <n v="48.72"/>
    <n v="3"/>
    <n v="7.31"/>
    <x v="11"/>
    <x v="2"/>
  </r>
  <r>
    <n v="45263"/>
    <x v="310"/>
    <x v="3"/>
    <x v="1"/>
    <x v="11"/>
    <x v="238"/>
    <n v="205.67"/>
    <n v="2"/>
    <n v="-12.1"/>
    <x v="11"/>
    <x v="2"/>
  </r>
  <r>
    <n v="45264"/>
    <x v="383"/>
    <x v="20"/>
    <x v="1"/>
    <x v="8"/>
    <x v="676"/>
    <n v="113.79"/>
    <n v="3"/>
    <n v="20.48"/>
    <x v="11"/>
    <x v="2"/>
  </r>
  <r>
    <n v="45264"/>
    <x v="383"/>
    <x v="20"/>
    <x v="2"/>
    <x v="9"/>
    <x v="77"/>
    <n v="78.150000000000006"/>
    <n v="1"/>
    <n v="34.39"/>
    <x v="11"/>
    <x v="2"/>
  </r>
  <r>
    <n v="45264"/>
    <x v="383"/>
    <x v="20"/>
    <x v="0"/>
    <x v="3"/>
    <x v="1056"/>
    <n v="1.73"/>
    <n v="1"/>
    <n v="0.6"/>
    <x v="11"/>
    <x v="2"/>
  </r>
  <r>
    <n v="45264"/>
    <x v="383"/>
    <x v="20"/>
    <x v="0"/>
    <x v="0"/>
    <x v="371"/>
    <n v="40.56"/>
    <n v="4"/>
    <n v="19.87"/>
    <x v="11"/>
    <x v="2"/>
  </r>
  <r>
    <n v="45264"/>
    <x v="383"/>
    <x v="20"/>
    <x v="0"/>
    <x v="2"/>
    <x v="1554"/>
    <n v="182.94"/>
    <n v="3"/>
    <n v="3.66"/>
    <x v="11"/>
    <x v="2"/>
  </r>
  <r>
    <n v="45264"/>
    <x v="383"/>
    <x v="20"/>
    <x v="0"/>
    <x v="2"/>
    <x v="1762"/>
    <n v="193.86"/>
    <n v="2"/>
    <n v="11.63"/>
    <x v="11"/>
    <x v="2"/>
  </r>
  <r>
    <n v="45264"/>
    <x v="227"/>
    <x v="20"/>
    <x v="0"/>
    <x v="2"/>
    <x v="1784"/>
    <n v="212.88"/>
    <n v="6"/>
    <n v="0"/>
    <x v="11"/>
    <x v="2"/>
  </r>
  <r>
    <n v="45264"/>
    <x v="272"/>
    <x v="20"/>
    <x v="0"/>
    <x v="3"/>
    <x v="871"/>
    <n v="15.53"/>
    <n v="3"/>
    <n v="5.82"/>
    <x v="11"/>
    <x v="2"/>
  </r>
  <r>
    <n v="45264"/>
    <x v="388"/>
    <x v="3"/>
    <x v="0"/>
    <x v="0"/>
    <x v="1481"/>
    <n v="104.85"/>
    <n v="1"/>
    <n v="50.33"/>
    <x v="11"/>
    <x v="2"/>
  </r>
  <r>
    <n v="45265"/>
    <x v="576"/>
    <x v="22"/>
    <x v="0"/>
    <x v="3"/>
    <x v="313"/>
    <n v="407.98"/>
    <n v="3"/>
    <n v="132.59"/>
    <x v="11"/>
    <x v="2"/>
  </r>
  <r>
    <n v="45265"/>
    <x v="780"/>
    <x v="21"/>
    <x v="2"/>
    <x v="6"/>
    <x v="503"/>
    <n v="384.45"/>
    <n v="11"/>
    <n v="103.8"/>
    <x v="11"/>
    <x v="2"/>
  </r>
  <r>
    <n v="45265"/>
    <x v="780"/>
    <x v="21"/>
    <x v="2"/>
    <x v="6"/>
    <x v="1631"/>
    <n v="149.97"/>
    <n v="3"/>
    <n v="6"/>
    <x v="11"/>
    <x v="2"/>
  </r>
  <r>
    <n v="45265"/>
    <x v="780"/>
    <x v="21"/>
    <x v="1"/>
    <x v="5"/>
    <x v="528"/>
    <n v="1951.84"/>
    <n v="8"/>
    <n v="585.54999999999995"/>
    <x v="11"/>
    <x v="2"/>
  </r>
  <r>
    <n v="45265"/>
    <x v="780"/>
    <x v="21"/>
    <x v="0"/>
    <x v="3"/>
    <x v="213"/>
    <n v="171.55"/>
    <n v="5"/>
    <n v="80.63"/>
    <x v="11"/>
    <x v="2"/>
  </r>
  <r>
    <n v="45265"/>
    <x v="229"/>
    <x v="5"/>
    <x v="1"/>
    <x v="8"/>
    <x v="1466"/>
    <n v="191.82"/>
    <n v="3"/>
    <n v="74.81"/>
    <x v="11"/>
    <x v="2"/>
  </r>
  <r>
    <n v="45265"/>
    <x v="229"/>
    <x v="20"/>
    <x v="0"/>
    <x v="2"/>
    <x v="880"/>
    <n v="465.18"/>
    <n v="3"/>
    <n v="120.95"/>
    <x v="11"/>
    <x v="2"/>
  </r>
  <r>
    <n v="45265"/>
    <x v="166"/>
    <x v="32"/>
    <x v="1"/>
    <x v="11"/>
    <x v="1615"/>
    <n v="81.94"/>
    <n v="1"/>
    <n v="20.49"/>
    <x v="11"/>
    <x v="2"/>
  </r>
  <r>
    <n v="45265"/>
    <x v="529"/>
    <x v="44"/>
    <x v="0"/>
    <x v="4"/>
    <x v="224"/>
    <n v="33.92"/>
    <n v="8"/>
    <n v="13.23"/>
    <x v="11"/>
    <x v="2"/>
  </r>
  <r>
    <n v="45265"/>
    <x v="633"/>
    <x v="5"/>
    <x v="2"/>
    <x v="6"/>
    <x v="1021"/>
    <n v="699.98"/>
    <n v="2"/>
    <n v="195.99"/>
    <x v="11"/>
    <x v="2"/>
  </r>
  <r>
    <n v="45265"/>
    <x v="633"/>
    <x v="5"/>
    <x v="0"/>
    <x v="2"/>
    <x v="1567"/>
    <n v="584.82000000000005"/>
    <n v="9"/>
    <n v="70.180000000000007"/>
    <x v="11"/>
    <x v="2"/>
  </r>
  <r>
    <n v="45265"/>
    <x v="211"/>
    <x v="1"/>
    <x v="0"/>
    <x v="1"/>
    <x v="95"/>
    <n v="11.95"/>
    <n v="3"/>
    <n v="3.88"/>
    <x v="11"/>
    <x v="2"/>
  </r>
  <r>
    <n v="45265"/>
    <x v="109"/>
    <x v="1"/>
    <x v="0"/>
    <x v="4"/>
    <x v="1363"/>
    <n v="3.54"/>
    <n v="2"/>
    <n v="0.31"/>
    <x v="11"/>
    <x v="2"/>
  </r>
  <r>
    <n v="45265"/>
    <x v="736"/>
    <x v="7"/>
    <x v="1"/>
    <x v="8"/>
    <x v="1346"/>
    <n v="13.4"/>
    <n v="1"/>
    <n v="6.43"/>
    <x v="11"/>
    <x v="2"/>
  </r>
  <r>
    <n v="45265"/>
    <x v="736"/>
    <x v="7"/>
    <x v="0"/>
    <x v="0"/>
    <x v="371"/>
    <n v="4.9800000000000004"/>
    <n v="1"/>
    <n v="2.34"/>
    <x v="11"/>
    <x v="2"/>
  </r>
  <r>
    <n v="45265"/>
    <x v="736"/>
    <x v="7"/>
    <x v="0"/>
    <x v="10"/>
    <x v="858"/>
    <n v="109.69"/>
    <n v="7"/>
    <n v="51.55"/>
    <x v="11"/>
    <x v="2"/>
  </r>
  <r>
    <n v="45266"/>
    <x v="480"/>
    <x v="3"/>
    <x v="0"/>
    <x v="0"/>
    <x v="757"/>
    <n v="19.440000000000001"/>
    <n v="3"/>
    <n v="9.33"/>
    <x v="11"/>
    <x v="2"/>
  </r>
  <r>
    <n v="45266"/>
    <x v="217"/>
    <x v="22"/>
    <x v="2"/>
    <x v="6"/>
    <x v="1319"/>
    <n v="156.79"/>
    <n v="1"/>
    <n v="13.72"/>
    <x v="11"/>
    <x v="2"/>
  </r>
  <r>
    <n v="45266"/>
    <x v="217"/>
    <x v="22"/>
    <x v="2"/>
    <x v="6"/>
    <x v="1238"/>
    <n v="431.98"/>
    <n v="3"/>
    <n v="27"/>
    <x v="11"/>
    <x v="2"/>
  </r>
  <r>
    <n v="45266"/>
    <x v="217"/>
    <x v="22"/>
    <x v="0"/>
    <x v="10"/>
    <x v="1353"/>
    <n v="35.89"/>
    <n v="1"/>
    <n v="16.149999999999999"/>
    <x v="11"/>
    <x v="2"/>
  </r>
  <r>
    <n v="45266"/>
    <x v="217"/>
    <x v="22"/>
    <x v="0"/>
    <x v="3"/>
    <x v="250"/>
    <n v="47.21"/>
    <n v="7"/>
    <n v="15.34"/>
    <x v="11"/>
    <x v="2"/>
  </r>
  <r>
    <n v="45266"/>
    <x v="217"/>
    <x v="22"/>
    <x v="0"/>
    <x v="0"/>
    <x v="1285"/>
    <n v="248.08"/>
    <n v="7"/>
    <n v="116.6"/>
    <x v="11"/>
    <x v="2"/>
  </r>
  <r>
    <n v="45266"/>
    <x v="217"/>
    <x v="22"/>
    <x v="0"/>
    <x v="0"/>
    <x v="795"/>
    <n v="189.7"/>
    <n v="5"/>
    <n v="89.16"/>
    <x v="11"/>
    <x v="2"/>
  </r>
  <r>
    <n v="45266"/>
    <x v="217"/>
    <x v="22"/>
    <x v="0"/>
    <x v="3"/>
    <x v="461"/>
    <n v="59.81"/>
    <n v="3"/>
    <n v="19.440000000000001"/>
    <x v="11"/>
    <x v="2"/>
  </r>
  <r>
    <n v="45266"/>
    <x v="679"/>
    <x v="20"/>
    <x v="0"/>
    <x v="3"/>
    <x v="1644"/>
    <n v="968.74"/>
    <n v="7"/>
    <n v="314.83999999999997"/>
    <x v="11"/>
    <x v="2"/>
  </r>
  <r>
    <n v="45266"/>
    <x v="679"/>
    <x v="20"/>
    <x v="0"/>
    <x v="3"/>
    <x v="830"/>
    <n v="222.35"/>
    <n v="13"/>
    <n v="77.819999999999993"/>
    <x v="11"/>
    <x v="2"/>
  </r>
  <r>
    <n v="45266"/>
    <x v="679"/>
    <x v="20"/>
    <x v="2"/>
    <x v="16"/>
    <x v="359"/>
    <n v="479.98"/>
    <n v="2"/>
    <n v="90"/>
    <x v="11"/>
    <x v="2"/>
  </r>
  <r>
    <n v="45266"/>
    <x v="64"/>
    <x v="3"/>
    <x v="2"/>
    <x v="6"/>
    <x v="1619"/>
    <n v="271.95999999999998"/>
    <n v="5"/>
    <n v="27.2"/>
    <x v="11"/>
    <x v="2"/>
  </r>
  <r>
    <n v="45266"/>
    <x v="64"/>
    <x v="3"/>
    <x v="0"/>
    <x v="4"/>
    <x v="347"/>
    <n v="18.690000000000001"/>
    <n v="7"/>
    <n v="5.23"/>
    <x v="11"/>
    <x v="2"/>
  </r>
  <r>
    <n v="45266"/>
    <x v="64"/>
    <x v="3"/>
    <x v="0"/>
    <x v="0"/>
    <x v="1282"/>
    <n v="13.36"/>
    <n v="2"/>
    <n v="6.41"/>
    <x v="11"/>
    <x v="2"/>
  </r>
  <r>
    <n v="45266"/>
    <x v="64"/>
    <x v="3"/>
    <x v="2"/>
    <x v="6"/>
    <x v="1379"/>
    <n v="249.58"/>
    <n v="2"/>
    <n v="31.2"/>
    <x v="11"/>
    <x v="2"/>
  </r>
  <r>
    <n v="45266"/>
    <x v="64"/>
    <x v="3"/>
    <x v="0"/>
    <x v="7"/>
    <x v="60"/>
    <n v="13.86"/>
    <n v="7"/>
    <n v="0"/>
    <x v="11"/>
    <x v="2"/>
  </r>
  <r>
    <n v="45266"/>
    <x v="64"/>
    <x v="3"/>
    <x v="0"/>
    <x v="3"/>
    <x v="950"/>
    <n v="13.38"/>
    <n v="4"/>
    <n v="4.68"/>
    <x v="11"/>
    <x v="2"/>
  </r>
  <r>
    <n v="45266"/>
    <x v="64"/>
    <x v="3"/>
    <x v="0"/>
    <x v="3"/>
    <x v="1345"/>
    <n v="437.47"/>
    <n v="14"/>
    <n v="153.12"/>
    <x v="11"/>
    <x v="2"/>
  </r>
  <r>
    <n v="45268"/>
    <x v="702"/>
    <x v="0"/>
    <x v="2"/>
    <x v="6"/>
    <x v="10"/>
    <n v="1097.54"/>
    <n v="7"/>
    <n v="123.47"/>
    <x v="11"/>
    <x v="2"/>
  </r>
  <r>
    <n v="45268"/>
    <x v="702"/>
    <x v="0"/>
    <x v="1"/>
    <x v="8"/>
    <x v="1751"/>
    <n v="190.92"/>
    <n v="5"/>
    <n v="-147.96"/>
    <x v="11"/>
    <x v="2"/>
  </r>
  <r>
    <n v="45268"/>
    <x v="87"/>
    <x v="28"/>
    <x v="2"/>
    <x v="6"/>
    <x v="1502"/>
    <n v="114.95"/>
    <n v="5"/>
    <n v="2.2999999999999998"/>
    <x v="11"/>
    <x v="2"/>
  </r>
  <r>
    <n v="45268"/>
    <x v="425"/>
    <x v="10"/>
    <x v="0"/>
    <x v="3"/>
    <x v="1023"/>
    <n v="12.96"/>
    <n v="7"/>
    <n v="-9.5"/>
    <x v="11"/>
    <x v="2"/>
  </r>
  <r>
    <n v="45268"/>
    <x v="386"/>
    <x v="3"/>
    <x v="0"/>
    <x v="4"/>
    <x v="514"/>
    <n v="8.56"/>
    <n v="2"/>
    <n v="2.48"/>
    <x v="11"/>
    <x v="2"/>
  </r>
  <r>
    <n v="45268"/>
    <x v="386"/>
    <x v="3"/>
    <x v="0"/>
    <x v="0"/>
    <x v="113"/>
    <n v="45.36"/>
    <n v="7"/>
    <n v="21.77"/>
    <x v="11"/>
    <x v="2"/>
  </r>
  <r>
    <n v="45268"/>
    <x v="386"/>
    <x v="3"/>
    <x v="1"/>
    <x v="13"/>
    <x v="230"/>
    <n v="1421.66"/>
    <n v="6"/>
    <n v="-195.48"/>
    <x v="11"/>
    <x v="2"/>
  </r>
  <r>
    <n v="45268"/>
    <x v="440"/>
    <x v="3"/>
    <x v="0"/>
    <x v="2"/>
    <x v="939"/>
    <n v="34.049999999999997"/>
    <n v="3"/>
    <n v="9.5299999999999994"/>
    <x v="11"/>
    <x v="2"/>
  </r>
  <r>
    <n v="45268"/>
    <x v="440"/>
    <x v="3"/>
    <x v="0"/>
    <x v="2"/>
    <x v="923"/>
    <n v="352.38"/>
    <n v="2"/>
    <n v="81.05"/>
    <x v="11"/>
    <x v="2"/>
  </r>
  <r>
    <n v="45268"/>
    <x v="352"/>
    <x v="25"/>
    <x v="2"/>
    <x v="6"/>
    <x v="1379"/>
    <n v="249.58"/>
    <n v="2"/>
    <n v="31.2"/>
    <x v="11"/>
    <x v="2"/>
  </r>
  <r>
    <n v="45268"/>
    <x v="352"/>
    <x v="25"/>
    <x v="2"/>
    <x v="9"/>
    <x v="662"/>
    <n v="68.11"/>
    <n v="3"/>
    <n v="17.88"/>
    <x v="11"/>
    <x v="2"/>
  </r>
  <r>
    <n v="45268"/>
    <x v="352"/>
    <x v="25"/>
    <x v="2"/>
    <x v="9"/>
    <x v="162"/>
    <n v="16.559999999999999"/>
    <n v="3"/>
    <n v="-2.48"/>
    <x v="11"/>
    <x v="2"/>
  </r>
  <r>
    <n v="45268"/>
    <x v="640"/>
    <x v="10"/>
    <x v="0"/>
    <x v="0"/>
    <x v="1287"/>
    <n v="10.58"/>
    <n v="3"/>
    <n v="3.44"/>
    <x v="11"/>
    <x v="2"/>
  </r>
  <r>
    <n v="45268"/>
    <x v="316"/>
    <x v="21"/>
    <x v="1"/>
    <x v="11"/>
    <x v="1590"/>
    <n v="405.86"/>
    <n v="7"/>
    <n v="32.47"/>
    <x v="11"/>
    <x v="2"/>
  </r>
  <r>
    <n v="45268"/>
    <x v="316"/>
    <x v="21"/>
    <x v="1"/>
    <x v="5"/>
    <x v="668"/>
    <n v="680.01"/>
    <n v="3"/>
    <n v="176.8"/>
    <x v="11"/>
    <x v="2"/>
  </r>
  <r>
    <n v="45269"/>
    <x v="127"/>
    <x v="40"/>
    <x v="0"/>
    <x v="4"/>
    <x v="1785"/>
    <n v="19.46"/>
    <n v="7"/>
    <n v="5.0599999999999996"/>
    <x v="11"/>
    <x v="2"/>
  </r>
  <r>
    <n v="45269"/>
    <x v="127"/>
    <x v="40"/>
    <x v="0"/>
    <x v="12"/>
    <x v="882"/>
    <n v="60.34"/>
    <n v="7"/>
    <n v="15.69"/>
    <x v="11"/>
    <x v="2"/>
  </r>
  <r>
    <n v="45269"/>
    <x v="667"/>
    <x v="32"/>
    <x v="0"/>
    <x v="1"/>
    <x v="1786"/>
    <n v="3.69"/>
    <n v="1"/>
    <n v="1.73"/>
    <x v="11"/>
    <x v="2"/>
  </r>
  <r>
    <n v="45269"/>
    <x v="667"/>
    <x v="32"/>
    <x v="0"/>
    <x v="1"/>
    <x v="1199"/>
    <n v="122.12"/>
    <n v="4"/>
    <n v="56.18"/>
    <x v="11"/>
    <x v="2"/>
  </r>
  <r>
    <n v="45269"/>
    <x v="169"/>
    <x v="0"/>
    <x v="0"/>
    <x v="0"/>
    <x v="1357"/>
    <n v="9.39"/>
    <n v="2"/>
    <n v="3.29"/>
    <x v="11"/>
    <x v="2"/>
  </r>
  <r>
    <n v="45269"/>
    <x v="169"/>
    <x v="0"/>
    <x v="0"/>
    <x v="4"/>
    <x v="536"/>
    <n v="9.33"/>
    <n v="1"/>
    <n v="0.82"/>
    <x v="11"/>
    <x v="2"/>
  </r>
  <r>
    <n v="45269"/>
    <x v="105"/>
    <x v="15"/>
    <x v="1"/>
    <x v="13"/>
    <x v="1174"/>
    <n v="79.97"/>
    <n v="3"/>
    <n v="-29.32"/>
    <x v="11"/>
    <x v="2"/>
  </r>
  <r>
    <n v="45269"/>
    <x v="105"/>
    <x v="15"/>
    <x v="0"/>
    <x v="3"/>
    <x v="832"/>
    <n v="2.95"/>
    <n v="2"/>
    <n v="-2.06"/>
    <x v="11"/>
    <x v="2"/>
  </r>
  <r>
    <n v="45269"/>
    <x v="564"/>
    <x v="14"/>
    <x v="2"/>
    <x v="6"/>
    <x v="383"/>
    <n v="10.9"/>
    <n v="1"/>
    <n v="3.05"/>
    <x v="11"/>
    <x v="2"/>
  </r>
  <r>
    <n v="45269"/>
    <x v="564"/>
    <x v="14"/>
    <x v="2"/>
    <x v="9"/>
    <x v="833"/>
    <n v="59.98"/>
    <n v="2"/>
    <n v="25.19"/>
    <x v="11"/>
    <x v="2"/>
  </r>
  <r>
    <n v="45269"/>
    <x v="564"/>
    <x v="14"/>
    <x v="0"/>
    <x v="12"/>
    <x v="52"/>
    <n v="61.93"/>
    <n v="1"/>
    <n v="23.4"/>
    <x v="11"/>
    <x v="2"/>
  </r>
  <r>
    <n v="45269"/>
    <x v="185"/>
    <x v="15"/>
    <x v="2"/>
    <x v="6"/>
    <x v="1147"/>
    <n v="40.68"/>
    <n v="3"/>
    <n v="-9.15"/>
    <x v="11"/>
    <x v="2"/>
  </r>
  <r>
    <n v="45269"/>
    <x v="274"/>
    <x v="1"/>
    <x v="0"/>
    <x v="14"/>
    <x v="472"/>
    <n v="20.57"/>
    <n v="3"/>
    <n v="1.54"/>
    <x v="11"/>
    <x v="2"/>
  </r>
  <r>
    <n v="45269"/>
    <x v="274"/>
    <x v="1"/>
    <x v="0"/>
    <x v="12"/>
    <x v="188"/>
    <n v="4.3600000000000003"/>
    <n v="2"/>
    <n v="-11.76"/>
    <x v="11"/>
    <x v="2"/>
  </r>
  <r>
    <n v="45269"/>
    <x v="274"/>
    <x v="1"/>
    <x v="2"/>
    <x v="9"/>
    <x v="1117"/>
    <n v="19.04"/>
    <n v="4"/>
    <n v="-1.43"/>
    <x v="11"/>
    <x v="2"/>
  </r>
  <r>
    <n v="45269"/>
    <x v="153"/>
    <x v="3"/>
    <x v="0"/>
    <x v="3"/>
    <x v="738"/>
    <n v="273.92"/>
    <n v="8"/>
    <n v="99.3"/>
    <x v="11"/>
    <x v="2"/>
  </r>
  <r>
    <n v="45269"/>
    <x v="181"/>
    <x v="6"/>
    <x v="1"/>
    <x v="13"/>
    <x v="1312"/>
    <n v="1056.8599999999999"/>
    <n v="7"/>
    <n v="158.53"/>
    <x v="11"/>
    <x v="2"/>
  </r>
  <r>
    <n v="45270"/>
    <x v="564"/>
    <x v="3"/>
    <x v="1"/>
    <x v="5"/>
    <x v="249"/>
    <n v="321.57"/>
    <n v="2"/>
    <n v="28.14"/>
    <x v="11"/>
    <x v="2"/>
  </r>
  <r>
    <n v="45270"/>
    <x v="16"/>
    <x v="20"/>
    <x v="0"/>
    <x v="2"/>
    <x v="624"/>
    <n v="80.58"/>
    <n v="6"/>
    <n v="22.56"/>
    <x v="11"/>
    <x v="2"/>
  </r>
  <r>
    <n v="45270"/>
    <x v="16"/>
    <x v="20"/>
    <x v="0"/>
    <x v="10"/>
    <x v="1329"/>
    <n v="361.92"/>
    <n v="4"/>
    <n v="162.86000000000001"/>
    <x v="11"/>
    <x v="2"/>
  </r>
  <r>
    <n v="45270"/>
    <x v="358"/>
    <x v="22"/>
    <x v="0"/>
    <x v="3"/>
    <x v="713"/>
    <n v="153.55000000000001"/>
    <n v="3"/>
    <n v="51.82"/>
    <x v="11"/>
    <x v="2"/>
  </r>
  <r>
    <n v="45270"/>
    <x v="358"/>
    <x v="22"/>
    <x v="0"/>
    <x v="12"/>
    <x v="1500"/>
    <n v="65.34"/>
    <n v="3"/>
    <n v="22.87"/>
    <x v="11"/>
    <x v="2"/>
  </r>
  <r>
    <n v="45270"/>
    <x v="358"/>
    <x v="22"/>
    <x v="0"/>
    <x v="0"/>
    <x v="728"/>
    <n v="123.92"/>
    <n v="4"/>
    <n v="55.76"/>
    <x v="11"/>
    <x v="2"/>
  </r>
  <r>
    <n v="45270"/>
    <x v="358"/>
    <x v="22"/>
    <x v="0"/>
    <x v="12"/>
    <x v="1787"/>
    <n v="35.1"/>
    <n v="3"/>
    <n v="12.29"/>
    <x v="11"/>
    <x v="2"/>
  </r>
  <r>
    <n v="45270"/>
    <x v="358"/>
    <x v="22"/>
    <x v="2"/>
    <x v="9"/>
    <x v="907"/>
    <n v="44.75"/>
    <n v="5"/>
    <n v="8.5"/>
    <x v="11"/>
    <x v="2"/>
  </r>
  <r>
    <n v="45270"/>
    <x v="294"/>
    <x v="18"/>
    <x v="1"/>
    <x v="5"/>
    <x v="160"/>
    <n v="1424.9"/>
    <n v="5"/>
    <n v="356.23"/>
    <x v="11"/>
    <x v="2"/>
  </r>
  <r>
    <n v="45270"/>
    <x v="694"/>
    <x v="3"/>
    <x v="0"/>
    <x v="0"/>
    <x v="1089"/>
    <n v="80.28"/>
    <n v="12"/>
    <n v="36.93"/>
    <x v="11"/>
    <x v="2"/>
  </r>
  <r>
    <n v="45270"/>
    <x v="752"/>
    <x v="20"/>
    <x v="0"/>
    <x v="0"/>
    <x v="1032"/>
    <n v="18.54"/>
    <n v="2"/>
    <n v="8.7100000000000009"/>
    <x v="11"/>
    <x v="2"/>
  </r>
  <r>
    <n v="45270"/>
    <x v="752"/>
    <x v="20"/>
    <x v="0"/>
    <x v="3"/>
    <x v="313"/>
    <n v="679.96"/>
    <n v="5"/>
    <n v="220.99"/>
    <x v="11"/>
    <x v="2"/>
  </r>
  <r>
    <n v="45270"/>
    <x v="620"/>
    <x v="20"/>
    <x v="0"/>
    <x v="0"/>
    <x v="663"/>
    <n v="62.82"/>
    <n v="9"/>
    <n v="29.53"/>
    <x v="11"/>
    <x v="2"/>
  </r>
  <r>
    <n v="45270"/>
    <x v="421"/>
    <x v="20"/>
    <x v="0"/>
    <x v="0"/>
    <x v="1038"/>
    <n v="6.48"/>
    <n v="1"/>
    <n v="3.11"/>
    <x v="11"/>
    <x v="2"/>
  </r>
  <r>
    <n v="45271"/>
    <x v="362"/>
    <x v="20"/>
    <x v="0"/>
    <x v="7"/>
    <x v="590"/>
    <n v="15.26"/>
    <n v="7"/>
    <n v="6.26"/>
    <x v="11"/>
    <x v="2"/>
  </r>
  <r>
    <n v="45271"/>
    <x v="362"/>
    <x v="20"/>
    <x v="2"/>
    <x v="6"/>
    <x v="1749"/>
    <n v="1029.95"/>
    <n v="5"/>
    <n v="298.69"/>
    <x v="11"/>
    <x v="2"/>
  </r>
  <r>
    <n v="45271"/>
    <x v="667"/>
    <x v="26"/>
    <x v="0"/>
    <x v="2"/>
    <x v="972"/>
    <n v="243.38"/>
    <n v="3"/>
    <n v="-51.72"/>
    <x v="11"/>
    <x v="2"/>
  </r>
  <r>
    <n v="45271"/>
    <x v="667"/>
    <x v="26"/>
    <x v="2"/>
    <x v="9"/>
    <x v="1114"/>
    <n v="119.8"/>
    <n v="5"/>
    <n v="29.95"/>
    <x v="11"/>
    <x v="2"/>
  </r>
  <r>
    <n v="45271"/>
    <x v="667"/>
    <x v="26"/>
    <x v="2"/>
    <x v="6"/>
    <x v="67"/>
    <n v="300.77"/>
    <n v="4"/>
    <n v="30.08"/>
    <x v="11"/>
    <x v="2"/>
  </r>
  <r>
    <n v="45271"/>
    <x v="278"/>
    <x v="22"/>
    <x v="1"/>
    <x v="8"/>
    <x v="457"/>
    <n v="14.8"/>
    <n v="4"/>
    <n v="6.07"/>
    <x v="11"/>
    <x v="2"/>
  </r>
  <r>
    <n v="45271"/>
    <x v="278"/>
    <x v="22"/>
    <x v="2"/>
    <x v="6"/>
    <x v="231"/>
    <n v="302.38"/>
    <n v="3"/>
    <n v="22.68"/>
    <x v="11"/>
    <x v="2"/>
  </r>
  <r>
    <n v="45271"/>
    <x v="278"/>
    <x v="22"/>
    <x v="2"/>
    <x v="9"/>
    <x v="1151"/>
    <n v="316"/>
    <n v="4"/>
    <n v="31.6"/>
    <x v="11"/>
    <x v="2"/>
  </r>
  <r>
    <n v="45271"/>
    <x v="336"/>
    <x v="16"/>
    <x v="0"/>
    <x v="2"/>
    <x v="1303"/>
    <n v="85.22"/>
    <n v="3"/>
    <n v="7.46"/>
    <x v="11"/>
    <x v="2"/>
  </r>
  <r>
    <n v="45271"/>
    <x v="273"/>
    <x v="15"/>
    <x v="0"/>
    <x v="4"/>
    <x v="531"/>
    <n v="6.67"/>
    <n v="3"/>
    <n v="1.67"/>
    <x v="11"/>
    <x v="2"/>
  </r>
  <r>
    <n v="45271"/>
    <x v="270"/>
    <x v="10"/>
    <x v="0"/>
    <x v="2"/>
    <x v="90"/>
    <n v="64.959999999999994"/>
    <n v="5"/>
    <n v="-4.0599999999999996"/>
    <x v="11"/>
    <x v="2"/>
  </r>
  <r>
    <n v="45271"/>
    <x v="270"/>
    <x v="10"/>
    <x v="0"/>
    <x v="14"/>
    <x v="1486"/>
    <n v="13.52"/>
    <n v="2"/>
    <n v="1.69"/>
    <x v="11"/>
    <x v="2"/>
  </r>
  <r>
    <n v="45271"/>
    <x v="270"/>
    <x v="10"/>
    <x v="1"/>
    <x v="5"/>
    <x v="914"/>
    <n v="458.43"/>
    <n v="5"/>
    <n v="-137.53"/>
    <x v="11"/>
    <x v="2"/>
  </r>
  <r>
    <n v="45271"/>
    <x v="270"/>
    <x v="10"/>
    <x v="0"/>
    <x v="12"/>
    <x v="1532"/>
    <n v="387.14"/>
    <n v="4"/>
    <n v="24.2"/>
    <x v="11"/>
    <x v="2"/>
  </r>
  <r>
    <n v="45271"/>
    <x v="270"/>
    <x v="10"/>
    <x v="1"/>
    <x v="13"/>
    <x v="953"/>
    <n v="328.59"/>
    <n v="3"/>
    <n v="-147.87"/>
    <x v="11"/>
    <x v="2"/>
  </r>
  <r>
    <n v="45271"/>
    <x v="35"/>
    <x v="11"/>
    <x v="1"/>
    <x v="5"/>
    <x v="1209"/>
    <n v="403.92"/>
    <n v="5"/>
    <n v="25.25"/>
    <x v="11"/>
    <x v="2"/>
  </r>
  <r>
    <n v="45271"/>
    <x v="494"/>
    <x v="3"/>
    <x v="0"/>
    <x v="3"/>
    <x v="81"/>
    <n v="209.6"/>
    <n v="5"/>
    <n v="68.12"/>
    <x v="11"/>
    <x v="2"/>
  </r>
  <r>
    <n v="45271"/>
    <x v="494"/>
    <x v="3"/>
    <x v="0"/>
    <x v="4"/>
    <x v="1728"/>
    <n v="23.32"/>
    <n v="2"/>
    <n v="6.06"/>
    <x v="11"/>
    <x v="2"/>
  </r>
  <r>
    <n v="45271"/>
    <x v="494"/>
    <x v="3"/>
    <x v="0"/>
    <x v="0"/>
    <x v="1708"/>
    <n v="30.98"/>
    <n v="1"/>
    <n v="13.94"/>
    <x v="11"/>
    <x v="2"/>
  </r>
  <r>
    <n v="45271"/>
    <x v="494"/>
    <x v="3"/>
    <x v="2"/>
    <x v="9"/>
    <x v="1503"/>
    <n v="119.96"/>
    <n v="4"/>
    <n v="25.19"/>
    <x v="11"/>
    <x v="2"/>
  </r>
  <r>
    <n v="45271"/>
    <x v="494"/>
    <x v="3"/>
    <x v="1"/>
    <x v="5"/>
    <x v="943"/>
    <n v="363.92"/>
    <n v="5"/>
    <n v="-31.84"/>
    <x v="11"/>
    <x v="2"/>
  </r>
  <r>
    <n v="45271"/>
    <x v="494"/>
    <x v="3"/>
    <x v="0"/>
    <x v="3"/>
    <x v="1171"/>
    <n v="35.81"/>
    <n v="3"/>
    <n v="11.19"/>
    <x v="11"/>
    <x v="2"/>
  </r>
  <r>
    <n v="45271"/>
    <x v="494"/>
    <x v="3"/>
    <x v="0"/>
    <x v="3"/>
    <x v="978"/>
    <n v="122.69"/>
    <n v="9"/>
    <n v="39.869999999999997"/>
    <x v="11"/>
    <x v="2"/>
  </r>
  <r>
    <n v="45271"/>
    <x v="494"/>
    <x v="3"/>
    <x v="1"/>
    <x v="13"/>
    <x v="1138"/>
    <n v="892.14"/>
    <n v="7"/>
    <n v="111.52"/>
    <x v="11"/>
    <x v="2"/>
  </r>
  <r>
    <n v="45271"/>
    <x v="494"/>
    <x v="3"/>
    <x v="0"/>
    <x v="2"/>
    <x v="252"/>
    <n v="50.22"/>
    <n v="3"/>
    <n v="2.0099999999999998"/>
    <x v="11"/>
    <x v="2"/>
  </r>
  <r>
    <n v="45271"/>
    <x v="494"/>
    <x v="3"/>
    <x v="0"/>
    <x v="12"/>
    <x v="810"/>
    <n v="83.42"/>
    <n v="2"/>
    <n v="24.19"/>
    <x v="11"/>
    <x v="2"/>
  </r>
  <r>
    <n v="45271"/>
    <x v="494"/>
    <x v="3"/>
    <x v="0"/>
    <x v="3"/>
    <x v="1239"/>
    <n v="5.87"/>
    <n v="2"/>
    <n v="2.13"/>
    <x v="11"/>
    <x v="2"/>
  </r>
  <r>
    <n v="45271"/>
    <x v="571"/>
    <x v="10"/>
    <x v="0"/>
    <x v="12"/>
    <x v="484"/>
    <n v="73.540000000000006"/>
    <n v="4"/>
    <n v="9.19"/>
    <x v="11"/>
    <x v="2"/>
  </r>
  <r>
    <n v="45272"/>
    <x v="140"/>
    <x v="10"/>
    <x v="0"/>
    <x v="3"/>
    <x v="471"/>
    <n v="18.690000000000001"/>
    <n v="3"/>
    <n v="-14.33"/>
    <x v="11"/>
    <x v="2"/>
  </r>
  <r>
    <n v="45272"/>
    <x v="140"/>
    <x v="10"/>
    <x v="2"/>
    <x v="9"/>
    <x v="615"/>
    <n v="383.95"/>
    <n v="6"/>
    <n v="76.790000000000006"/>
    <x v="11"/>
    <x v="2"/>
  </r>
  <r>
    <n v="45272"/>
    <x v="342"/>
    <x v="14"/>
    <x v="2"/>
    <x v="6"/>
    <x v="67"/>
    <n v="657.93"/>
    <n v="7"/>
    <n v="184.22"/>
    <x v="11"/>
    <x v="2"/>
  </r>
  <r>
    <n v="45272"/>
    <x v="342"/>
    <x v="14"/>
    <x v="1"/>
    <x v="8"/>
    <x v="598"/>
    <n v="33.479999999999997"/>
    <n v="4"/>
    <n v="8.6999999999999993"/>
    <x v="11"/>
    <x v="2"/>
  </r>
  <r>
    <n v="45272"/>
    <x v="342"/>
    <x v="14"/>
    <x v="0"/>
    <x v="4"/>
    <x v="182"/>
    <n v="13.9"/>
    <n v="5"/>
    <n v="3.61"/>
    <x v="11"/>
    <x v="2"/>
  </r>
  <r>
    <n v="45272"/>
    <x v="342"/>
    <x v="14"/>
    <x v="0"/>
    <x v="2"/>
    <x v="1062"/>
    <n v="26.86"/>
    <n v="2"/>
    <n v="6.72"/>
    <x v="11"/>
    <x v="2"/>
  </r>
  <r>
    <n v="45272"/>
    <x v="574"/>
    <x v="4"/>
    <x v="2"/>
    <x v="9"/>
    <x v="621"/>
    <n v="249.95"/>
    <n v="5"/>
    <n v="20"/>
    <x v="11"/>
    <x v="2"/>
  </r>
  <r>
    <n v="45272"/>
    <x v="574"/>
    <x v="4"/>
    <x v="0"/>
    <x v="0"/>
    <x v="1788"/>
    <n v="49.12"/>
    <n v="4"/>
    <n v="23.09"/>
    <x v="11"/>
    <x v="2"/>
  </r>
  <r>
    <n v="45272"/>
    <x v="503"/>
    <x v="3"/>
    <x v="1"/>
    <x v="8"/>
    <x v="14"/>
    <n v="383.64"/>
    <n v="6"/>
    <n v="122.76"/>
    <x v="11"/>
    <x v="2"/>
  </r>
  <r>
    <n v="45272"/>
    <x v="503"/>
    <x v="3"/>
    <x v="0"/>
    <x v="12"/>
    <x v="1173"/>
    <n v="56.52"/>
    <n v="3"/>
    <n v="15.83"/>
    <x v="11"/>
    <x v="2"/>
  </r>
  <r>
    <n v="45272"/>
    <x v="270"/>
    <x v="20"/>
    <x v="1"/>
    <x v="8"/>
    <x v="1732"/>
    <n v="60.35"/>
    <n v="5"/>
    <n v="19.920000000000002"/>
    <x v="11"/>
    <x v="2"/>
  </r>
  <r>
    <n v="45272"/>
    <x v="270"/>
    <x v="20"/>
    <x v="0"/>
    <x v="14"/>
    <x v="1722"/>
    <n v="35.520000000000003"/>
    <n v="4"/>
    <n v="9.9499999999999993"/>
    <x v="11"/>
    <x v="2"/>
  </r>
  <r>
    <n v="45272"/>
    <x v="270"/>
    <x v="20"/>
    <x v="0"/>
    <x v="4"/>
    <x v="1686"/>
    <n v="11.2"/>
    <n v="7"/>
    <n v="4.82"/>
    <x v="11"/>
    <x v="2"/>
  </r>
  <r>
    <n v="45273"/>
    <x v="484"/>
    <x v="39"/>
    <x v="2"/>
    <x v="9"/>
    <x v="1081"/>
    <n v="63.88"/>
    <n v="4"/>
    <n v="24.91"/>
    <x v="11"/>
    <x v="2"/>
  </r>
  <r>
    <n v="45273"/>
    <x v="274"/>
    <x v="3"/>
    <x v="0"/>
    <x v="3"/>
    <x v="596"/>
    <n v="6.1"/>
    <n v="2"/>
    <n v="2.21"/>
    <x v="11"/>
    <x v="2"/>
  </r>
  <r>
    <n v="45273"/>
    <x v="274"/>
    <x v="3"/>
    <x v="1"/>
    <x v="13"/>
    <x v="1091"/>
    <n v="1114.27"/>
    <n v="4"/>
    <n v="41.79"/>
    <x v="11"/>
    <x v="2"/>
  </r>
  <r>
    <n v="45273"/>
    <x v="29"/>
    <x v="3"/>
    <x v="0"/>
    <x v="4"/>
    <x v="268"/>
    <n v="9.84"/>
    <n v="3"/>
    <n v="3.25"/>
    <x v="11"/>
    <x v="2"/>
  </r>
  <r>
    <n v="45274"/>
    <x v="283"/>
    <x v="29"/>
    <x v="1"/>
    <x v="8"/>
    <x v="1087"/>
    <n v="133.38"/>
    <n v="6"/>
    <n v="58.69"/>
    <x v="11"/>
    <x v="2"/>
  </r>
  <r>
    <n v="45274"/>
    <x v="500"/>
    <x v="20"/>
    <x v="0"/>
    <x v="0"/>
    <x v="429"/>
    <n v="14.62"/>
    <n v="2"/>
    <n v="6.73"/>
    <x v="11"/>
    <x v="2"/>
  </r>
  <r>
    <n v="45274"/>
    <x v="500"/>
    <x v="20"/>
    <x v="0"/>
    <x v="1"/>
    <x v="1454"/>
    <n v="5.76"/>
    <n v="2"/>
    <n v="2.82"/>
    <x v="11"/>
    <x v="2"/>
  </r>
  <r>
    <n v="45274"/>
    <x v="500"/>
    <x v="20"/>
    <x v="0"/>
    <x v="7"/>
    <x v="642"/>
    <n v="21.48"/>
    <n v="6"/>
    <n v="10.53"/>
    <x v="11"/>
    <x v="2"/>
  </r>
  <r>
    <n v="45274"/>
    <x v="500"/>
    <x v="20"/>
    <x v="1"/>
    <x v="8"/>
    <x v="1328"/>
    <n v="396.92"/>
    <n v="4"/>
    <n v="198.46"/>
    <x v="11"/>
    <x v="2"/>
  </r>
  <r>
    <n v="45274"/>
    <x v="500"/>
    <x v="20"/>
    <x v="0"/>
    <x v="2"/>
    <x v="1187"/>
    <n v="17.149999999999999"/>
    <n v="1"/>
    <n v="4.63"/>
    <x v="11"/>
    <x v="2"/>
  </r>
  <r>
    <n v="45274"/>
    <x v="500"/>
    <x v="20"/>
    <x v="0"/>
    <x v="3"/>
    <x v="1693"/>
    <n v="23.12"/>
    <n v="2"/>
    <n v="7.8"/>
    <x v="11"/>
    <x v="2"/>
  </r>
  <r>
    <n v="45274"/>
    <x v="171"/>
    <x v="3"/>
    <x v="1"/>
    <x v="5"/>
    <x v="1748"/>
    <n v="81.42"/>
    <n v="2"/>
    <n v="-9.16"/>
    <x v="11"/>
    <x v="2"/>
  </r>
  <r>
    <n v="45274"/>
    <x v="171"/>
    <x v="3"/>
    <x v="0"/>
    <x v="2"/>
    <x v="1369"/>
    <n v="134.80000000000001"/>
    <n v="10"/>
    <n v="35.049999999999997"/>
    <x v="11"/>
    <x v="2"/>
  </r>
  <r>
    <n v="45275"/>
    <x v="634"/>
    <x v="14"/>
    <x v="1"/>
    <x v="13"/>
    <x v="232"/>
    <n v="1652.94"/>
    <n v="3"/>
    <n v="231.41"/>
    <x v="11"/>
    <x v="2"/>
  </r>
  <r>
    <n v="45275"/>
    <x v="634"/>
    <x v="14"/>
    <x v="0"/>
    <x v="2"/>
    <x v="1080"/>
    <n v="296.37"/>
    <n v="3"/>
    <n v="80.02"/>
    <x v="11"/>
    <x v="2"/>
  </r>
  <r>
    <n v="45275"/>
    <x v="157"/>
    <x v="3"/>
    <x v="1"/>
    <x v="8"/>
    <x v="977"/>
    <n v="14.76"/>
    <n v="2"/>
    <n v="4.28"/>
    <x v="11"/>
    <x v="2"/>
  </r>
  <r>
    <n v="45275"/>
    <x v="109"/>
    <x v="11"/>
    <x v="1"/>
    <x v="13"/>
    <x v="177"/>
    <n v="564.20000000000005"/>
    <n v="3"/>
    <n v="-304.67"/>
    <x v="11"/>
    <x v="2"/>
  </r>
  <r>
    <n v="45275"/>
    <x v="109"/>
    <x v="11"/>
    <x v="0"/>
    <x v="12"/>
    <x v="1217"/>
    <n v="87.17"/>
    <n v="2"/>
    <n v="8.7200000000000006"/>
    <x v="11"/>
    <x v="2"/>
  </r>
  <r>
    <n v="45275"/>
    <x v="489"/>
    <x v="10"/>
    <x v="0"/>
    <x v="3"/>
    <x v="1005"/>
    <n v="2.21"/>
    <n v="3"/>
    <n v="-1.48"/>
    <x v="11"/>
    <x v="2"/>
  </r>
  <r>
    <n v="45275"/>
    <x v="529"/>
    <x v="13"/>
    <x v="0"/>
    <x v="0"/>
    <x v="1789"/>
    <n v="19.440000000000001"/>
    <n v="3"/>
    <n v="9.33"/>
    <x v="11"/>
    <x v="2"/>
  </r>
  <r>
    <n v="45276"/>
    <x v="583"/>
    <x v="1"/>
    <x v="0"/>
    <x v="3"/>
    <x v="1430"/>
    <n v="4.79"/>
    <n v="3"/>
    <n v="-7.9"/>
    <x v="11"/>
    <x v="2"/>
  </r>
  <r>
    <n v="45276"/>
    <x v="435"/>
    <x v="20"/>
    <x v="0"/>
    <x v="7"/>
    <x v="1777"/>
    <n v="3.68"/>
    <n v="2"/>
    <n v="1.8"/>
    <x v="11"/>
    <x v="2"/>
  </r>
  <r>
    <n v="45276"/>
    <x v="500"/>
    <x v="3"/>
    <x v="1"/>
    <x v="5"/>
    <x v="1136"/>
    <n v="563.91999999999996"/>
    <n v="5"/>
    <n v="7.05"/>
    <x v="11"/>
    <x v="2"/>
  </r>
  <r>
    <n v="45276"/>
    <x v="394"/>
    <x v="25"/>
    <x v="0"/>
    <x v="12"/>
    <x v="460"/>
    <n v="34.94"/>
    <n v="3"/>
    <n v="3.06"/>
    <x v="11"/>
    <x v="2"/>
  </r>
  <r>
    <n v="45276"/>
    <x v="451"/>
    <x v="3"/>
    <x v="2"/>
    <x v="9"/>
    <x v="915"/>
    <n v="21.21"/>
    <n v="7"/>
    <n v="4.45"/>
    <x v="11"/>
    <x v="2"/>
  </r>
  <r>
    <n v="45277"/>
    <x v="773"/>
    <x v="3"/>
    <x v="1"/>
    <x v="13"/>
    <x v="1629"/>
    <n v="2003.52"/>
    <n v="6"/>
    <n v="-325.57"/>
    <x v="11"/>
    <x v="2"/>
  </r>
  <r>
    <n v="45277"/>
    <x v="528"/>
    <x v="22"/>
    <x v="0"/>
    <x v="2"/>
    <x v="1034"/>
    <n v="46.53"/>
    <n v="3"/>
    <n v="13.03"/>
    <x v="11"/>
    <x v="2"/>
  </r>
  <r>
    <n v="45277"/>
    <x v="512"/>
    <x v="0"/>
    <x v="0"/>
    <x v="0"/>
    <x v="1110"/>
    <n v="51.84"/>
    <n v="10"/>
    <n v="18.14"/>
    <x v="11"/>
    <x v="2"/>
  </r>
  <r>
    <n v="45277"/>
    <x v="512"/>
    <x v="0"/>
    <x v="2"/>
    <x v="9"/>
    <x v="925"/>
    <n v="165.6"/>
    <n v="3"/>
    <n v="-6.21"/>
    <x v="11"/>
    <x v="2"/>
  </r>
  <r>
    <n v="45277"/>
    <x v="270"/>
    <x v="31"/>
    <x v="0"/>
    <x v="3"/>
    <x v="250"/>
    <n v="13.49"/>
    <n v="2"/>
    <n v="4.38"/>
    <x v="11"/>
    <x v="2"/>
  </r>
  <r>
    <n v="45277"/>
    <x v="270"/>
    <x v="31"/>
    <x v="0"/>
    <x v="3"/>
    <x v="767"/>
    <n v="11.42"/>
    <n v="1"/>
    <n v="3.85"/>
    <x v="11"/>
    <x v="2"/>
  </r>
  <r>
    <n v="45277"/>
    <x v="579"/>
    <x v="14"/>
    <x v="0"/>
    <x v="3"/>
    <x v="1391"/>
    <n v="9892.74"/>
    <n v="13"/>
    <n v="4946.37"/>
    <x v="11"/>
    <x v="2"/>
  </r>
  <r>
    <n v="45278"/>
    <x v="611"/>
    <x v="16"/>
    <x v="0"/>
    <x v="3"/>
    <x v="1498"/>
    <n v="254.06"/>
    <n v="7"/>
    <n v="-169.37"/>
    <x v="11"/>
    <x v="2"/>
  </r>
  <r>
    <n v="45278"/>
    <x v="611"/>
    <x v="16"/>
    <x v="0"/>
    <x v="12"/>
    <x v="1411"/>
    <n v="194.53"/>
    <n v="2"/>
    <n v="24.32"/>
    <x v="11"/>
    <x v="2"/>
  </r>
  <r>
    <n v="45278"/>
    <x v="611"/>
    <x v="16"/>
    <x v="0"/>
    <x v="14"/>
    <x v="966"/>
    <n v="961.48"/>
    <n v="5"/>
    <n v="-204.31"/>
    <x v="11"/>
    <x v="2"/>
  </r>
  <r>
    <n v="45278"/>
    <x v="514"/>
    <x v="28"/>
    <x v="1"/>
    <x v="8"/>
    <x v="1387"/>
    <n v="18.84"/>
    <n v="3"/>
    <n v="6.03"/>
    <x v="11"/>
    <x v="2"/>
  </r>
  <r>
    <n v="45278"/>
    <x v="418"/>
    <x v="3"/>
    <x v="0"/>
    <x v="0"/>
    <x v="63"/>
    <n v="38.880000000000003"/>
    <n v="6"/>
    <n v="18.66"/>
    <x v="11"/>
    <x v="2"/>
  </r>
  <r>
    <n v="45278"/>
    <x v="418"/>
    <x v="3"/>
    <x v="1"/>
    <x v="8"/>
    <x v="1790"/>
    <n v="183.84"/>
    <n v="8"/>
    <n v="62.51"/>
    <x v="11"/>
    <x v="2"/>
  </r>
  <r>
    <n v="45278"/>
    <x v="418"/>
    <x v="3"/>
    <x v="0"/>
    <x v="14"/>
    <x v="1673"/>
    <n v="579.29999999999995"/>
    <n v="5"/>
    <n v="28.97"/>
    <x v="11"/>
    <x v="2"/>
  </r>
  <r>
    <n v="45278"/>
    <x v="488"/>
    <x v="20"/>
    <x v="0"/>
    <x v="2"/>
    <x v="1002"/>
    <n v="900.08"/>
    <n v="4"/>
    <n v="117.01"/>
    <x v="11"/>
    <x v="2"/>
  </r>
  <r>
    <n v="45278"/>
    <x v="271"/>
    <x v="23"/>
    <x v="0"/>
    <x v="3"/>
    <x v="717"/>
    <n v="1793.98"/>
    <n v="2"/>
    <n v="843.17"/>
    <x v="11"/>
    <x v="2"/>
  </r>
  <r>
    <n v="45278"/>
    <x v="617"/>
    <x v="3"/>
    <x v="2"/>
    <x v="9"/>
    <x v="390"/>
    <n v="72.64"/>
    <n v="2"/>
    <n v="21.79"/>
    <x v="11"/>
    <x v="2"/>
  </r>
  <r>
    <n v="45278"/>
    <x v="617"/>
    <x v="3"/>
    <x v="2"/>
    <x v="9"/>
    <x v="1044"/>
    <n v="772.47"/>
    <n v="3"/>
    <n v="146.77000000000001"/>
    <x v="11"/>
    <x v="2"/>
  </r>
  <r>
    <n v="45278"/>
    <x v="617"/>
    <x v="3"/>
    <x v="1"/>
    <x v="8"/>
    <x v="1652"/>
    <n v="39.92"/>
    <n v="4"/>
    <n v="11.18"/>
    <x v="11"/>
    <x v="2"/>
  </r>
  <r>
    <n v="45278"/>
    <x v="303"/>
    <x v="11"/>
    <x v="0"/>
    <x v="3"/>
    <x v="556"/>
    <n v="45.24"/>
    <n v="4"/>
    <n v="-30.16"/>
    <x v="11"/>
    <x v="2"/>
  </r>
  <r>
    <n v="45278"/>
    <x v="303"/>
    <x v="11"/>
    <x v="0"/>
    <x v="4"/>
    <x v="16"/>
    <n v="18.690000000000001"/>
    <n v="4"/>
    <n v="2.34"/>
    <x v="11"/>
    <x v="2"/>
  </r>
  <r>
    <n v="45278"/>
    <x v="303"/>
    <x v="11"/>
    <x v="0"/>
    <x v="0"/>
    <x v="121"/>
    <n v="11.65"/>
    <n v="2"/>
    <n v="3.79"/>
    <x v="11"/>
    <x v="2"/>
  </r>
  <r>
    <n v="45278"/>
    <x v="303"/>
    <x v="11"/>
    <x v="2"/>
    <x v="9"/>
    <x v="1685"/>
    <n v="112.78"/>
    <n v="3"/>
    <n v="-8.4600000000000009"/>
    <x v="11"/>
    <x v="2"/>
  </r>
  <r>
    <n v="45278"/>
    <x v="303"/>
    <x v="11"/>
    <x v="1"/>
    <x v="13"/>
    <x v="1312"/>
    <n v="377.45"/>
    <n v="5"/>
    <n v="-264.22000000000003"/>
    <x v="11"/>
    <x v="2"/>
  </r>
  <r>
    <n v="45278"/>
    <x v="303"/>
    <x v="11"/>
    <x v="0"/>
    <x v="1"/>
    <x v="1015"/>
    <n v="15.94"/>
    <n v="4"/>
    <n v="5.18"/>
    <x v="11"/>
    <x v="2"/>
  </r>
  <r>
    <n v="45278"/>
    <x v="303"/>
    <x v="11"/>
    <x v="2"/>
    <x v="6"/>
    <x v="65"/>
    <n v="28.68"/>
    <n v="3"/>
    <n v="-7.17"/>
    <x v="11"/>
    <x v="2"/>
  </r>
  <r>
    <n v="45278"/>
    <x v="672"/>
    <x v="40"/>
    <x v="1"/>
    <x v="5"/>
    <x v="612"/>
    <n v="563.94000000000005"/>
    <n v="3"/>
    <n v="112.79"/>
    <x v="11"/>
    <x v="2"/>
  </r>
  <r>
    <n v="45278"/>
    <x v="135"/>
    <x v="3"/>
    <x v="2"/>
    <x v="6"/>
    <x v="441"/>
    <n v="66.98"/>
    <n v="7"/>
    <n v="6.7"/>
    <x v="11"/>
    <x v="2"/>
  </r>
  <r>
    <n v="45279"/>
    <x v="442"/>
    <x v="12"/>
    <x v="1"/>
    <x v="13"/>
    <x v="295"/>
    <n v="455.97"/>
    <n v="6"/>
    <n v="-218.87"/>
    <x v="11"/>
    <x v="2"/>
  </r>
  <r>
    <n v="45279"/>
    <x v="442"/>
    <x v="12"/>
    <x v="0"/>
    <x v="3"/>
    <x v="541"/>
    <n v="10.44"/>
    <n v="6"/>
    <n v="-7.66"/>
    <x v="11"/>
    <x v="2"/>
  </r>
  <r>
    <n v="45279"/>
    <x v="442"/>
    <x v="12"/>
    <x v="0"/>
    <x v="3"/>
    <x v="592"/>
    <n v="5.21"/>
    <n v="2"/>
    <n v="-4.17"/>
    <x v="11"/>
    <x v="2"/>
  </r>
  <r>
    <n v="45279"/>
    <x v="36"/>
    <x v="20"/>
    <x v="0"/>
    <x v="3"/>
    <x v="767"/>
    <n v="34.25"/>
    <n v="3"/>
    <n v="11.56"/>
    <x v="11"/>
    <x v="2"/>
  </r>
  <r>
    <n v="45279"/>
    <x v="36"/>
    <x v="20"/>
    <x v="0"/>
    <x v="4"/>
    <x v="1591"/>
    <n v="3.52"/>
    <n v="2"/>
    <n v="1.02"/>
    <x v="11"/>
    <x v="2"/>
  </r>
  <r>
    <n v="45279"/>
    <x v="455"/>
    <x v="1"/>
    <x v="0"/>
    <x v="3"/>
    <x v="106"/>
    <n v="1.8"/>
    <n v="5"/>
    <n v="-2.88"/>
    <x v="11"/>
    <x v="2"/>
  </r>
  <r>
    <n v="45279"/>
    <x v="68"/>
    <x v="2"/>
    <x v="1"/>
    <x v="8"/>
    <x v="1190"/>
    <n v="303.92"/>
    <n v="5"/>
    <n v="-30.39"/>
    <x v="11"/>
    <x v="2"/>
  </r>
  <r>
    <n v="45280"/>
    <x v="723"/>
    <x v="29"/>
    <x v="2"/>
    <x v="9"/>
    <x v="225"/>
    <n v="66.3"/>
    <n v="3"/>
    <n v="8.6199999999999992"/>
    <x v="11"/>
    <x v="2"/>
  </r>
  <r>
    <n v="45280"/>
    <x v="314"/>
    <x v="29"/>
    <x v="1"/>
    <x v="8"/>
    <x v="283"/>
    <n v="18.920000000000002"/>
    <n v="4"/>
    <n v="7.38"/>
    <x v="11"/>
    <x v="2"/>
  </r>
  <r>
    <n v="45280"/>
    <x v="314"/>
    <x v="29"/>
    <x v="0"/>
    <x v="3"/>
    <x v="483"/>
    <n v="15.42"/>
    <n v="2"/>
    <n v="6.94"/>
    <x v="11"/>
    <x v="2"/>
  </r>
  <r>
    <n v="45280"/>
    <x v="550"/>
    <x v="40"/>
    <x v="0"/>
    <x v="0"/>
    <x v="1791"/>
    <n v="33.9"/>
    <n v="5"/>
    <n v="15.59"/>
    <x v="11"/>
    <x v="2"/>
  </r>
  <r>
    <n v="45282"/>
    <x v="52"/>
    <x v="11"/>
    <x v="0"/>
    <x v="3"/>
    <x v="594"/>
    <n v="31.32"/>
    <n v="10"/>
    <n v="-25.06"/>
    <x v="11"/>
    <x v="2"/>
  </r>
  <r>
    <n v="45282"/>
    <x v="52"/>
    <x v="11"/>
    <x v="1"/>
    <x v="8"/>
    <x v="457"/>
    <n v="11.84"/>
    <n v="4"/>
    <n v="3.11"/>
    <x v="11"/>
    <x v="2"/>
  </r>
  <r>
    <n v="45282"/>
    <x v="52"/>
    <x v="11"/>
    <x v="1"/>
    <x v="8"/>
    <x v="467"/>
    <n v="22.78"/>
    <n v="1"/>
    <n v="4.84"/>
    <x v="11"/>
    <x v="2"/>
  </r>
  <r>
    <n v="45282"/>
    <x v="164"/>
    <x v="20"/>
    <x v="0"/>
    <x v="3"/>
    <x v="445"/>
    <n v="25.58"/>
    <n v="2"/>
    <n v="8.9499999999999993"/>
    <x v="11"/>
    <x v="2"/>
  </r>
  <r>
    <n v="45282"/>
    <x v="341"/>
    <x v="22"/>
    <x v="0"/>
    <x v="3"/>
    <x v="1385"/>
    <n v="55.36"/>
    <n v="4"/>
    <n v="19.38"/>
    <x v="11"/>
    <x v="2"/>
  </r>
  <r>
    <n v="45282"/>
    <x v="341"/>
    <x v="22"/>
    <x v="2"/>
    <x v="15"/>
    <x v="1776"/>
    <n v="11.56"/>
    <n v="1"/>
    <n v="3.76"/>
    <x v="11"/>
    <x v="2"/>
  </r>
  <r>
    <n v="45282"/>
    <x v="416"/>
    <x v="3"/>
    <x v="1"/>
    <x v="8"/>
    <x v="888"/>
    <n v="842.72"/>
    <n v="8"/>
    <n v="202.25"/>
    <x v="11"/>
    <x v="2"/>
  </r>
  <r>
    <n v="45282"/>
    <x v="416"/>
    <x v="3"/>
    <x v="1"/>
    <x v="8"/>
    <x v="1773"/>
    <n v="41.96"/>
    <n v="2"/>
    <n v="10.91"/>
    <x v="11"/>
    <x v="2"/>
  </r>
  <r>
    <n v="45283"/>
    <x v="391"/>
    <x v="6"/>
    <x v="1"/>
    <x v="8"/>
    <x v="1751"/>
    <n v="572.76"/>
    <n v="6"/>
    <n v="166.1"/>
    <x v="11"/>
    <x v="2"/>
  </r>
  <r>
    <n v="45283"/>
    <x v="391"/>
    <x v="6"/>
    <x v="1"/>
    <x v="8"/>
    <x v="1751"/>
    <n v="286.38"/>
    <n v="3"/>
    <n v="83.05"/>
    <x v="11"/>
    <x v="2"/>
  </r>
  <r>
    <n v="45283"/>
    <x v="624"/>
    <x v="1"/>
    <x v="1"/>
    <x v="11"/>
    <x v="1671"/>
    <n v="141.37"/>
    <n v="2"/>
    <n v="-14.14"/>
    <x v="11"/>
    <x v="2"/>
  </r>
  <r>
    <n v="45283"/>
    <x v="212"/>
    <x v="14"/>
    <x v="0"/>
    <x v="7"/>
    <x v="648"/>
    <n v="24.85"/>
    <n v="7"/>
    <n v="11.68"/>
    <x v="11"/>
    <x v="2"/>
  </r>
  <r>
    <n v="45283"/>
    <x v="685"/>
    <x v="10"/>
    <x v="0"/>
    <x v="3"/>
    <x v="1023"/>
    <n v="5.55"/>
    <n v="3"/>
    <n v="-4.07"/>
    <x v="11"/>
    <x v="2"/>
  </r>
  <r>
    <n v="45283"/>
    <x v="150"/>
    <x v="22"/>
    <x v="0"/>
    <x v="4"/>
    <x v="421"/>
    <n v="8.82"/>
    <n v="3"/>
    <n v="2.56"/>
    <x v="11"/>
    <x v="2"/>
  </r>
  <r>
    <n v="45283"/>
    <x v="150"/>
    <x v="22"/>
    <x v="0"/>
    <x v="0"/>
    <x v="1175"/>
    <n v="37.94"/>
    <n v="2"/>
    <n v="18.21"/>
    <x v="11"/>
    <x v="2"/>
  </r>
  <r>
    <n v="45283"/>
    <x v="150"/>
    <x v="22"/>
    <x v="0"/>
    <x v="4"/>
    <x v="237"/>
    <n v="4.2"/>
    <n v="2"/>
    <n v="1.18"/>
    <x v="11"/>
    <x v="2"/>
  </r>
  <r>
    <n v="45283"/>
    <x v="150"/>
    <x v="22"/>
    <x v="0"/>
    <x v="2"/>
    <x v="2"/>
    <n v="227.28"/>
    <n v="2"/>
    <n v="2.27"/>
    <x v="11"/>
    <x v="2"/>
  </r>
  <r>
    <n v="45283"/>
    <x v="150"/>
    <x v="22"/>
    <x v="0"/>
    <x v="0"/>
    <x v="1667"/>
    <n v="47.9"/>
    <n v="1"/>
    <n v="22.99"/>
    <x v="11"/>
    <x v="2"/>
  </r>
  <r>
    <n v="45283"/>
    <x v="150"/>
    <x v="22"/>
    <x v="0"/>
    <x v="10"/>
    <x v="21"/>
    <n v="61.96"/>
    <n v="2"/>
    <n v="30.36"/>
    <x v="11"/>
    <x v="2"/>
  </r>
  <r>
    <n v="45283"/>
    <x v="150"/>
    <x v="22"/>
    <x v="0"/>
    <x v="2"/>
    <x v="479"/>
    <n v="1117.92"/>
    <n v="4"/>
    <n v="55.9"/>
    <x v="11"/>
    <x v="2"/>
  </r>
  <r>
    <n v="45283"/>
    <x v="27"/>
    <x v="43"/>
    <x v="2"/>
    <x v="16"/>
    <x v="937"/>
    <n v="1999.96"/>
    <n v="4"/>
    <n v="899.98"/>
    <x v="11"/>
    <x v="2"/>
  </r>
  <r>
    <n v="45283"/>
    <x v="174"/>
    <x v="0"/>
    <x v="2"/>
    <x v="6"/>
    <x v="11"/>
    <n v="453.58"/>
    <n v="3"/>
    <n v="39.69"/>
    <x v="11"/>
    <x v="2"/>
  </r>
  <r>
    <n v="45283"/>
    <x v="174"/>
    <x v="0"/>
    <x v="0"/>
    <x v="1"/>
    <x v="893"/>
    <n v="45.36"/>
    <n v="9"/>
    <n v="14.74"/>
    <x v="11"/>
    <x v="2"/>
  </r>
  <r>
    <n v="45283"/>
    <x v="174"/>
    <x v="0"/>
    <x v="2"/>
    <x v="6"/>
    <x v="1613"/>
    <n v="287.88"/>
    <n v="3"/>
    <n v="35.99"/>
    <x v="11"/>
    <x v="2"/>
  </r>
  <r>
    <n v="45283"/>
    <x v="174"/>
    <x v="0"/>
    <x v="2"/>
    <x v="6"/>
    <x v="574"/>
    <n v="131.88"/>
    <n v="3"/>
    <n v="14.84"/>
    <x v="11"/>
    <x v="2"/>
  </r>
  <r>
    <n v="45283"/>
    <x v="174"/>
    <x v="0"/>
    <x v="1"/>
    <x v="8"/>
    <x v="1670"/>
    <n v="2.33"/>
    <n v="2"/>
    <n v="-0.76"/>
    <x v="11"/>
    <x v="2"/>
  </r>
  <r>
    <n v="45283"/>
    <x v="365"/>
    <x v="2"/>
    <x v="0"/>
    <x v="0"/>
    <x v="971"/>
    <n v="7.97"/>
    <n v="2"/>
    <n v="2.69"/>
    <x v="11"/>
    <x v="2"/>
  </r>
  <r>
    <n v="45283"/>
    <x v="365"/>
    <x v="2"/>
    <x v="2"/>
    <x v="6"/>
    <x v="1792"/>
    <n v="1499.97"/>
    <n v="5"/>
    <n v="-374.99"/>
    <x v="11"/>
    <x v="2"/>
  </r>
  <r>
    <n v="45284"/>
    <x v="237"/>
    <x v="25"/>
    <x v="0"/>
    <x v="3"/>
    <x v="36"/>
    <n v="27.88"/>
    <n v="3"/>
    <n v="-20.45"/>
    <x v="11"/>
    <x v="2"/>
  </r>
  <r>
    <n v="45284"/>
    <x v="237"/>
    <x v="25"/>
    <x v="0"/>
    <x v="2"/>
    <x v="1002"/>
    <n v="540.04999999999995"/>
    <n v="3"/>
    <n v="-47.25"/>
    <x v="11"/>
    <x v="2"/>
  </r>
  <r>
    <n v="45284"/>
    <x v="237"/>
    <x v="25"/>
    <x v="2"/>
    <x v="9"/>
    <x v="1253"/>
    <n v="255.68"/>
    <n v="8"/>
    <n v="76.7"/>
    <x v="11"/>
    <x v="2"/>
  </r>
  <r>
    <n v="45284"/>
    <x v="625"/>
    <x v="22"/>
    <x v="0"/>
    <x v="0"/>
    <x v="257"/>
    <n v="33.4"/>
    <n v="5"/>
    <n v="16.03"/>
    <x v="11"/>
    <x v="2"/>
  </r>
  <r>
    <n v="45284"/>
    <x v="401"/>
    <x v="20"/>
    <x v="1"/>
    <x v="8"/>
    <x v="259"/>
    <n v="799.56"/>
    <n v="9"/>
    <n v="207.89"/>
    <x v="11"/>
    <x v="2"/>
  </r>
  <r>
    <n v="45284"/>
    <x v="203"/>
    <x v="20"/>
    <x v="2"/>
    <x v="6"/>
    <x v="987"/>
    <n v="197.97"/>
    <n v="3"/>
    <n v="53.45"/>
    <x v="11"/>
    <x v="2"/>
  </r>
  <r>
    <n v="45284"/>
    <x v="573"/>
    <x v="3"/>
    <x v="1"/>
    <x v="8"/>
    <x v="734"/>
    <n v="43.96"/>
    <n v="7"/>
    <n v="18.46"/>
    <x v="11"/>
    <x v="2"/>
  </r>
  <r>
    <n v="45284"/>
    <x v="573"/>
    <x v="3"/>
    <x v="0"/>
    <x v="10"/>
    <x v="21"/>
    <n v="39.76"/>
    <n v="7"/>
    <n v="18.690000000000001"/>
    <x v="11"/>
    <x v="2"/>
  </r>
  <r>
    <n v="45285"/>
    <x v="271"/>
    <x v="3"/>
    <x v="2"/>
    <x v="6"/>
    <x v="1793"/>
    <n v="2575.94"/>
    <n v="7"/>
    <n v="257.58999999999997"/>
    <x v="11"/>
    <x v="2"/>
  </r>
  <r>
    <n v="45285"/>
    <x v="271"/>
    <x v="3"/>
    <x v="0"/>
    <x v="0"/>
    <x v="5"/>
    <n v="45.36"/>
    <n v="7"/>
    <n v="21.77"/>
    <x v="11"/>
    <x v="2"/>
  </r>
  <r>
    <n v="45285"/>
    <x v="271"/>
    <x v="3"/>
    <x v="2"/>
    <x v="9"/>
    <x v="390"/>
    <n v="254.24"/>
    <n v="7"/>
    <n v="76.27"/>
    <x v="11"/>
    <x v="2"/>
  </r>
  <r>
    <n v="45285"/>
    <x v="280"/>
    <x v="20"/>
    <x v="0"/>
    <x v="3"/>
    <x v="637"/>
    <n v="33.57"/>
    <n v="2"/>
    <n v="11.75"/>
    <x v="11"/>
    <x v="2"/>
  </r>
  <r>
    <n v="45285"/>
    <x v="531"/>
    <x v="38"/>
    <x v="1"/>
    <x v="8"/>
    <x v="984"/>
    <n v="21.12"/>
    <n v="4"/>
    <n v="6.55"/>
    <x v="11"/>
    <x v="2"/>
  </r>
  <r>
    <n v="45285"/>
    <x v="364"/>
    <x v="22"/>
    <x v="1"/>
    <x v="5"/>
    <x v="1083"/>
    <n v="698.35"/>
    <n v="3"/>
    <n v="52.38"/>
    <x v="11"/>
    <x v="2"/>
  </r>
  <r>
    <n v="45285"/>
    <x v="364"/>
    <x v="22"/>
    <x v="1"/>
    <x v="13"/>
    <x v="670"/>
    <n v="1747.25"/>
    <n v="5"/>
    <n v="629.01"/>
    <x v="11"/>
    <x v="2"/>
  </r>
  <r>
    <n v="45285"/>
    <x v="230"/>
    <x v="12"/>
    <x v="1"/>
    <x v="13"/>
    <x v="436"/>
    <n v="35.450000000000003"/>
    <n v="1"/>
    <n v="-24.1"/>
    <x v="11"/>
    <x v="2"/>
  </r>
  <r>
    <n v="45285"/>
    <x v="230"/>
    <x v="12"/>
    <x v="2"/>
    <x v="15"/>
    <x v="1702"/>
    <n v="269.97000000000003"/>
    <n v="2"/>
    <n v="-386.96"/>
    <x v="11"/>
    <x v="2"/>
  </r>
  <r>
    <n v="45285"/>
    <x v="230"/>
    <x v="12"/>
    <x v="2"/>
    <x v="9"/>
    <x v="401"/>
    <n v="45.12"/>
    <n v="3"/>
    <n v="-7.9"/>
    <x v="11"/>
    <x v="2"/>
  </r>
  <r>
    <n v="45285"/>
    <x v="230"/>
    <x v="12"/>
    <x v="2"/>
    <x v="9"/>
    <x v="128"/>
    <n v="100.8"/>
    <n v="2"/>
    <n v="21.42"/>
    <x v="11"/>
    <x v="2"/>
  </r>
  <r>
    <n v="45285"/>
    <x v="230"/>
    <x v="12"/>
    <x v="1"/>
    <x v="5"/>
    <x v="1004"/>
    <n v="47.97"/>
    <n v="2"/>
    <n v="4.2"/>
    <x v="11"/>
    <x v="2"/>
  </r>
  <r>
    <n v="45285"/>
    <x v="504"/>
    <x v="20"/>
    <x v="1"/>
    <x v="13"/>
    <x v="134"/>
    <n v="313.18"/>
    <n v="2"/>
    <n v="-120.05"/>
    <x v="11"/>
    <x v="2"/>
  </r>
  <r>
    <n v="45285"/>
    <x v="504"/>
    <x v="20"/>
    <x v="1"/>
    <x v="5"/>
    <x v="1111"/>
    <n v="866.65"/>
    <n v="3"/>
    <n v="173.33"/>
    <x v="11"/>
    <x v="2"/>
  </r>
  <r>
    <n v="45285"/>
    <x v="603"/>
    <x v="13"/>
    <x v="0"/>
    <x v="4"/>
    <x v="46"/>
    <n v="19.89"/>
    <n v="9"/>
    <n v="5.37"/>
    <x v="11"/>
    <x v="2"/>
  </r>
  <r>
    <n v="45285"/>
    <x v="603"/>
    <x v="13"/>
    <x v="2"/>
    <x v="9"/>
    <x v="1390"/>
    <n v="399.98"/>
    <n v="2"/>
    <n v="171.99"/>
    <x v="11"/>
    <x v="2"/>
  </r>
  <r>
    <n v="45285"/>
    <x v="603"/>
    <x v="13"/>
    <x v="1"/>
    <x v="8"/>
    <x v="1063"/>
    <n v="343.85"/>
    <n v="5"/>
    <n v="137.54"/>
    <x v="11"/>
    <x v="2"/>
  </r>
  <r>
    <n v="45285"/>
    <x v="603"/>
    <x v="13"/>
    <x v="0"/>
    <x v="0"/>
    <x v="1195"/>
    <n v="106.32"/>
    <n v="3"/>
    <n v="49.97"/>
    <x v="11"/>
    <x v="2"/>
  </r>
  <r>
    <n v="45285"/>
    <x v="364"/>
    <x v="20"/>
    <x v="1"/>
    <x v="5"/>
    <x v="47"/>
    <n v="2563.06"/>
    <n v="8"/>
    <n v="313.26"/>
    <x v="11"/>
    <x v="2"/>
  </r>
  <r>
    <n v="45286"/>
    <x v="558"/>
    <x v="22"/>
    <x v="0"/>
    <x v="0"/>
    <x v="1791"/>
    <n v="33.9"/>
    <n v="5"/>
    <n v="15.59"/>
    <x v="11"/>
    <x v="2"/>
  </r>
  <r>
    <n v="45286"/>
    <x v="177"/>
    <x v="20"/>
    <x v="2"/>
    <x v="9"/>
    <x v="991"/>
    <n v="89.97"/>
    <n v="3"/>
    <n v="18.89"/>
    <x v="11"/>
    <x v="2"/>
  </r>
  <r>
    <n v="45286"/>
    <x v="562"/>
    <x v="26"/>
    <x v="0"/>
    <x v="12"/>
    <x v="1787"/>
    <n v="18.72"/>
    <n v="2"/>
    <n v="3.51"/>
    <x v="11"/>
    <x v="2"/>
  </r>
  <r>
    <n v="45286"/>
    <x v="554"/>
    <x v="26"/>
    <x v="0"/>
    <x v="4"/>
    <x v="760"/>
    <n v="11.33"/>
    <n v="2"/>
    <n v="2.5499999999999998"/>
    <x v="11"/>
    <x v="2"/>
  </r>
  <r>
    <n v="45286"/>
    <x v="411"/>
    <x v="3"/>
    <x v="0"/>
    <x v="14"/>
    <x v="1722"/>
    <n v="17.760000000000002"/>
    <n v="2"/>
    <n v="4.97"/>
    <x v="11"/>
    <x v="2"/>
  </r>
  <r>
    <n v="45286"/>
    <x v="411"/>
    <x v="3"/>
    <x v="2"/>
    <x v="6"/>
    <x v="482"/>
    <n v="302.38"/>
    <n v="2"/>
    <n v="30.24"/>
    <x v="11"/>
    <x v="2"/>
  </r>
  <r>
    <n v="45286"/>
    <x v="411"/>
    <x v="3"/>
    <x v="1"/>
    <x v="5"/>
    <x v="1331"/>
    <n v="146.35"/>
    <n v="3"/>
    <n v="-5.49"/>
    <x v="11"/>
    <x v="2"/>
  </r>
  <r>
    <n v="45286"/>
    <x v="411"/>
    <x v="3"/>
    <x v="0"/>
    <x v="12"/>
    <x v="936"/>
    <n v="7.9"/>
    <n v="2"/>
    <n v="2.0499999999999998"/>
    <x v="11"/>
    <x v="2"/>
  </r>
  <r>
    <n v="45286"/>
    <x v="411"/>
    <x v="3"/>
    <x v="1"/>
    <x v="13"/>
    <x v="177"/>
    <n v="902.71"/>
    <n v="3"/>
    <n v="33.85"/>
    <x v="11"/>
    <x v="2"/>
  </r>
  <r>
    <n v="45286"/>
    <x v="411"/>
    <x v="3"/>
    <x v="0"/>
    <x v="4"/>
    <x v="373"/>
    <n v="53.97"/>
    <n v="3"/>
    <n v="15.11"/>
    <x v="11"/>
    <x v="2"/>
  </r>
  <r>
    <n v="45286"/>
    <x v="653"/>
    <x v="23"/>
    <x v="1"/>
    <x v="5"/>
    <x v="1318"/>
    <n v="212.94"/>
    <n v="3"/>
    <n v="25.55"/>
    <x v="11"/>
    <x v="2"/>
  </r>
  <r>
    <n v="45286"/>
    <x v="653"/>
    <x v="23"/>
    <x v="0"/>
    <x v="12"/>
    <x v="244"/>
    <n v="26.49"/>
    <n v="1"/>
    <n v="7.42"/>
    <x v="11"/>
    <x v="2"/>
  </r>
  <r>
    <n v="45286"/>
    <x v="202"/>
    <x v="20"/>
    <x v="0"/>
    <x v="3"/>
    <x v="1496"/>
    <n v="4.99"/>
    <n v="3"/>
    <n v="1.68"/>
    <x v="11"/>
    <x v="2"/>
  </r>
  <r>
    <n v="45287"/>
    <x v="196"/>
    <x v="1"/>
    <x v="1"/>
    <x v="5"/>
    <x v="1417"/>
    <n v="845.49"/>
    <n v="8"/>
    <n v="-12.08"/>
    <x v="11"/>
    <x v="2"/>
  </r>
  <r>
    <n v="45287"/>
    <x v="711"/>
    <x v="0"/>
    <x v="0"/>
    <x v="0"/>
    <x v="1110"/>
    <n v="10.37"/>
    <n v="2"/>
    <n v="3.63"/>
    <x v="11"/>
    <x v="2"/>
  </r>
  <r>
    <n v="45287"/>
    <x v="711"/>
    <x v="0"/>
    <x v="0"/>
    <x v="0"/>
    <x v="1216"/>
    <n v="23.68"/>
    <n v="4"/>
    <n v="7.4"/>
    <x v="11"/>
    <x v="2"/>
  </r>
  <r>
    <n v="45287"/>
    <x v="363"/>
    <x v="10"/>
    <x v="2"/>
    <x v="9"/>
    <x v="1598"/>
    <n v="40"/>
    <n v="2"/>
    <n v="0.5"/>
    <x v="11"/>
    <x v="2"/>
  </r>
  <r>
    <n v="45287"/>
    <x v="306"/>
    <x v="3"/>
    <x v="0"/>
    <x v="1"/>
    <x v="349"/>
    <n v="20.16"/>
    <n v="7"/>
    <n v="9.8800000000000008"/>
    <x v="11"/>
    <x v="2"/>
  </r>
  <r>
    <n v="45287"/>
    <x v="476"/>
    <x v="10"/>
    <x v="0"/>
    <x v="7"/>
    <x v="642"/>
    <n v="17.18"/>
    <n v="6"/>
    <n v="6.23"/>
    <x v="11"/>
    <x v="2"/>
  </r>
  <r>
    <n v="45287"/>
    <x v="677"/>
    <x v="5"/>
    <x v="0"/>
    <x v="1"/>
    <x v="315"/>
    <n v="2.61"/>
    <n v="1"/>
    <n v="1.2"/>
    <x v="11"/>
    <x v="2"/>
  </r>
  <r>
    <n v="45289"/>
    <x v="47"/>
    <x v="21"/>
    <x v="1"/>
    <x v="5"/>
    <x v="1082"/>
    <n v="754.45"/>
    <n v="5"/>
    <n v="60.36"/>
    <x v="11"/>
    <x v="2"/>
  </r>
  <r>
    <n v="45289"/>
    <x v="75"/>
    <x v="1"/>
    <x v="0"/>
    <x v="0"/>
    <x v="655"/>
    <n v="186.05"/>
    <n v="6"/>
    <n v="67.44"/>
    <x v="11"/>
    <x v="2"/>
  </r>
  <r>
    <n v="45289"/>
    <x v="634"/>
    <x v="15"/>
    <x v="0"/>
    <x v="3"/>
    <x v="1469"/>
    <n v="38.090000000000003"/>
    <n v="4"/>
    <n v="-27.93"/>
    <x v="11"/>
    <x v="2"/>
  </r>
  <r>
    <n v="45289"/>
    <x v="634"/>
    <x v="15"/>
    <x v="0"/>
    <x v="3"/>
    <x v="253"/>
    <n v="2.81"/>
    <n v="3"/>
    <n v="-1.97"/>
    <x v="11"/>
    <x v="2"/>
  </r>
  <r>
    <n v="45289"/>
    <x v="101"/>
    <x v="42"/>
    <x v="1"/>
    <x v="8"/>
    <x v="1200"/>
    <n v="70.56"/>
    <n v="6"/>
    <n v="23.99"/>
    <x v="11"/>
    <x v="2"/>
  </r>
  <r>
    <n v="45289"/>
    <x v="101"/>
    <x v="42"/>
    <x v="0"/>
    <x v="12"/>
    <x v="103"/>
    <n v="81.96"/>
    <n v="2"/>
    <n v="22.95"/>
    <x v="11"/>
    <x v="2"/>
  </r>
  <r>
    <n v="45289"/>
    <x v="766"/>
    <x v="3"/>
    <x v="0"/>
    <x v="3"/>
    <x v="701"/>
    <n v="11.23"/>
    <n v="3"/>
    <n v="3.93"/>
    <x v="11"/>
    <x v="2"/>
  </r>
  <r>
    <n v="45289"/>
    <x v="318"/>
    <x v="11"/>
    <x v="0"/>
    <x v="10"/>
    <x v="1068"/>
    <n v="27.79"/>
    <n v="3"/>
    <n v="10.42"/>
    <x v="11"/>
    <x v="2"/>
  </r>
  <r>
    <n v="45289"/>
    <x v="167"/>
    <x v="16"/>
    <x v="0"/>
    <x v="0"/>
    <x v="257"/>
    <n v="37.409999999999997"/>
    <n v="7"/>
    <n v="13.09"/>
    <x v="11"/>
    <x v="2"/>
  </r>
  <r>
    <n v="45289"/>
    <x v="167"/>
    <x v="16"/>
    <x v="0"/>
    <x v="0"/>
    <x v="1133"/>
    <n v="25.34"/>
    <n v="6"/>
    <n v="8.8699999999999992"/>
    <x v="11"/>
    <x v="2"/>
  </r>
  <r>
    <n v="45289"/>
    <x v="251"/>
    <x v="3"/>
    <x v="0"/>
    <x v="2"/>
    <x v="845"/>
    <n v="14.03"/>
    <n v="1"/>
    <n v="4.07"/>
    <x v="11"/>
    <x v="2"/>
  </r>
  <r>
    <n v="45289"/>
    <x v="251"/>
    <x v="3"/>
    <x v="0"/>
    <x v="14"/>
    <x v="1360"/>
    <n v="27.96"/>
    <n v="2"/>
    <n v="7.27"/>
    <x v="11"/>
    <x v="2"/>
  </r>
  <r>
    <n v="45290"/>
    <x v="435"/>
    <x v="0"/>
    <x v="0"/>
    <x v="3"/>
    <x v="872"/>
    <n v="6.92"/>
    <n v="6"/>
    <n v="-10.39"/>
    <x v="11"/>
    <x v="2"/>
  </r>
  <r>
    <n v="45290"/>
    <x v="240"/>
    <x v="10"/>
    <x v="0"/>
    <x v="1"/>
    <x v="1165"/>
    <n v="5.9"/>
    <n v="2"/>
    <n v="1.99"/>
    <x v="11"/>
    <x v="2"/>
  </r>
  <r>
    <n v="45290"/>
    <x v="240"/>
    <x v="10"/>
    <x v="0"/>
    <x v="14"/>
    <x v="472"/>
    <n v="13.71"/>
    <n v="2"/>
    <n v="1.03"/>
    <x v="11"/>
    <x v="2"/>
  </r>
  <r>
    <n v="45290"/>
    <x v="425"/>
    <x v="3"/>
    <x v="0"/>
    <x v="2"/>
    <x v="1407"/>
    <n v="481.32"/>
    <n v="4"/>
    <n v="125.14"/>
    <x v="11"/>
    <x v="2"/>
  </r>
  <r>
    <n v="45290"/>
    <x v="425"/>
    <x v="3"/>
    <x v="0"/>
    <x v="3"/>
    <x v="1430"/>
    <n v="6.38"/>
    <n v="1"/>
    <n v="2.15"/>
    <x v="11"/>
    <x v="2"/>
  </r>
  <r>
    <n v="45290"/>
    <x v="12"/>
    <x v="2"/>
    <x v="1"/>
    <x v="5"/>
    <x v="528"/>
    <n v="170.79"/>
    <n v="1"/>
    <n v="0"/>
    <x v="11"/>
    <x v="2"/>
  </r>
  <r>
    <n v="45290"/>
    <x v="781"/>
    <x v="2"/>
    <x v="0"/>
    <x v="4"/>
    <x v="1163"/>
    <n v="16.52"/>
    <n v="5"/>
    <n v="1.65"/>
    <x v="11"/>
    <x v="2"/>
  </r>
  <r>
    <n v="45290"/>
    <x v="216"/>
    <x v="16"/>
    <x v="0"/>
    <x v="0"/>
    <x v="1675"/>
    <n v="72.22"/>
    <n v="4"/>
    <n v="25.28"/>
    <x v="11"/>
    <x v="2"/>
  </r>
  <r>
    <n v="45291"/>
    <x v="254"/>
    <x v="17"/>
    <x v="0"/>
    <x v="4"/>
    <x v="1559"/>
    <n v="3.64"/>
    <n v="2"/>
    <n v="1.64"/>
    <x v="11"/>
    <x v="2"/>
  </r>
  <r>
    <n v="45291"/>
    <x v="254"/>
    <x v="17"/>
    <x v="0"/>
    <x v="3"/>
    <x v="1172"/>
    <n v="159.77000000000001"/>
    <n v="7"/>
    <n v="53.92"/>
    <x v="11"/>
    <x v="2"/>
  </r>
  <r>
    <n v="45291"/>
    <x v="280"/>
    <x v="3"/>
    <x v="2"/>
    <x v="6"/>
    <x v="458"/>
    <n v="302.38"/>
    <n v="3"/>
    <n v="22.68"/>
    <x v="11"/>
    <x v="2"/>
  </r>
  <r>
    <n v="45291"/>
    <x v="287"/>
    <x v="16"/>
    <x v="0"/>
    <x v="4"/>
    <x v="137"/>
    <n v="47.62"/>
    <n v="3"/>
    <n v="3.57"/>
    <x v="11"/>
    <x v="2"/>
  </r>
  <r>
    <n v="45291"/>
    <x v="287"/>
    <x v="16"/>
    <x v="0"/>
    <x v="0"/>
    <x v="1357"/>
    <n v="23.48"/>
    <n v="5"/>
    <n v="8.2200000000000006"/>
    <x v="11"/>
    <x v="2"/>
  </r>
  <r>
    <n v="45291"/>
    <x v="652"/>
    <x v="3"/>
    <x v="0"/>
    <x v="3"/>
    <x v="445"/>
    <n v="38.380000000000003"/>
    <n v="3"/>
    <n v="13.43"/>
    <x v="11"/>
    <x v="2"/>
  </r>
  <r>
    <n v="45291"/>
    <x v="257"/>
    <x v="10"/>
    <x v="0"/>
    <x v="2"/>
    <x v="1204"/>
    <n v="156.51"/>
    <n v="4"/>
    <n v="-35.22"/>
    <x v="11"/>
    <x v="2"/>
  </r>
  <r>
    <n v="45292"/>
    <x v="41"/>
    <x v="10"/>
    <x v="1"/>
    <x v="8"/>
    <x v="1112"/>
    <n v="48.9"/>
    <n v="4"/>
    <n v="8.56"/>
    <x v="0"/>
    <x v="3"/>
  </r>
  <r>
    <n v="45292"/>
    <x v="236"/>
    <x v="3"/>
    <x v="1"/>
    <x v="8"/>
    <x v="1261"/>
    <n v="474.43"/>
    <n v="11"/>
    <n v="199.26"/>
    <x v="0"/>
    <x v="3"/>
  </r>
  <r>
    <n v="45292"/>
    <x v="285"/>
    <x v="21"/>
    <x v="0"/>
    <x v="3"/>
    <x v="106"/>
    <n v="3.6"/>
    <n v="2"/>
    <n v="1.73"/>
    <x v="0"/>
    <x v="3"/>
  </r>
  <r>
    <n v="45292"/>
    <x v="744"/>
    <x v="0"/>
    <x v="0"/>
    <x v="2"/>
    <x v="2"/>
    <n v="454.56"/>
    <n v="5"/>
    <n v="-107.96"/>
    <x v="0"/>
    <x v="3"/>
  </r>
  <r>
    <n v="45292"/>
    <x v="744"/>
    <x v="0"/>
    <x v="1"/>
    <x v="8"/>
    <x v="759"/>
    <n v="141.41999999999999"/>
    <n v="5"/>
    <n v="-187.38"/>
    <x v="0"/>
    <x v="3"/>
  </r>
  <r>
    <n v="45292"/>
    <x v="744"/>
    <x v="0"/>
    <x v="1"/>
    <x v="5"/>
    <x v="1395"/>
    <n v="310.74"/>
    <n v="4"/>
    <n v="-26.64"/>
    <x v="0"/>
    <x v="3"/>
  </r>
  <r>
    <n v="45292"/>
    <x v="744"/>
    <x v="0"/>
    <x v="0"/>
    <x v="4"/>
    <x v="581"/>
    <n v="12.74"/>
    <n v="4"/>
    <n v="2.23"/>
    <x v="0"/>
    <x v="3"/>
  </r>
  <r>
    <n v="45292"/>
    <x v="744"/>
    <x v="0"/>
    <x v="0"/>
    <x v="3"/>
    <x v="871"/>
    <n v="6.47"/>
    <n v="5"/>
    <n v="-9.7100000000000009"/>
    <x v="0"/>
    <x v="3"/>
  </r>
  <r>
    <n v="45292"/>
    <x v="744"/>
    <x v="0"/>
    <x v="0"/>
    <x v="3"/>
    <x v="73"/>
    <n v="13.75"/>
    <n v="14"/>
    <n v="-22.68"/>
    <x v="0"/>
    <x v="3"/>
  </r>
  <r>
    <n v="45292"/>
    <x v="744"/>
    <x v="0"/>
    <x v="0"/>
    <x v="12"/>
    <x v="672"/>
    <n v="15.22"/>
    <n v="2"/>
    <n v="-38.82"/>
    <x v="0"/>
    <x v="3"/>
  </r>
  <r>
    <n v="45293"/>
    <x v="322"/>
    <x v="25"/>
    <x v="2"/>
    <x v="15"/>
    <x v="1705"/>
    <n v="695.7"/>
    <n v="2"/>
    <n v="-27.83"/>
    <x v="0"/>
    <x v="3"/>
  </r>
  <r>
    <n v="45293"/>
    <x v="322"/>
    <x v="25"/>
    <x v="0"/>
    <x v="3"/>
    <x v="594"/>
    <n v="15.66"/>
    <n v="5"/>
    <n v="-12.53"/>
    <x v="0"/>
    <x v="3"/>
  </r>
  <r>
    <n v="45293"/>
    <x v="322"/>
    <x v="25"/>
    <x v="0"/>
    <x v="3"/>
    <x v="775"/>
    <n v="28.85"/>
    <n v="6"/>
    <n v="-21.16"/>
    <x v="0"/>
    <x v="3"/>
  </r>
  <r>
    <n v="45293"/>
    <x v="603"/>
    <x v="0"/>
    <x v="0"/>
    <x v="4"/>
    <x v="262"/>
    <n v="31.74"/>
    <n v="2"/>
    <n v="3.97"/>
    <x v="0"/>
    <x v="3"/>
  </r>
  <r>
    <n v="45293"/>
    <x v="603"/>
    <x v="0"/>
    <x v="0"/>
    <x v="12"/>
    <x v="1794"/>
    <n v="5.43"/>
    <n v="2"/>
    <n v="-13.58"/>
    <x v="0"/>
    <x v="3"/>
  </r>
  <r>
    <n v="45293"/>
    <x v="603"/>
    <x v="0"/>
    <x v="1"/>
    <x v="13"/>
    <x v="134"/>
    <n v="913.43"/>
    <n v="5"/>
    <n v="-169.64"/>
    <x v="0"/>
    <x v="3"/>
  </r>
  <r>
    <n v="45293"/>
    <x v="603"/>
    <x v="0"/>
    <x v="0"/>
    <x v="2"/>
    <x v="880"/>
    <n v="372.14"/>
    <n v="3"/>
    <n v="27.91"/>
    <x v="0"/>
    <x v="3"/>
  </r>
  <r>
    <n v="45293"/>
    <x v="623"/>
    <x v="3"/>
    <x v="2"/>
    <x v="9"/>
    <x v="1487"/>
    <n v="16.59"/>
    <n v="1"/>
    <n v="5.81"/>
    <x v="0"/>
    <x v="3"/>
  </r>
  <r>
    <n v="45294"/>
    <x v="16"/>
    <x v="3"/>
    <x v="0"/>
    <x v="0"/>
    <x v="1757"/>
    <n v="38.880000000000003"/>
    <n v="6"/>
    <n v="18.66"/>
    <x v="0"/>
    <x v="3"/>
  </r>
  <r>
    <n v="45294"/>
    <x v="616"/>
    <x v="3"/>
    <x v="0"/>
    <x v="3"/>
    <x v="1665"/>
    <n v="2022.27"/>
    <n v="8"/>
    <n v="682.52"/>
    <x v="0"/>
    <x v="3"/>
  </r>
  <r>
    <n v="45294"/>
    <x v="616"/>
    <x v="3"/>
    <x v="0"/>
    <x v="4"/>
    <x v="1472"/>
    <n v="9.1199999999999992"/>
    <n v="3"/>
    <n v="3.1"/>
    <x v="0"/>
    <x v="3"/>
  </r>
  <r>
    <n v="45297"/>
    <x v="285"/>
    <x v="33"/>
    <x v="0"/>
    <x v="3"/>
    <x v="96"/>
    <n v="33.74"/>
    <n v="7"/>
    <n v="15.52"/>
    <x v="0"/>
    <x v="3"/>
  </r>
  <r>
    <n v="45298"/>
    <x v="620"/>
    <x v="14"/>
    <x v="2"/>
    <x v="15"/>
    <x v="781"/>
    <n v="3059.98"/>
    <n v="2"/>
    <n v="680"/>
    <x v="0"/>
    <x v="3"/>
  </r>
  <r>
    <n v="45298"/>
    <x v="669"/>
    <x v="16"/>
    <x v="0"/>
    <x v="3"/>
    <x v="253"/>
    <n v="2.81"/>
    <n v="3"/>
    <n v="-1.97"/>
    <x v="0"/>
    <x v="3"/>
  </r>
  <r>
    <n v="45298"/>
    <x v="509"/>
    <x v="3"/>
    <x v="0"/>
    <x v="2"/>
    <x v="49"/>
    <n v="153.78"/>
    <n v="11"/>
    <n v="44.6"/>
    <x v="0"/>
    <x v="3"/>
  </r>
  <r>
    <n v="45298"/>
    <x v="509"/>
    <x v="3"/>
    <x v="0"/>
    <x v="2"/>
    <x v="204"/>
    <n v="61.02"/>
    <n v="3"/>
    <n v="0.61"/>
    <x v="0"/>
    <x v="3"/>
  </r>
  <r>
    <n v="45298"/>
    <x v="509"/>
    <x v="3"/>
    <x v="0"/>
    <x v="14"/>
    <x v="1501"/>
    <n v="110.11"/>
    <n v="7"/>
    <n v="31.93"/>
    <x v="0"/>
    <x v="3"/>
  </r>
  <r>
    <n v="45298"/>
    <x v="509"/>
    <x v="3"/>
    <x v="0"/>
    <x v="7"/>
    <x v="78"/>
    <n v="7.89"/>
    <n v="1"/>
    <n v="3.55"/>
    <x v="0"/>
    <x v="3"/>
  </r>
  <r>
    <n v="45299"/>
    <x v="332"/>
    <x v="22"/>
    <x v="1"/>
    <x v="13"/>
    <x v="178"/>
    <n v="892.98"/>
    <n v="2"/>
    <n v="80.37"/>
    <x v="0"/>
    <x v="3"/>
  </r>
  <r>
    <n v="45300"/>
    <x v="443"/>
    <x v="2"/>
    <x v="0"/>
    <x v="3"/>
    <x v="8"/>
    <n v="274.49"/>
    <n v="3"/>
    <n v="-228.74"/>
    <x v="0"/>
    <x v="3"/>
  </r>
  <r>
    <n v="45303"/>
    <x v="163"/>
    <x v="44"/>
    <x v="0"/>
    <x v="0"/>
    <x v="59"/>
    <n v="40.08"/>
    <n v="6"/>
    <n v="19.239999999999998"/>
    <x v="0"/>
    <x v="3"/>
  </r>
  <r>
    <n v="45303"/>
    <x v="163"/>
    <x v="44"/>
    <x v="1"/>
    <x v="8"/>
    <x v="1310"/>
    <n v="37.68"/>
    <n v="2"/>
    <n v="15.83"/>
    <x v="0"/>
    <x v="3"/>
  </r>
  <r>
    <n v="45303"/>
    <x v="637"/>
    <x v="3"/>
    <x v="0"/>
    <x v="10"/>
    <x v="21"/>
    <n v="9.7799999999999994"/>
    <n v="1"/>
    <n v="4.8899999999999997"/>
    <x v="0"/>
    <x v="3"/>
  </r>
  <r>
    <n v="45303"/>
    <x v="639"/>
    <x v="0"/>
    <x v="0"/>
    <x v="3"/>
    <x v="1391"/>
    <n v="760.98"/>
    <n v="5"/>
    <n v="-1141.47"/>
    <x v="0"/>
    <x v="3"/>
  </r>
  <r>
    <n v="45304"/>
    <x v="552"/>
    <x v="24"/>
    <x v="0"/>
    <x v="0"/>
    <x v="736"/>
    <n v="32.4"/>
    <n v="5"/>
    <n v="15.55"/>
    <x v="0"/>
    <x v="3"/>
  </r>
  <r>
    <n v="45304"/>
    <x v="552"/>
    <x v="24"/>
    <x v="0"/>
    <x v="4"/>
    <x v="358"/>
    <n v="209.94"/>
    <n v="6"/>
    <n v="54.58"/>
    <x v="0"/>
    <x v="3"/>
  </r>
  <r>
    <n v="45304"/>
    <x v="552"/>
    <x v="24"/>
    <x v="0"/>
    <x v="14"/>
    <x v="270"/>
    <n v="4164.05"/>
    <n v="5"/>
    <n v="83.28"/>
    <x v="0"/>
    <x v="3"/>
  </r>
  <r>
    <n v="45304"/>
    <x v="552"/>
    <x v="24"/>
    <x v="1"/>
    <x v="11"/>
    <x v="506"/>
    <n v="212.94"/>
    <n v="3"/>
    <n v="53.24"/>
    <x v="0"/>
    <x v="3"/>
  </r>
  <r>
    <n v="45305"/>
    <x v="751"/>
    <x v="25"/>
    <x v="0"/>
    <x v="10"/>
    <x v="41"/>
    <n v="21.74"/>
    <n v="1"/>
    <n v="7.34"/>
    <x v="0"/>
    <x v="3"/>
  </r>
  <r>
    <n v="45305"/>
    <x v="751"/>
    <x v="25"/>
    <x v="2"/>
    <x v="6"/>
    <x v="119"/>
    <n v="7.92"/>
    <n v="5"/>
    <n v="0.69"/>
    <x v="0"/>
    <x v="3"/>
  </r>
  <r>
    <n v="45305"/>
    <x v="609"/>
    <x v="26"/>
    <x v="2"/>
    <x v="9"/>
    <x v="1623"/>
    <n v="169.06"/>
    <n v="7"/>
    <n v="-14.79"/>
    <x v="0"/>
    <x v="3"/>
  </r>
  <r>
    <n v="45305"/>
    <x v="609"/>
    <x v="26"/>
    <x v="0"/>
    <x v="2"/>
    <x v="1440"/>
    <n v="168.62"/>
    <n v="9"/>
    <n v="14.75"/>
    <x v="0"/>
    <x v="3"/>
  </r>
  <r>
    <n v="45305"/>
    <x v="248"/>
    <x v="15"/>
    <x v="0"/>
    <x v="10"/>
    <x v="920"/>
    <n v="18.34"/>
    <n v="3"/>
    <n v="6.65"/>
    <x v="0"/>
    <x v="3"/>
  </r>
  <r>
    <n v="45305"/>
    <x v="248"/>
    <x v="15"/>
    <x v="0"/>
    <x v="0"/>
    <x v="727"/>
    <n v="36.29"/>
    <n v="7"/>
    <n v="12.7"/>
    <x v="0"/>
    <x v="3"/>
  </r>
  <r>
    <n v="45305"/>
    <x v="248"/>
    <x v="15"/>
    <x v="2"/>
    <x v="6"/>
    <x v="1727"/>
    <n v="111.98"/>
    <n v="2"/>
    <n v="7"/>
    <x v="0"/>
    <x v="3"/>
  </r>
  <r>
    <n v="45305"/>
    <x v="248"/>
    <x v="15"/>
    <x v="0"/>
    <x v="3"/>
    <x v="1428"/>
    <n v="5.97"/>
    <n v="5"/>
    <n v="-4.58"/>
    <x v="0"/>
    <x v="3"/>
  </r>
  <r>
    <n v="45305"/>
    <x v="248"/>
    <x v="15"/>
    <x v="0"/>
    <x v="3"/>
    <x v="950"/>
    <n v="2.5099999999999998"/>
    <n v="2"/>
    <n v="-1.84"/>
    <x v="0"/>
    <x v="3"/>
  </r>
  <r>
    <n v="45305"/>
    <x v="703"/>
    <x v="3"/>
    <x v="0"/>
    <x v="0"/>
    <x v="1325"/>
    <n v="154.9"/>
    <n v="5"/>
    <n v="69.709999999999994"/>
    <x v="0"/>
    <x v="3"/>
  </r>
  <r>
    <n v="45305"/>
    <x v="57"/>
    <x v="18"/>
    <x v="0"/>
    <x v="2"/>
    <x v="1369"/>
    <n v="67.400000000000006"/>
    <n v="5"/>
    <n v="17.52"/>
    <x v="0"/>
    <x v="3"/>
  </r>
  <r>
    <n v="45305"/>
    <x v="57"/>
    <x v="18"/>
    <x v="0"/>
    <x v="7"/>
    <x v="1371"/>
    <n v="2.52"/>
    <n v="2"/>
    <n v="0.1"/>
    <x v="0"/>
    <x v="3"/>
  </r>
  <r>
    <n v="45305"/>
    <x v="57"/>
    <x v="18"/>
    <x v="2"/>
    <x v="6"/>
    <x v="1147"/>
    <n v="67.8"/>
    <n v="4"/>
    <n v="1.36"/>
    <x v="0"/>
    <x v="3"/>
  </r>
  <r>
    <n v="45305"/>
    <x v="57"/>
    <x v="18"/>
    <x v="0"/>
    <x v="2"/>
    <x v="163"/>
    <n v="18.760000000000002"/>
    <n v="2"/>
    <n v="5.25"/>
    <x v="0"/>
    <x v="3"/>
  </r>
  <r>
    <n v="45305"/>
    <x v="57"/>
    <x v="18"/>
    <x v="2"/>
    <x v="9"/>
    <x v="915"/>
    <n v="12.12"/>
    <n v="4"/>
    <n v="2.5499999999999998"/>
    <x v="0"/>
    <x v="3"/>
  </r>
  <r>
    <n v="45305"/>
    <x v="57"/>
    <x v="18"/>
    <x v="0"/>
    <x v="0"/>
    <x v="1383"/>
    <n v="11.34"/>
    <n v="1"/>
    <n v="5.56"/>
    <x v="0"/>
    <x v="3"/>
  </r>
  <r>
    <n v="45305"/>
    <x v="57"/>
    <x v="18"/>
    <x v="2"/>
    <x v="9"/>
    <x v="1253"/>
    <n v="159.80000000000001"/>
    <n v="4"/>
    <n v="70.31"/>
    <x v="0"/>
    <x v="3"/>
  </r>
  <r>
    <n v="45305"/>
    <x v="57"/>
    <x v="18"/>
    <x v="1"/>
    <x v="8"/>
    <x v="1298"/>
    <n v="18.96"/>
    <n v="2"/>
    <n v="8.5299999999999994"/>
    <x v="0"/>
    <x v="3"/>
  </r>
  <r>
    <n v="45306"/>
    <x v="758"/>
    <x v="2"/>
    <x v="0"/>
    <x v="12"/>
    <x v="1743"/>
    <n v="34.380000000000003"/>
    <n v="1"/>
    <n v="3.87"/>
    <x v="0"/>
    <x v="3"/>
  </r>
  <r>
    <n v="45306"/>
    <x v="758"/>
    <x v="2"/>
    <x v="0"/>
    <x v="12"/>
    <x v="453"/>
    <n v="1924.16"/>
    <n v="8"/>
    <n v="312.68"/>
    <x v="0"/>
    <x v="3"/>
  </r>
  <r>
    <n v="45306"/>
    <x v="42"/>
    <x v="32"/>
    <x v="0"/>
    <x v="0"/>
    <x v="1700"/>
    <n v="12.7"/>
    <n v="2"/>
    <n v="5.84"/>
    <x v="0"/>
    <x v="3"/>
  </r>
  <r>
    <n v="45306"/>
    <x v="722"/>
    <x v="3"/>
    <x v="0"/>
    <x v="4"/>
    <x v="344"/>
    <n v="21.4"/>
    <n v="5"/>
    <n v="6.21"/>
    <x v="0"/>
    <x v="3"/>
  </r>
  <r>
    <n v="45306"/>
    <x v="560"/>
    <x v="0"/>
    <x v="0"/>
    <x v="3"/>
    <x v="209"/>
    <n v="32.78"/>
    <n v="4"/>
    <n v="-52.45"/>
    <x v="0"/>
    <x v="3"/>
  </r>
  <r>
    <n v="45306"/>
    <x v="560"/>
    <x v="0"/>
    <x v="2"/>
    <x v="9"/>
    <x v="33"/>
    <n v="47.98"/>
    <n v="2"/>
    <n v="14.4"/>
    <x v="0"/>
    <x v="3"/>
  </r>
  <r>
    <n v="45306"/>
    <x v="560"/>
    <x v="0"/>
    <x v="2"/>
    <x v="9"/>
    <x v="918"/>
    <n v="62.59"/>
    <n v="8"/>
    <n v="13.3"/>
    <x v="0"/>
    <x v="3"/>
  </r>
  <r>
    <n v="45306"/>
    <x v="560"/>
    <x v="0"/>
    <x v="0"/>
    <x v="3"/>
    <x v="583"/>
    <n v="4.28"/>
    <n v="1"/>
    <n v="-6.63"/>
    <x v="0"/>
    <x v="3"/>
  </r>
  <r>
    <n v="45307"/>
    <x v="4"/>
    <x v="3"/>
    <x v="1"/>
    <x v="8"/>
    <x v="480"/>
    <n v="27.92"/>
    <n v="4"/>
    <n v="8.1"/>
    <x v="0"/>
    <x v="3"/>
  </r>
  <r>
    <n v="45307"/>
    <x v="4"/>
    <x v="3"/>
    <x v="1"/>
    <x v="13"/>
    <x v="495"/>
    <n v="399.67"/>
    <n v="7"/>
    <n v="-14.99"/>
    <x v="0"/>
    <x v="3"/>
  </r>
  <r>
    <n v="45307"/>
    <x v="539"/>
    <x v="14"/>
    <x v="0"/>
    <x v="3"/>
    <x v="501"/>
    <n v="5443.96"/>
    <n v="4"/>
    <n v="2504.2199999999998"/>
    <x v="0"/>
    <x v="3"/>
  </r>
  <r>
    <n v="45307"/>
    <x v="539"/>
    <x v="14"/>
    <x v="1"/>
    <x v="5"/>
    <x v="946"/>
    <n v="302.67"/>
    <n v="3"/>
    <n v="72.64"/>
    <x v="0"/>
    <x v="3"/>
  </r>
  <r>
    <n v="45307"/>
    <x v="539"/>
    <x v="14"/>
    <x v="0"/>
    <x v="0"/>
    <x v="1687"/>
    <n v="56.07"/>
    <n v="7"/>
    <n v="25.23"/>
    <x v="0"/>
    <x v="3"/>
  </r>
  <r>
    <n v="45310"/>
    <x v="275"/>
    <x v="0"/>
    <x v="0"/>
    <x v="1"/>
    <x v="1491"/>
    <n v="6"/>
    <n v="2"/>
    <n v="2.1"/>
    <x v="0"/>
    <x v="3"/>
  </r>
  <r>
    <n v="45310"/>
    <x v="777"/>
    <x v="2"/>
    <x v="2"/>
    <x v="6"/>
    <x v="387"/>
    <n v="429.6"/>
    <n v="2"/>
    <n v="-93.08"/>
    <x v="0"/>
    <x v="3"/>
  </r>
  <r>
    <n v="45310"/>
    <x v="777"/>
    <x v="2"/>
    <x v="1"/>
    <x v="8"/>
    <x v="1113"/>
    <n v="31.97"/>
    <n v="2"/>
    <n v="6.39"/>
    <x v="0"/>
    <x v="3"/>
  </r>
  <r>
    <n v="45310"/>
    <x v="777"/>
    <x v="2"/>
    <x v="1"/>
    <x v="5"/>
    <x v="1333"/>
    <n v="887.27"/>
    <n v="3"/>
    <n v="-63.38"/>
    <x v="0"/>
    <x v="3"/>
  </r>
  <r>
    <n v="45310"/>
    <x v="777"/>
    <x v="2"/>
    <x v="0"/>
    <x v="0"/>
    <x v="1791"/>
    <n v="21.7"/>
    <n v="4"/>
    <n v="7.05"/>
    <x v="0"/>
    <x v="3"/>
  </r>
  <r>
    <n v="45310"/>
    <x v="195"/>
    <x v="45"/>
    <x v="0"/>
    <x v="0"/>
    <x v="1449"/>
    <n v="79.92"/>
    <n v="4"/>
    <n v="37.56"/>
    <x v="0"/>
    <x v="3"/>
  </r>
  <r>
    <n v="45310"/>
    <x v="195"/>
    <x v="45"/>
    <x v="0"/>
    <x v="0"/>
    <x v="572"/>
    <n v="12.28"/>
    <n v="1"/>
    <n v="5.77"/>
    <x v="0"/>
    <x v="3"/>
  </r>
  <r>
    <n v="45310"/>
    <x v="195"/>
    <x v="45"/>
    <x v="0"/>
    <x v="12"/>
    <x v="1178"/>
    <n v="542.94000000000005"/>
    <n v="3"/>
    <n v="152.02000000000001"/>
    <x v="0"/>
    <x v="3"/>
  </r>
  <r>
    <n v="45310"/>
    <x v="195"/>
    <x v="45"/>
    <x v="0"/>
    <x v="10"/>
    <x v="229"/>
    <n v="2.04"/>
    <n v="1"/>
    <n v="0.96"/>
    <x v="0"/>
    <x v="3"/>
  </r>
  <r>
    <n v="45311"/>
    <x v="755"/>
    <x v="20"/>
    <x v="1"/>
    <x v="5"/>
    <x v="415"/>
    <n v="207.85"/>
    <n v="3"/>
    <n v="2.31"/>
    <x v="0"/>
    <x v="3"/>
  </r>
  <r>
    <n v="45311"/>
    <x v="433"/>
    <x v="3"/>
    <x v="2"/>
    <x v="6"/>
    <x v="292"/>
    <n v="160.78"/>
    <n v="3"/>
    <n v="10.050000000000001"/>
    <x v="0"/>
    <x v="3"/>
  </r>
  <r>
    <n v="45311"/>
    <x v="51"/>
    <x v="3"/>
    <x v="0"/>
    <x v="4"/>
    <x v="108"/>
    <n v="24.2"/>
    <n v="5"/>
    <n v="7.99"/>
    <x v="0"/>
    <x v="3"/>
  </r>
  <r>
    <n v="45311"/>
    <x v="51"/>
    <x v="3"/>
    <x v="2"/>
    <x v="6"/>
    <x v="854"/>
    <n v="359.98"/>
    <n v="3"/>
    <n v="130.49"/>
    <x v="0"/>
    <x v="3"/>
  </r>
  <r>
    <n v="45311"/>
    <x v="467"/>
    <x v="37"/>
    <x v="0"/>
    <x v="4"/>
    <x v="1591"/>
    <n v="3.52"/>
    <n v="2"/>
    <n v="1.02"/>
    <x v="0"/>
    <x v="3"/>
  </r>
  <r>
    <n v="45311"/>
    <x v="505"/>
    <x v="1"/>
    <x v="0"/>
    <x v="1"/>
    <x v="349"/>
    <n v="11.52"/>
    <n v="5"/>
    <n v="4.18"/>
    <x v="0"/>
    <x v="3"/>
  </r>
  <r>
    <n v="45312"/>
    <x v="293"/>
    <x v="22"/>
    <x v="0"/>
    <x v="2"/>
    <x v="161"/>
    <n v="242.94"/>
    <n v="3"/>
    <n v="9.7200000000000006"/>
    <x v="0"/>
    <x v="3"/>
  </r>
  <r>
    <n v="45312"/>
    <x v="293"/>
    <x v="22"/>
    <x v="2"/>
    <x v="9"/>
    <x v="941"/>
    <n v="179.97"/>
    <n v="3"/>
    <n v="86.39"/>
    <x v="0"/>
    <x v="3"/>
  </r>
  <r>
    <n v="45312"/>
    <x v="293"/>
    <x v="22"/>
    <x v="0"/>
    <x v="3"/>
    <x v="471"/>
    <n v="99.7"/>
    <n v="6"/>
    <n v="33.65"/>
    <x v="0"/>
    <x v="3"/>
  </r>
  <r>
    <n v="45312"/>
    <x v="293"/>
    <x v="22"/>
    <x v="0"/>
    <x v="3"/>
    <x v="93"/>
    <n v="27.94"/>
    <n v="4"/>
    <n v="9.43"/>
    <x v="0"/>
    <x v="3"/>
  </r>
  <r>
    <n v="45312"/>
    <x v="293"/>
    <x v="22"/>
    <x v="1"/>
    <x v="11"/>
    <x v="1778"/>
    <n v="84.98"/>
    <n v="1"/>
    <n v="18.7"/>
    <x v="0"/>
    <x v="3"/>
  </r>
  <r>
    <n v="45312"/>
    <x v="293"/>
    <x v="22"/>
    <x v="0"/>
    <x v="3"/>
    <x v="701"/>
    <n v="18.72"/>
    <n v="5"/>
    <n v="6.55"/>
    <x v="0"/>
    <x v="3"/>
  </r>
  <r>
    <n v="45312"/>
    <x v="577"/>
    <x v="25"/>
    <x v="0"/>
    <x v="2"/>
    <x v="892"/>
    <n v="348.21"/>
    <n v="7"/>
    <n v="30.47"/>
    <x v="0"/>
    <x v="3"/>
  </r>
  <r>
    <n v="45312"/>
    <x v="577"/>
    <x v="25"/>
    <x v="0"/>
    <x v="3"/>
    <x v="978"/>
    <n v="35.78"/>
    <n v="7"/>
    <n v="-28.63"/>
    <x v="0"/>
    <x v="3"/>
  </r>
  <r>
    <n v="45312"/>
    <x v="772"/>
    <x v="14"/>
    <x v="0"/>
    <x v="3"/>
    <x v="549"/>
    <n v="14.4"/>
    <n v="5"/>
    <n v="7.06"/>
    <x v="0"/>
    <x v="3"/>
  </r>
  <r>
    <n v="45312"/>
    <x v="772"/>
    <x v="14"/>
    <x v="2"/>
    <x v="9"/>
    <x v="1464"/>
    <n v="619.95000000000005"/>
    <n v="5"/>
    <n v="111.59"/>
    <x v="0"/>
    <x v="3"/>
  </r>
  <r>
    <n v="45312"/>
    <x v="772"/>
    <x v="14"/>
    <x v="0"/>
    <x v="3"/>
    <x v="88"/>
    <n v="89.52"/>
    <n v="4"/>
    <n v="42.07"/>
    <x v="0"/>
    <x v="3"/>
  </r>
  <r>
    <n v="45312"/>
    <x v="772"/>
    <x v="14"/>
    <x v="2"/>
    <x v="15"/>
    <x v="1795"/>
    <n v="350.97"/>
    <n v="3"/>
    <n v="152.09"/>
    <x v="0"/>
    <x v="3"/>
  </r>
  <r>
    <n v="45312"/>
    <x v="772"/>
    <x v="14"/>
    <x v="2"/>
    <x v="6"/>
    <x v="1432"/>
    <n v="164.99"/>
    <n v="1"/>
    <n v="49.5"/>
    <x v="0"/>
    <x v="3"/>
  </r>
  <r>
    <n v="45312"/>
    <x v="737"/>
    <x v="1"/>
    <x v="0"/>
    <x v="10"/>
    <x v="239"/>
    <n v="268.58"/>
    <n v="4"/>
    <n v="90.64"/>
    <x v="0"/>
    <x v="3"/>
  </r>
  <r>
    <n v="45313"/>
    <x v="525"/>
    <x v="35"/>
    <x v="2"/>
    <x v="16"/>
    <x v="1796"/>
    <n v="2999.95"/>
    <n v="5"/>
    <n v="1379.98"/>
    <x v="0"/>
    <x v="3"/>
  </r>
  <r>
    <n v="45313"/>
    <x v="525"/>
    <x v="35"/>
    <x v="0"/>
    <x v="2"/>
    <x v="1187"/>
    <n v="51.45"/>
    <n v="3"/>
    <n v="13.89"/>
    <x v="0"/>
    <x v="3"/>
  </r>
  <r>
    <n v="45313"/>
    <x v="525"/>
    <x v="35"/>
    <x v="0"/>
    <x v="0"/>
    <x v="689"/>
    <n v="11.96"/>
    <n v="2"/>
    <n v="5.38"/>
    <x v="0"/>
    <x v="3"/>
  </r>
  <r>
    <n v="45313"/>
    <x v="525"/>
    <x v="35"/>
    <x v="0"/>
    <x v="2"/>
    <x v="694"/>
    <n v="1126.02"/>
    <n v="3"/>
    <n v="56.3"/>
    <x v="0"/>
    <x v="3"/>
  </r>
  <r>
    <n v="45313"/>
    <x v="150"/>
    <x v="1"/>
    <x v="0"/>
    <x v="7"/>
    <x v="78"/>
    <n v="15.12"/>
    <n v="5"/>
    <n v="4.91"/>
    <x v="0"/>
    <x v="3"/>
  </r>
  <r>
    <n v="45313"/>
    <x v="150"/>
    <x v="1"/>
    <x v="0"/>
    <x v="4"/>
    <x v="608"/>
    <n v="7.87"/>
    <n v="3"/>
    <n v="0.89"/>
    <x v="0"/>
    <x v="3"/>
  </r>
  <r>
    <n v="45314"/>
    <x v="91"/>
    <x v="14"/>
    <x v="1"/>
    <x v="13"/>
    <x v="752"/>
    <n v="210.98"/>
    <n v="2"/>
    <n v="21.1"/>
    <x v="0"/>
    <x v="3"/>
  </r>
  <r>
    <n v="45314"/>
    <x v="10"/>
    <x v="22"/>
    <x v="0"/>
    <x v="3"/>
    <x v="1058"/>
    <n v="19.68"/>
    <n v="5"/>
    <n v="6.89"/>
    <x v="0"/>
    <x v="3"/>
  </r>
  <r>
    <n v="45314"/>
    <x v="10"/>
    <x v="22"/>
    <x v="0"/>
    <x v="0"/>
    <x v="1427"/>
    <n v="25.92"/>
    <n v="4"/>
    <n v="12.44"/>
    <x v="0"/>
    <x v="3"/>
  </r>
  <r>
    <n v="45314"/>
    <x v="10"/>
    <x v="22"/>
    <x v="0"/>
    <x v="0"/>
    <x v="1040"/>
    <n v="6.48"/>
    <n v="1"/>
    <n v="3.11"/>
    <x v="0"/>
    <x v="3"/>
  </r>
  <r>
    <n v="45314"/>
    <x v="10"/>
    <x v="22"/>
    <x v="2"/>
    <x v="6"/>
    <x v="227"/>
    <n v="86.35"/>
    <n v="6"/>
    <n v="8.64"/>
    <x v="0"/>
    <x v="3"/>
  </r>
  <r>
    <n v="45314"/>
    <x v="187"/>
    <x v="12"/>
    <x v="2"/>
    <x v="9"/>
    <x v="301"/>
    <n v="95.98"/>
    <n v="2"/>
    <n v="12"/>
    <x v="0"/>
    <x v="3"/>
  </r>
  <r>
    <n v="45314"/>
    <x v="187"/>
    <x v="12"/>
    <x v="0"/>
    <x v="3"/>
    <x v="647"/>
    <n v="4.9400000000000004"/>
    <n v="2"/>
    <n v="-3.62"/>
    <x v="0"/>
    <x v="3"/>
  </r>
  <r>
    <n v="45315"/>
    <x v="633"/>
    <x v="4"/>
    <x v="0"/>
    <x v="7"/>
    <x v="828"/>
    <n v="5.67"/>
    <n v="3"/>
    <n v="0.11"/>
    <x v="0"/>
    <x v="3"/>
  </r>
  <r>
    <n v="45315"/>
    <x v="435"/>
    <x v="3"/>
    <x v="0"/>
    <x v="12"/>
    <x v="882"/>
    <n v="25.86"/>
    <n v="3"/>
    <n v="6.72"/>
    <x v="0"/>
    <x v="3"/>
  </r>
  <r>
    <n v="45315"/>
    <x v="435"/>
    <x v="3"/>
    <x v="0"/>
    <x v="3"/>
    <x v="1644"/>
    <n v="276.77999999999997"/>
    <n v="2"/>
    <n v="89.95"/>
    <x v="0"/>
    <x v="3"/>
  </r>
  <r>
    <n v="45315"/>
    <x v="435"/>
    <x v="3"/>
    <x v="2"/>
    <x v="6"/>
    <x v="1585"/>
    <n v="110.35"/>
    <n v="3"/>
    <n v="8.2799999999999994"/>
    <x v="0"/>
    <x v="3"/>
  </r>
  <r>
    <n v="45317"/>
    <x v="27"/>
    <x v="33"/>
    <x v="0"/>
    <x v="4"/>
    <x v="1363"/>
    <n v="15.47"/>
    <n v="7"/>
    <n v="4.18"/>
    <x v="0"/>
    <x v="3"/>
  </r>
  <r>
    <n v="45317"/>
    <x v="27"/>
    <x v="33"/>
    <x v="0"/>
    <x v="3"/>
    <x v="824"/>
    <n v="7.16"/>
    <n v="2"/>
    <n v="3.44"/>
    <x v="0"/>
    <x v="3"/>
  </r>
  <r>
    <n v="45317"/>
    <x v="704"/>
    <x v="0"/>
    <x v="0"/>
    <x v="2"/>
    <x v="939"/>
    <n v="18.16"/>
    <n v="2"/>
    <n v="1.82"/>
    <x v="0"/>
    <x v="3"/>
  </r>
  <r>
    <n v="45317"/>
    <x v="740"/>
    <x v="3"/>
    <x v="0"/>
    <x v="7"/>
    <x v="293"/>
    <n v="11.84"/>
    <n v="8"/>
    <n v="5.68"/>
    <x v="0"/>
    <x v="3"/>
  </r>
  <r>
    <n v="45317"/>
    <x v="32"/>
    <x v="4"/>
    <x v="1"/>
    <x v="8"/>
    <x v="1436"/>
    <n v="62.72"/>
    <n v="4"/>
    <n v="24.46"/>
    <x v="0"/>
    <x v="3"/>
  </r>
  <r>
    <n v="45317"/>
    <x v="32"/>
    <x v="4"/>
    <x v="2"/>
    <x v="6"/>
    <x v="352"/>
    <n v="2939.93"/>
    <n v="7"/>
    <n v="764.38"/>
    <x v="0"/>
    <x v="3"/>
  </r>
  <r>
    <n v="45318"/>
    <x v="209"/>
    <x v="10"/>
    <x v="0"/>
    <x v="4"/>
    <x v="16"/>
    <n v="14.02"/>
    <n v="3"/>
    <n v="1.75"/>
    <x v="0"/>
    <x v="3"/>
  </r>
  <r>
    <n v="45318"/>
    <x v="209"/>
    <x v="10"/>
    <x v="2"/>
    <x v="9"/>
    <x v="1241"/>
    <n v="71.98"/>
    <n v="3"/>
    <n v="-9"/>
    <x v="0"/>
    <x v="3"/>
  </r>
  <r>
    <n v="45318"/>
    <x v="209"/>
    <x v="10"/>
    <x v="2"/>
    <x v="6"/>
    <x v="784"/>
    <n v="107.98"/>
    <n v="3"/>
    <n v="-27"/>
    <x v="0"/>
    <x v="3"/>
  </r>
  <r>
    <n v="45318"/>
    <x v="614"/>
    <x v="20"/>
    <x v="2"/>
    <x v="6"/>
    <x v="1585"/>
    <n v="137.94"/>
    <n v="3"/>
    <n v="35.86"/>
    <x v="0"/>
    <x v="3"/>
  </r>
  <r>
    <n v="45319"/>
    <x v="165"/>
    <x v="3"/>
    <x v="2"/>
    <x v="9"/>
    <x v="1699"/>
    <n v="239.97"/>
    <n v="3"/>
    <n v="26.4"/>
    <x v="0"/>
    <x v="3"/>
  </r>
  <r>
    <n v="45319"/>
    <x v="165"/>
    <x v="3"/>
    <x v="1"/>
    <x v="8"/>
    <x v="1716"/>
    <n v="37.74"/>
    <n v="3"/>
    <n v="12.83"/>
    <x v="0"/>
    <x v="3"/>
  </r>
  <r>
    <n v="45319"/>
    <x v="656"/>
    <x v="42"/>
    <x v="0"/>
    <x v="0"/>
    <x v="657"/>
    <n v="279.89999999999998"/>
    <n v="5"/>
    <n v="137.15"/>
    <x v="0"/>
    <x v="3"/>
  </r>
  <r>
    <n v="45319"/>
    <x v="750"/>
    <x v="20"/>
    <x v="2"/>
    <x v="9"/>
    <x v="399"/>
    <n v="449.91"/>
    <n v="9"/>
    <n v="157.47"/>
    <x v="0"/>
    <x v="3"/>
  </r>
  <r>
    <n v="45320"/>
    <x v="584"/>
    <x v="1"/>
    <x v="0"/>
    <x v="3"/>
    <x v="455"/>
    <n v="12.13"/>
    <n v="4"/>
    <n v="-20.62"/>
    <x v="0"/>
    <x v="3"/>
  </r>
  <r>
    <n v="45320"/>
    <x v="339"/>
    <x v="3"/>
    <x v="0"/>
    <x v="4"/>
    <x v="1729"/>
    <n v="8.34"/>
    <n v="3"/>
    <n v="2.17"/>
    <x v="0"/>
    <x v="3"/>
  </r>
  <r>
    <n v="45320"/>
    <x v="339"/>
    <x v="3"/>
    <x v="0"/>
    <x v="14"/>
    <x v="472"/>
    <n v="8.57"/>
    <n v="1"/>
    <n v="2.23"/>
    <x v="0"/>
    <x v="3"/>
  </r>
  <r>
    <n v="45320"/>
    <x v="339"/>
    <x v="3"/>
    <x v="0"/>
    <x v="3"/>
    <x v="604"/>
    <n v="119.62"/>
    <n v="8"/>
    <n v="40.369999999999997"/>
    <x v="0"/>
    <x v="3"/>
  </r>
  <r>
    <n v="45320"/>
    <x v="122"/>
    <x v="20"/>
    <x v="0"/>
    <x v="1"/>
    <x v="1046"/>
    <n v="5.22"/>
    <n v="2"/>
    <n v="2.4"/>
    <x v="0"/>
    <x v="3"/>
  </r>
  <r>
    <n v="45320"/>
    <x v="741"/>
    <x v="2"/>
    <x v="0"/>
    <x v="4"/>
    <x v="614"/>
    <n v="4.7699999999999996"/>
    <n v="2"/>
    <n v="0.48"/>
    <x v="0"/>
    <x v="3"/>
  </r>
  <r>
    <n v="45320"/>
    <x v="51"/>
    <x v="30"/>
    <x v="0"/>
    <x v="0"/>
    <x v="1257"/>
    <n v="12.96"/>
    <n v="2"/>
    <n v="6.22"/>
    <x v="0"/>
    <x v="3"/>
  </r>
  <r>
    <n v="45320"/>
    <x v="51"/>
    <x v="30"/>
    <x v="0"/>
    <x v="0"/>
    <x v="167"/>
    <n v="94.85"/>
    <n v="5"/>
    <n v="45.53"/>
    <x v="0"/>
    <x v="3"/>
  </r>
  <r>
    <n v="45320"/>
    <x v="51"/>
    <x v="30"/>
    <x v="0"/>
    <x v="2"/>
    <x v="1369"/>
    <n v="13.48"/>
    <n v="1"/>
    <n v="3.5"/>
    <x v="0"/>
    <x v="3"/>
  </r>
  <r>
    <n v="45320"/>
    <x v="51"/>
    <x v="30"/>
    <x v="1"/>
    <x v="8"/>
    <x v="20"/>
    <n v="14.91"/>
    <n v="3"/>
    <n v="4.62"/>
    <x v="0"/>
    <x v="3"/>
  </r>
  <r>
    <n v="45321"/>
    <x v="625"/>
    <x v="30"/>
    <x v="0"/>
    <x v="3"/>
    <x v="997"/>
    <n v="18.28"/>
    <n v="2"/>
    <n v="9.14"/>
    <x v="0"/>
    <x v="3"/>
  </r>
  <r>
    <n v="45321"/>
    <x v="625"/>
    <x v="30"/>
    <x v="2"/>
    <x v="6"/>
    <x v="35"/>
    <n v="207"/>
    <n v="3"/>
    <n v="51.75"/>
    <x v="0"/>
    <x v="3"/>
  </r>
  <r>
    <n v="45321"/>
    <x v="625"/>
    <x v="30"/>
    <x v="0"/>
    <x v="3"/>
    <x v="871"/>
    <n v="32.35"/>
    <n v="5"/>
    <n v="16.18"/>
    <x v="0"/>
    <x v="3"/>
  </r>
  <r>
    <n v="45321"/>
    <x v="625"/>
    <x v="30"/>
    <x v="0"/>
    <x v="3"/>
    <x v="483"/>
    <n v="7.71"/>
    <n v="1"/>
    <n v="3.47"/>
    <x v="0"/>
    <x v="3"/>
  </r>
  <r>
    <n v="45321"/>
    <x v="625"/>
    <x v="30"/>
    <x v="0"/>
    <x v="4"/>
    <x v="1473"/>
    <n v="40.299999999999997"/>
    <n v="2"/>
    <n v="10.88"/>
    <x v="0"/>
    <x v="3"/>
  </r>
  <r>
    <n v="45321"/>
    <x v="625"/>
    <x v="30"/>
    <x v="1"/>
    <x v="8"/>
    <x v="1659"/>
    <n v="34.58"/>
    <n v="7"/>
    <n v="14.52"/>
    <x v="0"/>
    <x v="3"/>
  </r>
  <r>
    <n v="45321"/>
    <x v="13"/>
    <x v="3"/>
    <x v="0"/>
    <x v="2"/>
    <x v="242"/>
    <n v="129.30000000000001"/>
    <n v="2"/>
    <n v="6.47"/>
    <x v="0"/>
    <x v="3"/>
  </r>
  <r>
    <n v="45321"/>
    <x v="469"/>
    <x v="3"/>
    <x v="0"/>
    <x v="4"/>
    <x v="1559"/>
    <n v="12.74"/>
    <n v="7"/>
    <n v="5.73"/>
    <x v="0"/>
    <x v="3"/>
  </r>
  <r>
    <n v="45321"/>
    <x v="469"/>
    <x v="3"/>
    <x v="0"/>
    <x v="4"/>
    <x v="1772"/>
    <n v="8.82"/>
    <n v="3"/>
    <n v="2.38"/>
    <x v="0"/>
    <x v="3"/>
  </r>
  <r>
    <n v="45321"/>
    <x v="469"/>
    <x v="3"/>
    <x v="1"/>
    <x v="5"/>
    <x v="120"/>
    <n v="120.78"/>
    <n v="1"/>
    <n v="-13.59"/>
    <x v="0"/>
    <x v="3"/>
  </r>
  <r>
    <n v="45321"/>
    <x v="185"/>
    <x v="16"/>
    <x v="1"/>
    <x v="5"/>
    <x v="1609"/>
    <n v="419.14"/>
    <n v="4"/>
    <n v="-68.11"/>
    <x v="0"/>
    <x v="3"/>
  </r>
  <r>
    <n v="45321"/>
    <x v="760"/>
    <x v="1"/>
    <x v="1"/>
    <x v="13"/>
    <x v="71"/>
    <n v="69.38"/>
    <n v="1"/>
    <n v="-47.18"/>
    <x v="0"/>
    <x v="3"/>
  </r>
  <r>
    <n v="45321"/>
    <x v="760"/>
    <x v="1"/>
    <x v="0"/>
    <x v="14"/>
    <x v="1452"/>
    <n v="31.68"/>
    <n v="4"/>
    <n v="2.77"/>
    <x v="0"/>
    <x v="3"/>
  </r>
  <r>
    <n v="45321"/>
    <x v="760"/>
    <x v="1"/>
    <x v="2"/>
    <x v="6"/>
    <x v="1085"/>
    <n v="2003.17"/>
    <n v="4"/>
    <n v="250.4"/>
    <x v="0"/>
    <x v="3"/>
  </r>
  <r>
    <n v="45321"/>
    <x v="760"/>
    <x v="1"/>
    <x v="0"/>
    <x v="4"/>
    <x v="1451"/>
    <n v="9.34"/>
    <n v="2"/>
    <n v="3.15"/>
    <x v="0"/>
    <x v="3"/>
  </r>
  <r>
    <n v="45321"/>
    <x v="381"/>
    <x v="22"/>
    <x v="2"/>
    <x v="6"/>
    <x v="482"/>
    <n v="604.77"/>
    <n v="4"/>
    <n v="60.48"/>
    <x v="0"/>
    <x v="3"/>
  </r>
  <r>
    <n v="45324"/>
    <x v="360"/>
    <x v="10"/>
    <x v="2"/>
    <x v="6"/>
    <x v="1605"/>
    <n v="59.97"/>
    <n v="5"/>
    <n v="-11.99"/>
    <x v="1"/>
    <x v="3"/>
  </r>
  <r>
    <n v="45324"/>
    <x v="360"/>
    <x v="10"/>
    <x v="0"/>
    <x v="0"/>
    <x v="646"/>
    <n v="78.3"/>
    <n v="2"/>
    <n v="29.36"/>
    <x v="1"/>
    <x v="3"/>
  </r>
  <r>
    <n v="45324"/>
    <x v="360"/>
    <x v="10"/>
    <x v="0"/>
    <x v="7"/>
    <x v="78"/>
    <n v="21.46"/>
    <n v="9"/>
    <n v="6.97"/>
    <x v="1"/>
    <x v="3"/>
  </r>
  <r>
    <n v="45324"/>
    <x v="154"/>
    <x v="3"/>
    <x v="1"/>
    <x v="8"/>
    <x v="562"/>
    <n v="86.26"/>
    <n v="2"/>
    <n v="29.33"/>
    <x v="1"/>
    <x v="3"/>
  </r>
  <r>
    <n v="45324"/>
    <x v="154"/>
    <x v="3"/>
    <x v="0"/>
    <x v="2"/>
    <x v="982"/>
    <n v="139.04"/>
    <n v="4"/>
    <n v="38.93"/>
    <x v="1"/>
    <x v="3"/>
  </r>
  <r>
    <n v="45324"/>
    <x v="154"/>
    <x v="3"/>
    <x v="0"/>
    <x v="12"/>
    <x v="1787"/>
    <n v="46.8"/>
    <n v="4"/>
    <n v="16.38"/>
    <x v="1"/>
    <x v="3"/>
  </r>
  <r>
    <n v="45324"/>
    <x v="731"/>
    <x v="3"/>
    <x v="1"/>
    <x v="8"/>
    <x v="1401"/>
    <n v="210.58"/>
    <n v="2"/>
    <n v="12.63"/>
    <x v="1"/>
    <x v="3"/>
  </r>
  <r>
    <n v="45324"/>
    <x v="731"/>
    <x v="3"/>
    <x v="0"/>
    <x v="3"/>
    <x v="326"/>
    <n v="30.96"/>
    <n v="2"/>
    <n v="10.06"/>
    <x v="1"/>
    <x v="3"/>
  </r>
  <r>
    <n v="45324"/>
    <x v="731"/>
    <x v="3"/>
    <x v="2"/>
    <x v="15"/>
    <x v="1797"/>
    <n v="239.98"/>
    <n v="2"/>
    <n v="39"/>
    <x v="1"/>
    <x v="3"/>
  </r>
  <r>
    <n v="45325"/>
    <x v="550"/>
    <x v="10"/>
    <x v="0"/>
    <x v="3"/>
    <x v="246"/>
    <n v="5.23"/>
    <n v="3"/>
    <n v="-4.18"/>
    <x v="1"/>
    <x v="3"/>
  </r>
  <r>
    <n v="45325"/>
    <x v="550"/>
    <x v="10"/>
    <x v="0"/>
    <x v="2"/>
    <x v="168"/>
    <n v="285.55"/>
    <n v="2"/>
    <n v="35.69"/>
    <x v="1"/>
    <x v="3"/>
  </r>
  <r>
    <n v="45325"/>
    <x v="59"/>
    <x v="16"/>
    <x v="0"/>
    <x v="3"/>
    <x v="871"/>
    <n v="3.88"/>
    <n v="2"/>
    <n v="-2.59"/>
    <x v="1"/>
    <x v="3"/>
  </r>
  <r>
    <n v="45325"/>
    <x v="59"/>
    <x v="16"/>
    <x v="0"/>
    <x v="0"/>
    <x v="1747"/>
    <n v="115.3"/>
    <n v="3"/>
    <n v="40.35"/>
    <x v="1"/>
    <x v="3"/>
  </r>
  <r>
    <n v="45325"/>
    <x v="476"/>
    <x v="1"/>
    <x v="0"/>
    <x v="0"/>
    <x v="507"/>
    <n v="5.18"/>
    <n v="1"/>
    <n v="1.81"/>
    <x v="1"/>
    <x v="3"/>
  </r>
  <r>
    <n v="45325"/>
    <x v="476"/>
    <x v="1"/>
    <x v="0"/>
    <x v="0"/>
    <x v="1025"/>
    <n v="65.58"/>
    <n v="2"/>
    <n v="23.77"/>
    <x v="1"/>
    <x v="3"/>
  </r>
  <r>
    <n v="45325"/>
    <x v="476"/>
    <x v="1"/>
    <x v="1"/>
    <x v="8"/>
    <x v="195"/>
    <n v="22.2"/>
    <n v="1"/>
    <n v="-26.09"/>
    <x v="1"/>
    <x v="3"/>
  </r>
  <r>
    <n v="45325"/>
    <x v="476"/>
    <x v="1"/>
    <x v="0"/>
    <x v="0"/>
    <x v="600"/>
    <n v="419.4"/>
    <n v="5"/>
    <n v="146.79"/>
    <x v="1"/>
    <x v="3"/>
  </r>
  <r>
    <n v="45326"/>
    <x v="705"/>
    <x v="20"/>
    <x v="0"/>
    <x v="12"/>
    <x v="188"/>
    <n v="32.67"/>
    <n v="3"/>
    <n v="8.49"/>
    <x v="1"/>
    <x v="3"/>
  </r>
  <r>
    <n v="45327"/>
    <x v="92"/>
    <x v="0"/>
    <x v="0"/>
    <x v="3"/>
    <x v="8"/>
    <n v="243.99"/>
    <n v="4"/>
    <n v="-426.99"/>
    <x v="1"/>
    <x v="3"/>
  </r>
  <r>
    <n v="45327"/>
    <x v="92"/>
    <x v="0"/>
    <x v="0"/>
    <x v="4"/>
    <x v="108"/>
    <n v="7.12"/>
    <n v="5"/>
    <n v="0.71"/>
    <x v="1"/>
    <x v="3"/>
  </r>
  <r>
    <n v="45327"/>
    <x v="452"/>
    <x v="3"/>
    <x v="0"/>
    <x v="12"/>
    <x v="1512"/>
    <n v="1640.7"/>
    <n v="5"/>
    <n v="459.4"/>
    <x v="1"/>
    <x v="3"/>
  </r>
  <r>
    <n v="45327"/>
    <x v="452"/>
    <x v="3"/>
    <x v="2"/>
    <x v="6"/>
    <x v="446"/>
    <n v="371.2"/>
    <n v="5"/>
    <n v="41.76"/>
    <x v="1"/>
    <x v="3"/>
  </r>
  <r>
    <n v="45328"/>
    <x v="20"/>
    <x v="6"/>
    <x v="1"/>
    <x v="11"/>
    <x v="1049"/>
    <n v="359.97"/>
    <n v="3"/>
    <n v="79.19"/>
    <x v="1"/>
    <x v="3"/>
  </r>
  <r>
    <n v="45328"/>
    <x v="741"/>
    <x v="20"/>
    <x v="1"/>
    <x v="11"/>
    <x v="1248"/>
    <n v="240.78"/>
    <n v="1"/>
    <n v="30.1"/>
    <x v="1"/>
    <x v="3"/>
  </r>
  <r>
    <n v="45328"/>
    <x v="457"/>
    <x v="20"/>
    <x v="2"/>
    <x v="6"/>
    <x v="450"/>
    <n v="227.46"/>
    <n v="6"/>
    <n v="65.959999999999994"/>
    <x v="1"/>
    <x v="3"/>
  </r>
  <r>
    <n v="45328"/>
    <x v="457"/>
    <x v="20"/>
    <x v="0"/>
    <x v="3"/>
    <x v="1693"/>
    <n v="46.24"/>
    <n v="4"/>
    <n v="15.61"/>
    <x v="1"/>
    <x v="3"/>
  </r>
  <r>
    <n v="45328"/>
    <x v="659"/>
    <x v="3"/>
    <x v="0"/>
    <x v="0"/>
    <x v="258"/>
    <n v="29.9"/>
    <n v="5"/>
    <n v="13.46"/>
    <x v="1"/>
    <x v="3"/>
  </r>
  <r>
    <n v="45331"/>
    <x v="717"/>
    <x v="0"/>
    <x v="0"/>
    <x v="3"/>
    <x v="1665"/>
    <n v="252.78"/>
    <n v="4"/>
    <n v="-417.09"/>
    <x v="1"/>
    <x v="3"/>
  </r>
  <r>
    <n v="45331"/>
    <x v="717"/>
    <x v="0"/>
    <x v="2"/>
    <x v="9"/>
    <x v="1300"/>
    <n v="127.98"/>
    <n v="2"/>
    <n v="16"/>
    <x v="1"/>
    <x v="3"/>
  </r>
  <r>
    <n v="45331"/>
    <x v="717"/>
    <x v="0"/>
    <x v="1"/>
    <x v="8"/>
    <x v="517"/>
    <n v="3.98"/>
    <n v="2"/>
    <n v="-2.69"/>
    <x v="1"/>
    <x v="3"/>
  </r>
  <r>
    <n v="45331"/>
    <x v="717"/>
    <x v="0"/>
    <x v="0"/>
    <x v="12"/>
    <x v="1771"/>
    <n v="12.99"/>
    <n v="2"/>
    <n v="-32.479999999999997"/>
    <x v="1"/>
    <x v="3"/>
  </r>
  <r>
    <n v="45331"/>
    <x v="44"/>
    <x v="3"/>
    <x v="1"/>
    <x v="8"/>
    <x v="984"/>
    <n v="21.12"/>
    <n v="4"/>
    <n v="6.55"/>
    <x v="1"/>
    <x v="3"/>
  </r>
  <r>
    <n v="45331"/>
    <x v="242"/>
    <x v="3"/>
    <x v="0"/>
    <x v="2"/>
    <x v="135"/>
    <n v="354.9"/>
    <n v="5"/>
    <n v="17.75"/>
    <x v="1"/>
    <x v="3"/>
  </r>
  <r>
    <n v="45332"/>
    <x v="109"/>
    <x v="3"/>
    <x v="1"/>
    <x v="11"/>
    <x v="1049"/>
    <n v="203.98"/>
    <n v="2"/>
    <n v="16.8"/>
    <x v="1"/>
    <x v="3"/>
  </r>
  <r>
    <n v="45332"/>
    <x v="46"/>
    <x v="36"/>
    <x v="0"/>
    <x v="0"/>
    <x v="1479"/>
    <n v="23.12"/>
    <n v="4"/>
    <n v="11.33"/>
    <x v="1"/>
    <x v="3"/>
  </r>
  <r>
    <n v="45333"/>
    <x v="197"/>
    <x v="3"/>
    <x v="0"/>
    <x v="3"/>
    <x v="596"/>
    <n v="21.34"/>
    <n v="7"/>
    <n v="7.73"/>
    <x v="1"/>
    <x v="3"/>
  </r>
  <r>
    <n v="45333"/>
    <x v="568"/>
    <x v="22"/>
    <x v="1"/>
    <x v="5"/>
    <x v="149"/>
    <n v="963.14"/>
    <n v="4"/>
    <n v="108.35"/>
    <x v="1"/>
    <x v="3"/>
  </r>
  <r>
    <n v="45333"/>
    <x v="568"/>
    <x v="22"/>
    <x v="2"/>
    <x v="6"/>
    <x v="550"/>
    <n v="88.78"/>
    <n v="3"/>
    <n v="7.77"/>
    <x v="1"/>
    <x v="3"/>
  </r>
  <r>
    <n v="45333"/>
    <x v="351"/>
    <x v="20"/>
    <x v="0"/>
    <x v="1"/>
    <x v="1655"/>
    <n v="20.7"/>
    <n v="2"/>
    <n v="9.94"/>
    <x v="1"/>
    <x v="3"/>
  </r>
  <r>
    <n v="45333"/>
    <x v="226"/>
    <x v="10"/>
    <x v="1"/>
    <x v="8"/>
    <x v="1630"/>
    <n v="147.57"/>
    <n v="2"/>
    <n v="-3.69"/>
    <x v="1"/>
    <x v="3"/>
  </r>
  <r>
    <n v="45335"/>
    <x v="681"/>
    <x v="22"/>
    <x v="0"/>
    <x v="4"/>
    <x v="1363"/>
    <n v="6.63"/>
    <n v="3"/>
    <n v="1.79"/>
    <x v="1"/>
    <x v="3"/>
  </r>
  <r>
    <n v="45335"/>
    <x v="681"/>
    <x v="22"/>
    <x v="2"/>
    <x v="9"/>
    <x v="1390"/>
    <n v="799.96"/>
    <n v="4"/>
    <n v="343.98"/>
    <x v="1"/>
    <x v="3"/>
  </r>
  <r>
    <n v="45335"/>
    <x v="681"/>
    <x v="22"/>
    <x v="1"/>
    <x v="8"/>
    <x v="1573"/>
    <n v="107.53"/>
    <n v="1"/>
    <n v="21.51"/>
    <x v="1"/>
    <x v="3"/>
  </r>
  <r>
    <n v="45335"/>
    <x v="149"/>
    <x v="36"/>
    <x v="0"/>
    <x v="14"/>
    <x v="1268"/>
    <n v="25.02"/>
    <n v="3"/>
    <n v="6.51"/>
    <x v="1"/>
    <x v="3"/>
  </r>
  <r>
    <n v="45335"/>
    <x v="149"/>
    <x v="36"/>
    <x v="0"/>
    <x v="4"/>
    <x v="1321"/>
    <n v="10.71"/>
    <n v="3"/>
    <n v="2.78"/>
    <x v="1"/>
    <x v="3"/>
  </r>
  <r>
    <n v="45335"/>
    <x v="359"/>
    <x v="20"/>
    <x v="0"/>
    <x v="0"/>
    <x v="938"/>
    <n v="17.940000000000001"/>
    <n v="3"/>
    <n v="8.7899999999999991"/>
    <x v="1"/>
    <x v="3"/>
  </r>
  <r>
    <n v="45335"/>
    <x v="294"/>
    <x v="28"/>
    <x v="0"/>
    <x v="12"/>
    <x v="787"/>
    <n v="90.64"/>
    <n v="8"/>
    <n v="38.979999999999997"/>
    <x v="1"/>
    <x v="3"/>
  </r>
  <r>
    <n v="45338"/>
    <x v="321"/>
    <x v="20"/>
    <x v="0"/>
    <x v="0"/>
    <x v="1011"/>
    <n v="37.94"/>
    <n v="2"/>
    <n v="18.21"/>
    <x v="1"/>
    <x v="3"/>
  </r>
  <r>
    <n v="45338"/>
    <x v="537"/>
    <x v="37"/>
    <x v="0"/>
    <x v="2"/>
    <x v="917"/>
    <n v="579.51"/>
    <n v="3"/>
    <n v="81.13"/>
    <x v="1"/>
    <x v="3"/>
  </r>
  <r>
    <n v="45338"/>
    <x v="537"/>
    <x v="37"/>
    <x v="2"/>
    <x v="6"/>
    <x v="1456"/>
    <n v="14.99"/>
    <n v="1"/>
    <n v="7.35"/>
    <x v="1"/>
    <x v="3"/>
  </r>
  <r>
    <n v="45338"/>
    <x v="55"/>
    <x v="1"/>
    <x v="0"/>
    <x v="7"/>
    <x v="693"/>
    <n v="18.37"/>
    <n v="2"/>
    <n v="6.2"/>
    <x v="1"/>
    <x v="3"/>
  </r>
  <r>
    <n v="45338"/>
    <x v="55"/>
    <x v="1"/>
    <x v="1"/>
    <x v="5"/>
    <x v="7"/>
    <n v="600.55999999999995"/>
    <n v="3"/>
    <n v="-8.58"/>
    <x v="1"/>
    <x v="3"/>
  </r>
  <r>
    <n v="45338"/>
    <x v="55"/>
    <x v="1"/>
    <x v="0"/>
    <x v="2"/>
    <x v="916"/>
    <n v="50.35"/>
    <n v="3"/>
    <n v="-8.18"/>
    <x v="1"/>
    <x v="3"/>
  </r>
  <r>
    <n v="45338"/>
    <x v="55"/>
    <x v="1"/>
    <x v="0"/>
    <x v="4"/>
    <x v="16"/>
    <n v="28.03"/>
    <n v="6"/>
    <n v="3.5"/>
    <x v="1"/>
    <x v="3"/>
  </r>
  <r>
    <n v="45338"/>
    <x v="55"/>
    <x v="1"/>
    <x v="1"/>
    <x v="8"/>
    <x v="192"/>
    <n v="7.69"/>
    <n v="1"/>
    <n v="-3.65"/>
    <x v="1"/>
    <x v="3"/>
  </r>
  <r>
    <n v="45339"/>
    <x v="488"/>
    <x v="1"/>
    <x v="1"/>
    <x v="13"/>
    <x v="1161"/>
    <n v="480.96"/>
    <n v="3"/>
    <n v="-269.33999999999997"/>
    <x v="1"/>
    <x v="3"/>
  </r>
  <r>
    <n v="45339"/>
    <x v="488"/>
    <x v="1"/>
    <x v="2"/>
    <x v="6"/>
    <x v="1572"/>
    <n v="124.79"/>
    <n v="1"/>
    <n v="10.92"/>
    <x v="1"/>
    <x v="3"/>
  </r>
  <r>
    <n v="45339"/>
    <x v="172"/>
    <x v="8"/>
    <x v="2"/>
    <x v="6"/>
    <x v="1506"/>
    <n v="29.16"/>
    <n v="3"/>
    <n v="8.4600000000000009"/>
    <x v="1"/>
    <x v="3"/>
  </r>
  <r>
    <n v="45339"/>
    <x v="292"/>
    <x v="23"/>
    <x v="0"/>
    <x v="0"/>
    <x v="903"/>
    <n v="11.76"/>
    <n v="2"/>
    <n v="5.76"/>
    <x v="1"/>
    <x v="3"/>
  </r>
  <r>
    <n v="45339"/>
    <x v="292"/>
    <x v="23"/>
    <x v="0"/>
    <x v="2"/>
    <x v="53"/>
    <n v="166.45"/>
    <n v="5"/>
    <n v="39.950000000000003"/>
    <x v="1"/>
    <x v="3"/>
  </r>
  <r>
    <n v="45339"/>
    <x v="601"/>
    <x v="0"/>
    <x v="1"/>
    <x v="11"/>
    <x v="1009"/>
    <n v="89.07"/>
    <n v="1"/>
    <n v="-17.03"/>
    <x v="1"/>
    <x v="3"/>
  </r>
  <r>
    <n v="45339"/>
    <x v="601"/>
    <x v="0"/>
    <x v="0"/>
    <x v="4"/>
    <x v="922"/>
    <n v="175.44"/>
    <n v="6"/>
    <n v="52.63"/>
    <x v="1"/>
    <x v="3"/>
  </r>
  <r>
    <n v="45339"/>
    <x v="601"/>
    <x v="0"/>
    <x v="2"/>
    <x v="6"/>
    <x v="687"/>
    <n v="438.34"/>
    <n v="4"/>
    <n v="-87.67"/>
    <x v="1"/>
    <x v="3"/>
  </r>
  <r>
    <n v="45339"/>
    <x v="79"/>
    <x v="10"/>
    <x v="1"/>
    <x v="13"/>
    <x v="295"/>
    <n v="455.97"/>
    <n v="5"/>
    <n v="-106.39"/>
    <x v="1"/>
    <x v="3"/>
  </r>
  <r>
    <n v="45339"/>
    <x v="79"/>
    <x v="10"/>
    <x v="0"/>
    <x v="3"/>
    <x v="343"/>
    <n v="5.72"/>
    <n v="5"/>
    <n v="-4.76"/>
    <x v="1"/>
    <x v="3"/>
  </r>
  <r>
    <n v="45339"/>
    <x v="79"/>
    <x v="10"/>
    <x v="2"/>
    <x v="6"/>
    <x v="827"/>
    <n v="57.59"/>
    <n v="1"/>
    <n v="-11.52"/>
    <x v="1"/>
    <x v="3"/>
  </r>
  <r>
    <n v="45339"/>
    <x v="79"/>
    <x v="10"/>
    <x v="1"/>
    <x v="8"/>
    <x v="1310"/>
    <n v="30.14"/>
    <n v="2"/>
    <n v="8.2899999999999991"/>
    <x v="1"/>
    <x v="3"/>
  </r>
  <r>
    <n v="45339"/>
    <x v="79"/>
    <x v="10"/>
    <x v="1"/>
    <x v="5"/>
    <x v="435"/>
    <n v="899.43"/>
    <n v="5"/>
    <n v="-12.85"/>
    <x v="1"/>
    <x v="3"/>
  </r>
  <r>
    <n v="45340"/>
    <x v="755"/>
    <x v="3"/>
    <x v="2"/>
    <x v="6"/>
    <x v="1727"/>
    <n v="167.98"/>
    <n v="3"/>
    <n v="10.5"/>
    <x v="1"/>
    <x v="3"/>
  </r>
  <r>
    <n v="45340"/>
    <x v="755"/>
    <x v="3"/>
    <x v="2"/>
    <x v="9"/>
    <x v="1003"/>
    <n v="109.53"/>
    <n v="3"/>
    <n v="47.1"/>
    <x v="1"/>
    <x v="3"/>
  </r>
  <r>
    <n v="45340"/>
    <x v="755"/>
    <x v="3"/>
    <x v="0"/>
    <x v="1"/>
    <x v="1676"/>
    <n v="9.82"/>
    <n v="2"/>
    <n v="4.8099999999999996"/>
    <x v="1"/>
    <x v="3"/>
  </r>
  <r>
    <n v="45341"/>
    <x v="62"/>
    <x v="4"/>
    <x v="0"/>
    <x v="12"/>
    <x v="783"/>
    <n v="1245.8599999999999"/>
    <n v="7"/>
    <n v="361.3"/>
    <x v="1"/>
    <x v="3"/>
  </r>
  <r>
    <n v="45341"/>
    <x v="297"/>
    <x v="22"/>
    <x v="0"/>
    <x v="7"/>
    <x v="1534"/>
    <n v="11.22"/>
    <n v="3"/>
    <n v="0.22"/>
    <x v="1"/>
    <x v="3"/>
  </r>
  <r>
    <n v="45341"/>
    <x v="341"/>
    <x v="3"/>
    <x v="0"/>
    <x v="4"/>
    <x v="806"/>
    <n v="12.84"/>
    <n v="3"/>
    <n v="3.47"/>
    <x v="1"/>
    <x v="3"/>
  </r>
  <r>
    <n v="45341"/>
    <x v="341"/>
    <x v="3"/>
    <x v="1"/>
    <x v="8"/>
    <x v="630"/>
    <n v="44.67"/>
    <n v="3"/>
    <n v="12.06"/>
    <x v="1"/>
    <x v="3"/>
  </r>
  <r>
    <n v="45342"/>
    <x v="698"/>
    <x v="3"/>
    <x v="1"/>
    <x v="8"/>
    <x v="1150"/>
    <n v="22.23"/>
    <n v="1"/>
    <n v="7.34"/>
    <x v="1"/>
    <x v="3"/>
  </r>
  <r>
    <n v="45342"/>
    <x v="698"/>
    <x v="3"/>
    <x v="2"/>
    <x v="6"/>
    <x v="1094"/>
    <n v="215.97"/>
    <n v="2"/>
    <n v="18.899999999999999"/>
    <x v="1"/>
    <x v="3"/>
  </r>
  <r>
    <n v="45342"/>
    <x v="425"/>
    <x v="39"/>
    <x v="0"/>
    <x v="4"/>
    <x v="44"/>
    <n v="6.56"/>
    <n v="2"/>
    <n v="1.9"/>
    <x v="1"/>
    <x v="3"/>
  </r>
  <r>
    <n v="45342"/>
    <x v="425"/>
    <x v="39"/>
    <x v="0"/>
    <x v="12"/>
    <x v="1280"/>
    <n v="13.11"/>
    <n v="3"/>
    <n v="3.41"/>
    <x v="1"/>
    <x v="3"/>
  </r>
  <r>
    <n v="45342"/>
    <x v="244"/>
    <x v="26"/>
    <x v="0"/>
    <x v="7"/>
    <x v="78"/>
    <n v="9.43"/>
    <n v="3"/>
    <n v="3.07"/>
    <x v="1"/>
    <x v="3"/>
  </r>
  <r>
    <n v="45342"/>
    <x v="307"/>
    <x v="12"/>
    <x v="2"/>
    <x v="6"/>
    <x v="1008"/>
    <n v="333.58"/>
    <n v="3"/>
    <n v="25.02"/>
    <x v="1"/>
    <x v="3"/>
  </r>
  <r>
    <n v="45342"/>
    <x v="307"/>
    <x v="12"/>
    <x v="2"/>
    <x v="9"/>
    <x v="1798"/>
    <n v="31.99"/>
    <n v="1"/>
    <n v="4.8"/>
    <x v="1"/>
    <x v="3"/>
  </r>
  <r>
    <n v="45342"/>
    <x v="307"/>
    <x v="12"/>
    <x v="0"/>
    <x v="2"/>
    <x v="555"/>
    <n v="51.17"/>
    <n v="2"/>
    <n v="-6.4"/>
    <x v="1"/>
    <x v="3"/>
  </r>
  <r>
    <n v="45342"/>
    <x v="307"/>
    <x v="12"/>
    <x v="0"/>
    <x v="10"/>
    <x v="905"/>
    <n v="10.64"/>
    <n v="5"/>
    <n v="3.86"/>
    <x v="1"/>
    <x v="3"/>
  </r>
  <r>
    <n v="45342"/>
    <x v="307"/>
    <x v="12"/>
    <x v="1"/>
    <x v="8"/>
    <x v="985"/>
    <n v="68.7"/>
    <n v="2"/>
    <n v="16.32"/>
    <x v="1"/>
    <x v="3"/>
  </r>
  <r>
    <n v="45342"/>
    <x v="307"/>
    <x v="12"/>
    <x v="1"/>
    <x v="13"/>
    <x v="278"/>
    <n v="386.91"/>
    <n v="9"/>
    <n v="-185.72"/>
    <x v="1"/>
    <x v="3"/>
  </r>
  <r>
    <n v="45343"/>
    <x v="610"/>
    <x v="0"/>
    <x v="2"/>
    <x v="9"/>
    <x v="620"/>
    <n v="47.9"/>
    <n v="1"/>
    <n v="-2.99"/>
    <x v="1"/>
    <x v="3"/>
  </r>
  <r>
    <n v="45345"/>
    <x v="584"/>
    <x v="3"/>
    <x v="0"/>
    <x v="0"/>
    <x v="1399"/>
    <n v="37.44"/>
    <n v="6"/>
    <n v="16.850000000000001"/>
    <x v="1"/>
    <x v="3"/>
  </r>
  <r>
    <n v="45345"/>
    <x v="689"/>
    <x v="22"/>
    <x v="0"/>
    <x v="7"/>
    <x v="1538"/>
    <n v="8.4"/>
    <n v="5"/>
    <n v="0.34"/>
    <x v="1"/>
    <x v="3"/>
  </r>
  <r>
    <n v="45345"/>
    <x v="689"/>
    <x v="22"/>
    <x v="2"/>
    <x v="6"/>
    <x v="764"/>
    <n v="71.959999999999994"/>
    <n v="5"/>
    <n v="25.19"/>
    <x v="1"/>
    <x v="3"/>
  </r>
  <r>
    <n v="45346"/>
    <x v="710"/>
    <x v="2"/>
    <x v="0"/>
    <x v="3"/>
    <x v="333"/>
    <n v="4.96"/>
    <n v="4"/>
    <n v="-3.8"/>
    <x v="1"/>
    <x v="3"/>
  </r>
  <r>
    <n v="45346"/>
    <x v="442"/>
    <x v="2"/>
    <x v="0"/>
    <x v="0"/>
    <x v="728"/>
    <n v="123.92"/>
    <n v="5"/>
    <n v="38.729999999999997"/>
    <x v="1"/>
    <x v="3"/>
  </r>
  <r>
    <n v="45346"/>
    <x v="442"/>
    <x v="2"/>
    <x v="2"/>
    <x v="9"/>
    <x v="1146"/>
    <n v="1319.8"/>
    <n v="5"/>
    <n v="214.47"/>
    <x v="1"/>
    <x v="3"/>
  </r>
  <r>
    <n v="45347"/>
    <x v="289"/>
    <x v="1"/>
    <x v="0"/>
    <x v="3"/>
    <x v="566"/>
    <n v="1.79"/>
    <n v="3"/>
    <n v="-3.04"/>
    <x v="1"/>
    <x v="3"/>
  </r>
  <r>
    <n v="45347"/>
    <x v="308"/>
    <x v="25"/>
    <x v="1"/>
    <x v="5"/>
    <x v="561"/>
    <n v="196.78"/>
    <n v="2"/>
    <n v="-22.14"/>
    <x v="1"/>
    <x v="3"/>
  </r>
  <r>
    <n v="45347"/>
    <x v="308"/>
    <x v="25"/>
    <x v="1"/>
    <x v="11"/>
    <x v="1419"/>
    <n v="231.92"/>
    <n v="5"/>
    <n v="5.8"/>
    <x v="1"/>
    <x v="3"/>
  </r>
  <r>
    <n v="45348"/>
    <x v="214"/>
    <x v="3"/>
    <x v="0"/>
    <x v="12"/>
    <x v="808"/>
    <n v="81.92"/>
    <n v="4"/>
    <n v="22.12"/>
    <x v="1"/>
    <x v="3"/>
  </r>
  <r>
    <n v="45348"/>
    <x v="214"/>
    <x v="3"/>
    <x v="2"/>
    <x v="6"/>
    <x v="1008"/>
    <n v="889.54"/>
    <n v="8"/>
    <n v="66.72"/>
    <x v="1"/>
    <x v="3"/>
  </r>
  <r>
    <n v="45348"/>
    <x v="214"/>
    <x v="3"/>
    <x v="1"/>
    <x v="5"/>
    <x v="341"/>
    <n v="892.22"/>
    <n v="3"/>
    <n v="89.22"/>
    <x v="1"/>
    <x v="3"/>
  </r>
  <r>
    <n v="45348"/>
    <x v="214"/>
    <x v="3"/>
    <x v="0"/>
    <x v="0"/>
    <x v="1463"/>
    <n v="223.92"/>
    <n v="4"/>
    <n v="109.72"/>
    <x v="1"/>
    <x v="3"/>
  </r>
  <r>
    <n v="45348"/>
    <x v="214"/>
    <x v="3"/>
    <x v="0"/>
    <x v="0"/>
    <x v="834"/>
    <n v="23.12"/>
    <n v="4"/>
    <n v="11.33"/>
    <x v="1"/>
    <x v="3"/>
  </r>
  <r>
    <n v="45348"/>
    <x v="383"/>
    <x v="3"/>
    <x v="0"/>
    <x v="12"/>
    <x v="704"/>
    <n v="356.79"/>
    <n v="7"/>
    <n v="99.9"/>
    <x v="1"/>
    <x v="3"/>
  </r>
  <r>
    <n v="45348"/>
    <x v="56"/>
    <x v="3"/>
    <x v="1"/>
    <x v="8"/>
    <x v="282"/>
    <n v="91.96"/>
    <n v="2"/>
    <n v="15.63"/>
    <x v="1"/>
    <x v="3"/>
  </r>
  <r>
    <n v="45348"/>
    <x v="56"/>
    <x v="3"/>
    <x v="2"/>
    <x v="6"/>
    <x v="86"/>
    <n v="258.58"/>
    <n v="2"/>
    <n v="19.39"/>
    <x v="1"/>
    <x v="3"/>
  </r>
  <r>
    <n v="45348"/>
    <x v="56"/>
    <x v="3"/>
    <x v="0"/>
    <x v="0"/>
    <x v="1216"/>
    <n v="29.6"/>
    <n v="4"/>
    <n v="13.32"/>
    <x v="1"/>
    <x v="3"/>
  </r>
  <r>
    <n v="45350"/>
    <x v="257"/>
    <x v="37"/>
    <x v="0"/>
    <x v="3"/>
    <x v="1058"/>
    <n v="9.84"/>
    <n v="2"/>
    <n v="4.72"/>
    <x v="1"/>
    <x v="3"/>
  </r>
  <r>
    <n v="45350"/>
    <x v="257"/>
    <x v="37"/>
    <x v="0"/>
    <x v="0"/>
    <x v="154"/>
    <n v="7.78"/>
    <n v="1"/>
    <n v="3.5"/>
    <x v="1"/>
    <x v="3"/>
  </r>
  <r>
    <n v="45353"/>
    <x v="660"/>
    <x v="0"/>
    <x v="0"/>
    <x v="14"/>
    <x v="488"/>
    <n v="6.98"/>
    <n v="4"/>
    <n v="-1.4"/>
    <x v="2"/>
    <x v="3"/>
  </r>
  <r>
    <n v="45353"/>
    <x v="660"/>
    <x v="0"/>
    <x v="0"/>
    <x v="3"/>
    <x v="93"/>
    <n v="12.22"/>
    <n v="7"/>
    <n v="-20.170000000000002"/>
    <x v="2"/>
    <x v="3"/>
  </r>
  <r>
    <n v="45353"/>
    <x v="706"/>
    <x v="3"/>
    <x v="2"/>
    <x v="6"/>
    <x v="771"/>
    <n v="196.78"/>
    <n v="3"/>
    <n v="14.76"/>
    <x v="2"/>
    <x v="3"/>
  </r>
  <r>
    <n v="45353"/>
    <x v="706"/>
    <x v="3"/>
    <x v="2"/>
    <x v="9"/>
    <x v="1699"/>
    <n v="479.94"/>
    <n v="6"/>
    <n v="52.79"/>
    <x v="2"/>
    <x v="3"/>
  </r>
  <r>
    <n v="45353"/>
    <x v="159"/>
    <x v="7"/>
    <x v="0"/>
    <x v="4"/>
    <x v="859"/>
    <n v="59.52"/>
    <n v="3"/>
    <n v="15.48"/>
    <x v="2"/>
    <x v="3"/>
  </r>
  <r>
    <n v="45353"/>
    <x v="159"/>
    <x v="7"/>
    <x v="0"/>
    <x v="10"/>
    <x v="21"/>
    <n v="57.96"/>
    <n v="7"/>
    <n v="27.24"/>
    <x v="2"/>
    <x v="3"/>
  </r>
  <r>
    <n v="45353"/>
    <x v="159"/>
    <x v="7"/>
    <x v="1"/>
    <x v="11"/>
    <x v="1505"/>
    <n v="441.96"/>
    <n v="2"/>
    <n v="101.65"/>
    <x v="2"/>
    <x v="3"/>
  </r>
  <r>
    <n v="45353"/>
    <x v="159"/>
    <x v="7"/>
    <x v="0"/>
    <x v="0"/>
    <x v="371"/>
    <n v="68.040000000000006"/>
    <n v="6"/>
    <n v="33.340000000000003"/>
    <x v="2"/>
    <x v="3"/>
  </r>
  <r>
    <n v="45353"/>
    <x v="409"/>
    <x v="10"/>
    <x v="0"/>
    <x v="3"/>
    <x v="962"/>
    <n v="18.53"/>
    <n v="4"/>
    <n v="-12.35"/>
    <x v="2"/>
    <x v="3"/>
  </r>
  <r>
    <n v="45353"/>
    <x v="687"/>
    <x v="3"/>
    <x v="0"/>
    <x v="3"/>
    <x v="145"/>
    <n v="107.65"/>
    <n v="2"/>
    <n v="33.64"/>
    <x v="2"/>
    <x v="3"/>
  </r>
  <r>
    <n v="45353"/>
    <x v="138"/>
    <x v="0"/>
    <x v="0"/>
    <x v="3"/>
    <x v="816"/>
    <n v="0.56000000000000005"/>
    <n v="1"/>
    <n v="-0.95"/>
    <x v="2"/>
    <x v="3"/>
  </r>
  <r>
    <n v="45354"/>
    <x v="760"/>
    <x v="5"/>
    <x v="0"/>
    <x v="12"/>
    <x v="460"/>
    <n v="72.8"/>
    <n v="5"/>
    <n v="19.66"/>
    <x v="2"/>
    <x v="3"/>
  </r>
  <r>
    <n v="45354"/>
    <x v="238"/>
    <x v="0"/>
    <x v="0"/>
    <x v="0"/>
    <x v="1402"/>
    <n v="26.88"/>
    <n v="8"/>
    <n v="9.74"/>
    <x v="2"/>
    <x v="3"/>
  </r>
  <r>
    <n v="45354"/>
    <x v="287"/>
    <x v="14"/>
    <x v="1"/>
    <x v="5"/>
    <x v="1434"/>
    <n v="180.98"/>
    <n v="1"/>
    <n v="47.05"/>
    <x v="2"/>
    <x v="3"/>
  </r>
  <r>
    <n v="45354"/>
    <x v="287"/>
    <x v="14"/>
    <x v="2"/>
    <x v="9"/>
    <x v="265"/>
    <n v="99.98"/>
    <n v="2"/>
    <n v="42.99"/>
    <x v="2"/>
    <x v="3"/>
  </r>
  <r>
    <n v="45354"/>
    <x v="28"/>
    <x v="3"/>
    <x v="2"/>
    <x v="9"/>
    <x v="1561"/>
    <n v="1049.44"/>
    <n v="8"/>
    <n v="440.76"/>
    <x v="2"/>
    <x v="3"/>
  </r>
  <r>
    <n v="45354"/>
    <x v="28"/>
    <x v="3"/>
    <x v="1"/>
    <x v="5"/>
    <x v="1318"/>
    <n v="170.35"/>
    <n v="3"/>
    <n v="-17.04"/>
    <x v="2"/>
    <x v="3"/>
  </r>
  <r>
    <n v="45354"/>
    <x v="478"/>
    <x v="3"/>
    <x v="1"/>
    <x v="13"/>
    <x v="495"/>
    <n v="399.67"/>
    <n v="7"/>
    <n v="-14.99"/>
    <x v="2"/>
    <x v="3"/>
  </r>
  <r>
    <n v="45355"/>
    <x v="569"/>
    <x v="3"/>
    <x v="0"/>
    <x v="4"/>
    <x v="208"/>
    <n v="9.32"/>
    <n v="4"/>
    <n v="2.7"/>
    <x v="2"/>
    <x v="3"/>
  </r>
  <r>
    <n v="45355"/>
    <x v="569"/>
    <x v="3"/>
    <x v="0"/>
    <x v="10"/>
    <x v="1418"/>
    <n v="15.25"/>
    <n v="1"/>
    <n v="7.02"/>
    <x v="2"/>
    <x v="3"/>
  </r>
  <r>
    <n v="45355"/>
    <x v="0"/>
    <x v="0"/>
    <x v="0"/>
    <x v="0"/>
    <x v="657"/>
    <n v="89.57"/>
    <n v="2"/>
    <n v="32.47"/>
    <x v="2"/>
    <x v="3"/>
  </r>
  <r>
    <n v="45355"/>
    <x v="722"/>
    <x v="0"/>
    <x v="1"/>
    <x v="8"/>
    <x v="1412"/>
    <n v="103.5"/>
    <n v="5"/>
    <n v="-77.63"/>
    <x v="2"/>
    <x v="3"/>
  </r>
  <r>
    <n v="45355"/>
    <x v="722"/>
    <x v="0"/>
    <x v="0"/>
    <x v="1"/>
    <x v="1612"/>
    <n v="2.46"/>
    <n v="1"/>
    <n v="0.86"/>
    <x v="2"/>
    <x v="3"/>
  </r>
  <r>
    <n v="45355"/>
    <x v="722"/>
    <x v="0"/>
    <x v="0"/>
    <x v="2"/>
    <x v="199"/>
    <n v="8.7200000000000006"/>
    <n v="1"/>
    <n v="0.65"/>
    <x v="2"/>
    <x v="3"/>
  </r>
  <r>
    <n v="45356"/>
    <x v="500"/>
    <x v="21"/>
    <x v="0"/>
    <x v="1"/>
    <x v="1738"/>
    <n v="25.06"/>
    <n v="2"/>
    <n v="11.78"/>
    <x v="2"/>
    <x v="3"/>
  </r>
  <r>
    <n v="45356"/>
    <x v="427"/>
    <x v="28"/>
    <x v="0"/>
    <x v="7"/>
    <x v="961"/>
    <n v="7.9"/>
    <n v="2"/>
    <n v="2.5299999999999998"/>
    <x v="2"/>
    <x v="3"/>
  </r>
  <r>
    <n v="45356"/>
    <x v="427"/>
    <x v="28"/>
    <x v="0"/>
    <x v="2"/>
    <x v="346"/>
    <n v="221.16"/>
    <n v="4"/>
    <n v="57.5"/>
    <x v="2"/>
    <x v="3"/>
  </r>
  <r>
    <n v="45356"/>
    <x v="427"/>
    <x v="28"/>
    <x v="0"/>
    <x v="3"/>
    <x v="413"/>
    <n v="127.96"/>
    <n v="2"/>
    <n v="62.7"/>
    <x v="2"/>
    <x v="3"/>
  </r>
  <r>
    <n v="45356"/>
    <x v="427"/>
    <x v="28"/>
    <x v="0"/>
    <x v="3"/>
    <x v="248"/>
    <n v="18.690000000000001"/>
    <n v="3"/>
    <n v="9.16"/>
    <x v="2"/>
    <x v="3"/>
  </r>
  <r>
    <n v="45356"/>
    <x v="595"/>
    <x v="29"/>
    <x v="0"/>
    <x v="10"/>
    <x v="1104"/>
    <n v="42.68"/>
    <n v="4"/>
    <n v="19.63"/>
    <x v="2"/>
    <x v="3"/>
  </r>
  <r>
    <n v="45356"/>
    <x v="595"/>
    <x v="29"/>
    <x v="2"/>
    <x v="9"/>
    <x v="671"/>
    <n v="299.97000000000003"/>
    <n v="3"/>
    <n v="125.99"/>
    <x v="2"/>
    <x v="3"/>
  </r>
  <r>
    <n v="45356"/>
    <x v="595"/>
    <x v="29"/>
    <x v="0"/>
    <x v="12"/>
    <x v="820"/>
    <n v="262.24"/>
    <n v="2"/>
    <n v="78.67"/>
    <x v="2"/>
    <x v="3"/>
  </r>
  <r>
    <n v="45356"/>
    <x v="595"/>
    <x v="29"/>
    <x v="0"/>
    <x v="3"/>
    <x v="1345"/>
    <n v="234.36"/>
    <n v="6"/>
    <n v="112.49"/>
    <x v="2"/>
    <x v="3"/>
  </r>
  <r>
    <n v="45357"/>
    <x v="782"/>
    <x v="20"/>
    <x v="0"/>
    <x v="0"/>
    <x v="1272"/>
    <n v="26.38"/>
    <n v="1"/>
    <n v="12.13"/>
    <x v="2"/>
    <x v="3"/>
  </r>
  <r>
    <n v="45357"/>
    <x v="782"/>
    <x v="20"/>
    <x v="1"/>
    <x v="8"/>
    <x v="1180"/>
    <n v="71.97"/>
    <n v="3"/>
    <n v="16.55"/>
    <x v="2"/>
    <x v="3"/>
  </r>
  <r>
    <n v="45357"/>
    <x v="151"/>
    <x v="3"/>
    <x v="0"/>
    <x v="3"/>
    <x v="1420"/>
    <n v="14.98"/>
    <n v="9"/>
    <n v="5.43"/>
    <x v="2"/>
    <x v="3"/>
  </r>
  <r>
    <n v="45357"/>
    <x v="562"/>
    <x v="3"/>
    <x v="0"/>
    <x v="2"/>
    <x v="865"/>
    <n v="67.78"/>
    <n v="2"/>
    <n v="16.95"/>
    <x v="2"/>
    <x v="3"/>
  </r>
  <r>
    <n v="45357"/>
    <x v="658"/>
    <x v="3"/>
    <x v="0"/>
    <x v="4"/>
    <x v="581"/>
    <n v="23.88"/>
    <n v="6"/>
    <n v="8.1199999999999992"/>
    <x v="2"/>
    <x v="3"/>
  </r>
  <r>
    <n v="45357"/>
    <x v="658"/>
    <x v="3"/>
    <x v="0"/>
    <x v="1"/>
    <x v="564"/>
    <n v="11.52"/>
    <n v="4"/>
    <n v="5.64"/>
    <x v="2"/>
    <x v="3"/>
  </r>
  <r>
    <n v="45357"/>
    <x v="658"/>
    <x v="3"/>
    <x v="0"/>
    <x v="0"/>
    <x v="1025"/>
    <n v="286.93"/>
    <n v="7"/>
    <n v="140.6"/>
    <x v="2"/>
    <x v="3"/>
  </r>
  <r>
    <n v="45357"/>
    <x v="658"/>
    <x v="3"/>
    <x v="2"/>
    <x v="6"/>
    <x v="967"/>
    <n v="206.38"/>
    <n v="2"/>
    <n v="23.22"/>
    <x v="2"/>
    <x v="3"/>
  </r>
  <r>
    <n v="45357"/>
    <x v="738"/>
    <x v="0"/>
    <x v="0"/>
    <x v="1"/>
    <x v="1459"/>
    <n v="4.93"/>
    <n v="2"/>
    <n v="1.72"/>
    <x v="2"/>
    <x v="3"/>
  </r>
  <r>
    <n v="45357"/>
    <x v="738"/>
    <x v="0"/>
    <x v="0"/>
    <x v="4"/>
    <x v="137"/>
    <n v="63.49"/>
    <n v="4"/>
    <n v="4.76"/>
    <x v="2"/>
    <x v="3"/>
  </r>
  <r>
    <n v="45358"/>
    <x v="588"/>
    <x v="36"/>
    <x v="2"/>
    <x v="9"/>
    <x v="665"/>
    <n v="49.08"/>
    <n v="3"/>
    <n v="4.91"/>
    <x v="2"/>
    <x v="3"/>
  </r>
  <r>
    <n v="45358"/>
    <x v="489"/>
    <x v="20"/>
    <x v="0"/>
    <x v="3"/>
    <x v="1069"/>
    <n v="25.92"/>
    <n v="6"/>
    <n v="9.07"/>
    <x v="2"/>
    <x v="3"/>
  </r>
  <r>
    <n v="45358"/>
    <x v="489"/>
    <x v="20"/>
    <x v="0"/>
    <x v="1"/>
    <x v="956"/>
    <n v="91.59"/>
    <n v="3"/>
    <n v="42.13"/>
    <x v="2"/>
    <x v="3"/>
  </r>
  <r>
    <n v="45359"/>
    <x v="668"/>
    <x v="4"/>
    <x v="0"/>
    <x v="12"/>
    <x v="1799"/>
    <n v="647.84"/>
    <n v="8"/>
    <n v="168.44"/>
    <x v="2"/>
    <x v="3"/>
  </r>
  <r>
    <n v="45359"/>
    <x v="668"/>
    <x v="4"/>
    <x v="0"/>
    <x v="1"/>
    <x v="1096"/>
    <n v="20.7"/>
    <n v="2"/>
    <n v="9.94"/>
    <x v="2"/>
    <x v="3"/>
  </r>
  <r>
    <n v="45359"/>
    <x v="545"/>
    <x v="3"/>
    <x v="0"/>
    <x v="3"/>
    <x v="442"/>
    <n v="171.2"/>
    <n v="5"/>
    <n v="64.2"/>
    <x v="2"/>
    <x v="3"/>
  </r>
  <r>
    <n v="45359"/>
    <x v="545"/>
    <x v="3"/>
    <x v="0"/>
    <x v="4"/>
    <x v="1488"/>
    <n v="3.36"/>
    <n v="2"/>
    <n v="0.87"/>
    <x v="2"/>
    <x v="3"/>
  </r>
  <r>
    <n v="45360"/>
    <x v="754"/>
    <x v="3"/>
    <x v="2"/>
    <x v="9"/>
    <x v="297"/>
    <n v="199.98"/>
    <n v="2"/>
    <n v="69.989999999999995"/>
    <x v="2"/>
    <x v="3"/>
  </r>
  <r>
    <n v="45360"/>
    <x v="366"/>
    <x v="3"/>
    <x v="2"/>
    <x v="16"/>
    <x v="1478"/>
    <n v="479.98"/>
    <n v="2"/>
    <n v="60"/>
    <x v="2"/>
    <x v="3"/>
  </r>
  <r>
    <n v="45360"/>
    <x v="366"/>
    <x v="3"/>
    <x v="0"/>
    <x v="3"/>
    <x v="483"/>
    <n v="30.84"/>
    <n v="5"/>
    <n v="9.64"/>
    <x v="2"/>
    <x v="3"/>
  </r>
  <r>
    <n v="45361"/>
    <x v="772"/>
    <x v="2"/>
    <x v="0"/>
    <x v="4"/>
    <x v="1618"/>
    <n v="5.25"/>
    <n v="2"/>
    <n v="0.59"/>
    <x v="2"/>
    <x v="3"/>
  </r>
  <r>
    <n v="45361"/>
    <x v="772"/>
    <x v="2"/>
    <x v="2"/>
    <x v="6"/>
    <x v="726"/>
    <n v="35.909999999999997"/>
    <n v="3"/>
    <n v="-8.3800000000000008"/>
    <x v="2"/>
    <x v="3"/>
  </r>
  <r>
    <n v="45361"/>
    <x v="772"/>
    <x v="2"/>
    <x v="1"/>
    <x v="8"/>
    <x v="598"/>
    <n v="6.7"/>
    <n v="1"/>
    <n v="0.5"/>
    <x v="2"/>
    <x v="3"/>
  </r>
  <r>
    <n v="45361"/>
    <x v="772"/>
    <x v="2"/>
    <x v="1"/>
    <x v="8"/>
    <x v="1484"/>
    <n v="43.87"/>
    <n v="2"/>
    <n v="11.52"/>
    <x v="2"/>
    <x v="3"/>
  </r>
  <r>
    <n v="45361"/>
    <x v="185"/>
    <x v="2"/>
    <x v="2"/>
    <x v="6"/>
    <x v="1064"/>
    <n v="53.98"/>
    <n v="3"/>
    <n v="-10.8"/>
    <x v="2"/>
    <x v="3"/>
  </r>
  <r>
    <n v="45361"/>
    <x v="600"/>
    <x v="25"/>
    <x v="0"/>
    <x v="12"/>
    <x v="1688"/>
    <n v="48.78"/>
    <n v="1"/>
    <n v="3.66"/>
    <x v="2"/>
    <x v="3"/>
  </r>
  <r>
    <n v="45361"/>
    <x v="600"/>
    <x v="25"/>
    <x v="0"/>
    <x v="3"/>
    <x v="1480"/>
    <n v="13.09"/>
    <n v="4"/>
    <n v="-10.039999999999999"/>
    <x v="2"/>
    <x v="3"/>
  </r>
  <r>
    <n v="45361"/>
    <x v="507"/>
    <x v="3"/>
    <x v="2"/>
    <x v="9"/>
    <x v="973"/>
    <n v="111.96"/>
    <n v="4"/>
    <n v="21.27"/>
    <x v="2"/>
    <x v="3"/>
  </r>
  <r>
    <n v="45361"/>
    <x v="496"/>
    <x v="0"/>
    <x v="1"/>
    <x v="13"/>
    <x v="397"/>
    <n v="933.41"/>
    <n v="4"/>
    <n v="-173.35"/>
    <x v="2"/>
    <x v="3"/>
  </r>
  <r>
    <n v="45362"/>
    <x v="655"/>
    <x v="14"/>
    <x v="0"/>
    <x v="3"/>
    <x v="57"/>
    <n v="895.92"/>
    <n v="4"/>
    <n v="421.08"/>
    <x v="2"/>
    <x v="3"/>
  </r>
  <r>
    <n v="45362"/>
    <x v="167"/>
    <x v="2"/>
    <x v="2"/>
    <x v="6"/>
    <x v="1227"/>
    <n v="776.85"/>
    <n v="5"/>
    <n v="-181.27"/>
    <x v="2"/>
    <x v="3"/>
  </r>
  <r>
    <n v="45362"/>
    <x v="167"/>
    <x v="2"/>
    <x v="0"/>
    <x v="3"/>
    <x v="287"/>
    <n v="12.29"/>
    <n v="1"/>
    <n v="-8.61"/>
    <x v="2"/>
    <x v="3"/>
  </r>
  <r>
    <n v="45362"/>
    <x v="167"/>
    <x v="2"/>
    <x v="1"/>
    <x v="13"/>
    <x v="278"/>
    <n v="154.76"/>
    <n v="3"/>
    <n v="-46.43"/>
    <x v="2"/>
    <x v="3"/>
  </r>
  <r>
    <n v="45362"/>
    <x v="167"/>
    <x v="2"/>
    <x v="0"/>
    <x v="2"/>
    <x v="1170"/>
    <n v="43.28"/>
    <n v="1"/>
    <n v="3.25"/>
    <x v="2"/>
    <x v="3"/>
  </r>
  <r>
    <n v="45362"/>
    <x v="298"/>
    <x v="32"/>
    <x v="2"/>
    <x v="9"/>
    <x v="1081"/>
    <n v="63.88"/>
    <n v="4"/>
    <n v="24.91"/>
    <x v="2"/>
    <x v="3"/>
  </r>
  <r>
    <n v="45362"/>
    <x v="298"/>
    <x v="32"/>
    <x v="1"/>
    <x v="8"/>
    <x v="1701"/>
    <n v="26.72"/>
    <n v="1"/>
    <n v="11.76"/>
    <x v="2"/>
    <x v="3"/>
  </r>
  <r>
    <n v="45363"/>
    <x v="127"/>
    <x v="32"/>
    <x v="2"/>
    <x v="6"/>
    <x v="129"/>
    <n v="69.930000000000007"/>
    <n v="7"/>
    <n v="32.17"/>
    <x v="2"/>
    <x v="3"/>
  </r>
  <r>
    <n v="45363"/>
    <x v="544"/>
    <x v="3"/>
    <x v="0"/>
    <x v="2"/>
    <x v="161"/>
    <n v="242.94"/>
    <n v="3"/>
    <n v="9.7200000000000006"/>
    <x v="2"/>
    <x v="3"/>
  </r>
  <r>
    <n v="45363"/>
    <x v="41"/>
    <x v="13"/>
    <x v="0"/>
    <x v="3"/>
    <x v="263"/>
    <n v="40.409999999999997"/>
    <n v="9"/>
    <n v="18.59"/>
    <x v="2"/>
    <x v="3"/>
  </r>
  <r>
    <n v="45364"/>
    <x v="432"/>
    <x v="3"/>
    <x v="0"/>
    <x v="0"/>
    <x v="1070"/>
    <n v="314.55"/>
    <n v="3"/>
    <n v="150.97999999999999"/>
    <x v="2"/>
    <x v="3"/>
  </r>
  <r>
    <n v="45364"/>
    <x v="499"/>
    <x v="31"/>
    <x v="0"/>
    <x v="2"/>
    <x v="939"/>
    <n v="90.8"/>
    <n v="8"/>
    <n v="25.42"/>
    <x v="2"/>
    <x v="3"/>
  </r>
  <r>
    <n v="45364"/>
    <x v="499"/>
    <x v="31"/>
    <x v="2"/>
    <x v="6"/>
    <x v="1304"/>
    <n v="140.74"/>
    <n v="8"/>
    <n v="49.26"/>
    <x v="2"/>
    <x v="3"/>
  </r>
  <r>
    <n v="45364"/>
    <x v="499"/>
    <x v="31"/>
    <x v="2"/>
    <x v="9"/>
    <x v="1769"/>
    <n v="214.95"/>
    <n v="5"/>
    <n v="88.13"/>
    <x v="2"/>
    <x v="3"/>
  </r>
  <r>
    <n v="45364"/>
    <x v="499"/>
    <x v="31"/>
    <x v="0"/>
    <x v="0"/>
    <x v="1703"/>
    <n v="45.36"/>
    <n v="7"/>
    <n v="21.77"/>
    <x v="2"/>
    <x v="3"/>
  </r>
  <r>
    <n v="45364"/>
    <x v="499"/>
    <x v="31"/>
    <x v="0"/>
    <x v="0"/>
    <x v="1086"/>
    <n v="288.24"/>
    <n v="6"/>
    <n v="138.36000000000001"/>
    <x v="2"/>
    <x v="3"/>
  </r>
  <r>
    <n v="45364"/>
    <x v="145"/>
    <x v="26"/>
    <x v="0"/>
    <x v="14"/>
    <x v="270"/>
    <n v="1332.5"/>
    <n v="2"/>
    <n v="-299.81"/>
    <x v="2"/>
    <x v="3"/>
  </r>
  <r>
    <n v="45364"/>
    <x v="720"/>
    <x v="1"/>
    <x v="0"/>
    <x v="4"/>
    <x v="1800"/>
    <n v="19.46"/>
    <n v="4"/>
    <n v="2.19"/>
    <x v="2"/>
    <x v="3"/>
  </r>
  <r>
    <n v="45364"/>
    <x v="720"/>
    <x v="1"/>
    <x v="2"/>
    <x v="15"/>
    <x v="1797"/>
    <n v="209.99"/>
    <n v="2"/>
    <n v="9"/>
    <x v="2"/>
    <x v="3"/>
  </r>
  <r>
    <n v="45364"/>
    <x v="720"/>
    <x v="1"/>
    <x v="0"/>
    <x v="4"/>
    <x v="222"/>
    <n v="29.76"/>
    <n v="5"/>
    <n v="1.86"/>
    <x v="2"/>
    <x v="3"/>
  </r>
  <r>
    <n v="45364"/>
    <x v="720"/>
    <x v="1"/>
    <x v="1"/>
    <x v="5"/>
    <x v="1764"/>
    <n v="89.77"/>
    <n v="1"/>
    <n v="-2.56"/>
    <x v="2"/>
    <x v="3"/>
  </r>
  <r>
    <n v="45364"/>
    <x v="720"/>
    <x v="1"/>
    <x v="2"/>
    <x v="16"/>
    <x v="377"/>
    <n v="959.98"/>
    <n v="2"/>
    <n v="335.99"/>
    <x v="2"/>
    <x v="3"/>
  </r>
  <r>
    <n v="45364"/>
    <x v="720"/>
    <x v="1"/>
    <x v="0"/>
    <x v="0"/>
    <x v="729"/>
    <n v="15.55"/>
    <n v="3"/>
    <n v="5.64"/>
    <x v="2"/>
    <x v="3"/>
  </r>
  <r>
    <n v="45364"/>
    <x v="720"/>
    <x v="1"/>
    <x v="2"/>
    <x v="6"/>
    <x v="1262"/>
    <n v="34.36"/>
    <n v="1"/>
    <n v="-7.3"/>
    <x v="2"/>
    <x v="3"/>
  </r>
  <r>
    <n v="45364"/>
    <x v="59"/>
    <x v="37"/>
    <x v="0"/>
    <x v="3"/>
    <x v="962"/>
    <n v="30.88"/>
    <n v="2"/>
    <n v="15.44"/>
    <x v="2"/>
    <x v="3"/>
  </r>
  <r>
    <n v="45364"/>
    <x v="59"/>
    <x v="37"/>
    <x v="0"/>
    <x v="12"/>
    <x v="1758"/>
    <n v="465.16"/>
    <n v="2"/>
    <n v="120.94"/>
    <x v="2"/>
    <x v="3"/>
  </r>
  <r>
    <n v="45364"/>
    <x v="59"/>
    <x v="37"/>
    <x v="0"/>
    <x v="0"/>
    <x v="1791"/>
    <n v="27.12"/>
    <n v="4"/>
    <n v="12.48"/>
    <x v="2"/>
    <x v="3"/>
  </r>
  <r>
    <n v="45364"/>
    <x v="733"/>
    <x v="36"/>
    <x v="0"/>
    <x v="3"/>
    <x v="396"/>
    <n v="174.3"/>
    <n v="3"/>
    <n v="81.92"/>
    <x v="2"/>
    <x v="3"/>
  </r>
  <r>
    <n v="45364"/>
    <x v="711"/>
    <x v="20"/>
    <x v="2"/>
    <x v="6"/>
    <x v="1121"/>
    <n v="299.89999999999998"/>
    <n v="2"/>
    <n v="74.98"/>
    <x v="2"/>
    <x v="3"/>
  </r>
  <r>
    <n v="45364"/>
    <x v="136"/>
    <x v="1"/>
    <x v="2"/>
    <x v="6"/>
    <x v="129"/>
    <n v="7.99"/>
    <n v="1"/>
    <n v="2.6"/>
    <x v="2"/>
    <x v="3"/>
  </r>
  <r>
    <n v="45365"/>
    <x v="396"/>
    <x v="1"/>
    <x v="2"/>
    <x v="6"/>
    <x v="1177"/>
    <n v="49.62"/>
    <n v="2"/>
    <n v="4.96"/>
    <x v="2"/>
    <x v="3"/>
  </r>
  <r>
    <n v="45367"/>
    <x v="139"/>
    <x v="22"/>
    <x v="0"/>
    <x v="0"/>
    <x v="1110"/>
    <n v="6.48"/>
    <n v="1"/>
    <n v="3.11"/>
    <x v="2"/>
    <x v="3"/>
  </r>
  <r>
    <n v="45367"/>
    <x v="139"/>
    <x v="22"/>
    <x v="0"/>
    <x v="2"/>
    <x v="264"/>
    <n v="46.51"/>
    <n v="1"/>
    <n v="1.86"/>
    <x v="2"/>
    <x v="3"/>
  </r>
  <r>
    <n v="45367"/>
    <x v="139"/>
    <x v="22"/>
    <x v="2"/>
    <x v="6"/>
    <x v="1404"/>
    <n v="659.98"/>
    <n v="3"/>
    <n v="49.5"/>
    <x v="2"/>
    <x v="3"/>
  </r>
  <r>
    <n v="45367"/>
    <x v="342"/>
    <x v="10"/>
    <x v="2"/>
    <x v="6"/>
    <x v="446"/>
    <n v="445.44"/>
    <n v="8"/>
    <n v="-81.66"/>
    <x v="2"/>
    <x v="3"/>
  </r>
  <r>
    <n v="45367"/>
    <x v="530"/>
    <x v="10"/>
    <x v="2"/>
    <x v="6"/>
    <x v="1339"/>
    <n v="44.38"/>
    <n v="2"/>
    <n v="-7.4"/>
    <x v="2"/>
    <x v="3"/>
  </r>
  <r>
    <n v="45367"/>
    <x v="530"/>
    <x v="10"/>
    <x v="1"/>
    <x v="8"/>
    <x v="1514"/>
    <n v="51.26"/>
    <n v="6"/>
    <n v="7.69"/>
    <x v="2"/>
    <x v="3"/>
  </r>
  <r>
    <n v="45367"/>
    <x v="530"/>
    <x v="10"/>
    <x v="0"/>
    <x v="3"/>
    <x v="872"/>
    <n v="5.19"/>
    <n v="3"/>
    <n v="-3.46"/>
    <x v="2"/>
    <x v="3"/>
  </r>
  <r>
    <n v="45367"/>
    <x v="530"/>
    <x v="10"/>
    <x v="2"/>
    <x v="9"/>
    <x v="671"/>
    <n v="159.97999999999999"/>
    <n v="2"/>
    <n v="44"/>
    <x v="2"/>
    <x v="3"/>
  </r>
  <r>
    <n v="45367"/>
    <x v="530"/>
    <x v="10"/>
    <x v="0"/>
    <x v="2"/>
    <x v="865"/>
    <n v="54.22"/>
    <n v="2"/>
    <n v="3.39"/>
    <x v="2"/>
    <x v="3"/>
  </r>
  <r>
    <n v="45367"/>
    <x v="687"/>
    <x v="3"/>
    <x v="0"/>
    <x v="2"/>
    <x v="880"/>
    <n v="310.12"/>
    <n v="2"/>
    <n v="80.63"/>
    <x v="2"/>
    <x v="3"/>
  </r>
  <r>
    <n v="45367"/>
    <x v="687"/>
    <x v="3"/>
    <x v="0"/>
    <x v="3"/>
    <x v="1245"/>
    <n v="70.459999999999994"/>
    <n v="6"/>
    <n v="22.9"/>
    <x v="2"/>
    <x v="3"/>
  </r>
  <r>
    <n v="45367"/>
    <x v="687"/>
    <x v="3"/>
    <x v="0"/>
    <x v="3"/>
    <x v="1058"/>
    <n v="19.68"/>
    <n v="5"/>
    <n v="6.89"/>
    <x v="2"/>
    <x v="3"/>
  </r>
  <r>
    <n v="45367"/>
    <x v="687"/>
    <x v="3"/>
    <x v="0"/>
    <x v="12"/>
    <x v="174"/>
    <n v="140.66999999999999"/>
    <n v="3"/>
    <n v="54.86"/>
    <x v="2"/>
    <x v="3"/>
  </r>
  <r>
    <n v="45368"/>
    <x v="68"/>
    <x v="3"/>
    <x v="0"/>
    <x v="3"/>
    <x v="1480"/>
    <n v="17.46"/>
    <n v="2"/>
    <n v="5.89"/>
    <x v="2"/>
    <x v="3"/>
  </r>
  <r>
    <n v="45368"/>
    <x v="674"/>
    <x v="20"/>
    <x v="0"/>
    <x v="1"/>
    <x v="1680"/>
    <n v="18.75"/>
    <n v="5"/>
    <n v="9"/>
    <x v="2"/>
    <x v="3"/>
  </r>
  <r>
    <n v="45368"/>
    <x v="674"/>
    <x v="20"/>
    <x v="2"/>
    <x v="6"/>
    <x v="726"/>
    <n v="119.7"/>
    <n v="6"/>
    <n v="31.12"/>
    <x v="2"/>
    <x v="3"/>
  </r>
  <r>
    <n v="45368"/>
    <x v="674"/>
    <x v="20"/>
    <x v="0"/>
    <x v="3"/>
    <x v="51"/>
    <n v="9.14"/>
    <n v="3"/>
    <n v="3.09"/>
    <x v="2"/>
    <x v="3"/>
  </r>
  <r>
    <n v="45368"/>
    <x v="674"/>
    <x v="20"/>
    <x v="2"/>
    <x v="9"/>
    <x v="735"/>
    <n v="57.06"/>
    <n v="3"/>
    <n v="18.260000000000002"/>
    <x v="2"/>
    <x v="3"/>
  </r>
  <r>
    <n v="45368"/>
    <x v="674"/>
    <x v="20"/>
    <x v="2"/>
    <x v="9"/>
    <x v="907"/>
    <n v="71.599999999999994"/>
    <n v="8"/>
    <n v="13.6"/>
    <x v="2"/>
    <x v="3"/>
  </r>
  <r>
    <n v="45368"/>
    <x v="674"/>
    <x v="20"/>
    <x v="0"/>
    <x v="2"/>
    <x v="1314"/>
    <n v="107.44"/>
    <n v="8"/>
    <n v="27.93"/>
    <x v="2"/>
    <x v="3"/>
  </r>
  <r>
    <n v="45368"/>
    <x v="674"/>
    <x v="20"/>
    <x v="0"/>
    <x v="1"/>
    <x v="1323"/>
    <n v="7.31"/>
    <n v="1"/>
    <n v="3.44"/>
    <x v="2"/>
    <x v="3"/>
  </r>
  <r>
    <n v="45368"/>
    <x v="674"/>
    <x v="20"/>
    <x v="0"/>
    <x v="4"/>
    <x v="975"/>
    <n v="59.1"/>
    <n v="6"/>
    <n v="22.46"/>
    <x v="2"/>
    <x v="3"/>
  </r>
  <r>
    <n v="45368"/>
    <x v="674"/>
    <x v="20"/>
    <x v="0"/>
    <x v="2"/>
    <x v="271"/>
    <n v="46.53"/>
    <n v="3"/>
    <n v="12.1"/>
    <x v="2"/>
    <x v="3"/>
  </r>
  <r>
    <n v="45368"/>
    <x v="675"/>
    <x v="0"/>
    <x v="0"/>
    <x v="3"/>
    <x v="1467"/>
    <n v="13.78"/>
    <n v="6"/>
    <n v="-22.04"/>
    <x v="2"/>
    <x v="3"/>
  </r>
  <r>
    <n v="45368"/>
    <x v="675"/>
    <x v="0"/>
    <x v="0"/>
    <x v="0"/>
    <x v="829"/>
    <n v="10.27"/>
    <n v="3"/>
    <n v="3.21"/>
    <x v="2"/>
    <x v="3"/>
  </r>
  <r>
    <n v="45368"/>
    <x v="326"/>
    <x v="15"/>
    <x v="0"/>
    <x v="1"/>
    <x v="1454"/>
    <n v="4.6100000000000003"/>
    <n v="2"/>
    <n v="1.67"/>
    <x v="2"/>
    <x v="3"/>
  </r>
  <r>
    <n v="45369"/>
    <x v="778"/>
    <x v="0"/>
    <x v="0"/>
    <x v="12"/>
    <x v="1242"/>
    <n v="2.69"/>
    <n v="3"/>
    <n v="-7.39"/>
    <x v="2"/>
    <x v="3"/>
  </r>
  <r>
    <n v="45369"/>
    <x v="778"/>
    <x v="0"/>
    <x v="2"/>
    <x v="9"/>
    <x v="1211"/>
    <n v="27.82"/>
    <n v="3"/>
    <n v="4.5199999999999996"/>
    <x v="2"/>
    <x v="3"/>
  </r>
  <r>
    <n v="45369"/>
    <x v="778"/>
    <x v="0"/>
    <x v="1"/>
    <x v="8"/>
    <x v="1063"/>
    <n v="82.52"/>
    <n v="3"/>
    <n v="-41.26"/>
    <x v="2"/>
    <x v="3"/>
  </r>
  <r>
    <n v="45369"/>
    <x v="778"/>
    <x v="0"/>
    <x v="0"/>
    <x v="3"/>
    <x v="8"/>
    <n v="182.99"/>
    <n v="3"/>
    <n v="-320.24"/>
    <x v="2"/>
    <x v="3"/>
  </r>
  <r>
    <n v="45369"/>
    <x v="647"/>
    <x v="0"/>
    <x v="0"/>
    <x v="4"/>
    <x v="234"/>
    <n v="23.83"/>
    <n v="3"/>
    <n v="6.55"/>
    <x v="2"/>
    <x v="3"/>
  </r>
  <r>
    <n v="45369"/>
    <x v="72"/>
    <x v="22"/>
    <x v="0"/>
    <x v="4"/>
    <x v="489"/>
    <n v="46.2"/>
    <n v="4"/>
    <n v="21.25"/>
    <x v="2"/>
    <x v="3"/>
  </r>
  <r>
    <n v="45369"/>
    <x v="426"/>
    <x v="0"/>
    <x v="2"/>
    <x v="6"/>
    <x v="307"/>
    <n v="537.54"/>
    <n v="7"/>
    <n v="47.04"/>
    <x v="2"/>
    <x v="3"/>
  </r>
  <r>
    <n v="45369"/>
    <x v="455"/>
    <x v="3"/>
    <x v="0"/>
    <x v="4"/>
    <x v="531"/>
    <n v="13.9"/>
    <n v="5"/>
    <n v="3.75"/>
    <x v="2"/>
    <x v="3"/>
  </r>
  <r>
    <n v="45369"/>
    <x v="455"/>
    <x v="3"/>
    <x v="0"/>
    <x v="10"/>
    <x v="807"/>
    <n v="19.399999999999999"/>
    <n v="5"/>
    <n v="9.31"/>
    <x v="2"/>
    <x v="3"/>
  </r>
  <r>
    <n v="45369"/>
    <x v="527"/>
    <x v="3"/>
    <x v="0"/>
    <x v="12"/>
    <x v="857"/>
    <n v="90.86"/>
    <n v="7"/>
    <n v="26.35"/>
    <x v="2"/>
    <x v="3"/>
  </r>
  <r>
    <n v="45370"/>
    <x v="651"/>
    <x v="20"/>
    <x v="0"/>
    <x v="1"/>
    <x v="380"/>
    <n v="28.91"/>
    <n v="7"/>
    <n v="13.3"/>
    <x v="2"/>
    <x v="3"/>
  </r>
  <r>
    <n v="45370"/>
    <x v="11"/>
    <x v="3"/>
    <x v="0"/>
    <x v="3"/>
    <x v="333"/>
    <n v="19.82"/>
    <n v="6"/>
    <n v="6.69"/>
    <x v="2"/>
    <x v="3"/>
  </r>
  <r>
    <n v="45370"/>
    <x v="11"/>
    <x v="3"/>
    <x v="2"/>
    <x v="6"/>
    <x v="687"/>
    <n v="657.5"/>
    <n v="6"/>
    <n v="-131.5"/>
    <x v="2"/>
    <x v="3"/>
  </r>
  <r>
    <n v="45370"/>
    <x v="11"/>
    <x v="3"/>
    <x v="2"/>
    <x v="9"/>
    <x v="1526"/>
    <n v="99.54"/>
    <n v="2"/>
    <n v="10.95"/>
    <x v="2"/>
    <x v="3"/>
  </r>
  <r>
    <n v="45370"/>
    <x v="11"/>
    <x v="3"/>
    <x v="2"/>
    <x v="9"/>
    <x v="265"/>
    <n v="199.96"/>
    <n v="4"/>
    <n v="85.98"/>
    <x v="2"/>
    <x v="3"/>
  </r>
  <r>
    <n v="45370"/>
    <x v="52"/>
    <x v="3"/>
    <x v="0"/>
    <x v="3"/>
    <x v="529"/>
    <n v="14.62"/>
    <n v="2"/>
    <n v="5.12"/>
    <x v="2"/>
    <x v="3"/>
  </r>
  <r>
    <n v="45370"/>
    <x v="52"/>
    <x v="3"/>
    <x v="1"/>
    <x v="13"/>
    <x v="1348"/>
    <n v="697.16"/>
    <n v="5"/>
    <n v="8.7100000000000009"/>
    <x v="2"/>
    <x v="3"/>
  </r>
  <r>
    <n v="45370"/>
    <x v="52"/>
    <x v="3"/>
    <x v="1"/>
    <x v="8"/>
    <x v="1376"/>
    <n v="30.93"/>
    <n v="1"/>
    <n v="12.68"/>
    <x v="2"/>
    <x v="3"/>
  </r>
  <r>
    <n v="45370"/>
    <x v="52"/>
    <x v="3"/>
    <x v="0"/>
    <x v="3"/>
    <x v="73"/>
    <n v="27.5"/>
    <n v="7"/>
    <n v="9.2799999999999994"/>
    <x v="2"/>
    <x v="3"/>
  </r>
  <r>
    <n v="45370"/>
    <x v="434"/>
    <x v="3"/>
    <x v="0"/>
    <x v="12"/>
    <x v="1217"/>
    <n v="381.36"/>
    <n v="7"/>
    <n v="106.78"/>
    <x v="2"/>
    <x v="3"/>
  </r>
  <r>
    <n v="45370"/>
    <x v="422"/>
    <x v="23"/>
    <x v="0"/>
    <x v="4"/>
    <x v="1299"/>
    <n v="8.94"/>
    <n v="3"/>
    <n v="2.41"/>
    <x v="2"/>
    <x v="3"/>
  </r>
  <r>
    <n v="45371"/>
    <x v="47"/>
    <x v="18"/>
    <x v="1"/>
    <x v="8"/>
    <x v="1670"/>
    <n v="2.91"/>
    <n v="1"/>
    <n v="1.37"/>
    <x v="2"/>
    <x v="3"/>
  </r>
  <r>
    <n v="45371"/>
    <x v="698"/>
    <x v="22"/>
    <x v="2"/>
    <x v="9"/>
    <x v="1207"/>
    <n v="265.93"/>
    <n v="7"/>
    <n v="63.82"/>
    <x v="2"/>
    <x v="3"/>
  </r>
  <r>
    <n v="45371"/>
    <x v="310"/>
    <x v="37"/>
    <x v="2"/>
    <x v="9"/>
    <x v="640"/>
    <n v="238"/>
    <n v="2"/>
    <n v="38.08"/>
    <x v="2"/>
    <x v="3"/>
  </r>
  <r>
    <n v="45371"/>
    <x v="310"/>
    <x v="37"/>
    <x v="0"/>
    <x v="0"/>
    <x v="728"/>
    <n v="61.96"/>
    <n v="2"/>
    <n v="27.88"/>
    <x v="2"/>
    <x v="3"/>
  </r>
  <r>
    <n v="45371"/>
    <x v="173"/>
    <x v="0"/>
    <x v="0"/>
    <x v="0"/>
    <x v="371"/>
    <n v="56.7"/>
    <n v="2"/>
    <n v="19.14"/>
    <x v="2"/>
    <x v="3"/>
  </r>
  <r>
    <n v="45371"/>
    <x v="173"/>
    <x v="0"/>
    <x v="0"/>
    <x v="0"/>
    <x v="646"/>
    <n v="274.06"/>
    <n v="7"/>
    <n v="102.77"/>
    <x v="2"/>
    <x v="3"/>
  </r>
  <r>
    <n v="45372"/>
    <x v="758"/>
    <x v="18"/>
    <x v="0"/>
    <x v="0"/>
    <x v="267"/>
    <n v="277.39999999999998"/>
    <n v="5"/>
    <n v="133.15"/>
    <x v="2"/>
    <x v="3"/>
  </r>
  <r>
    <n v="45372"/>
    <x v="758"/>
    <x v="18"/>
    <x v="0"/>
    <x v="0"/>
    <x v="1515"/>
    <n v="5.78"/>
    <n v="1"/>
    <n v="2.83"/>
    <x v="2"/>
    <x v="3"/>
  </r>
  <r>
    <n v="45372"/>
    <x v="68"/>
    <x v="39"/>
    <x v="1"/>
    <x v="5"/>
    <x v="149"/>
    <n v="1805.88"/>
    <n v="6"/>
    <n v="523.71"/>
    <x v="2"/>
    <x v="3"/>
  </r>
  <r>
    <n v="45372"/>
    <x v="236"/>
    <x v="3"/>
    <x v="0"/>
    <x v="2"/>
    <x v="986"/>
    <n v="725.84"/>
    <n v="4"/>
    <n v="210.49"/>
    <x v="2"/>
    <x v="3"/>
  </r>
  <r>
    <n v="45372"/>
    <x v="236"/>
    <x v="3"/>
    <x v="0"/>
    <x v="3"/>
    <x v="362"/>
    <n v="10.9"/>
    <n v="3"/>
    <n v="3.95"/>
    <x v="2"/>
    <x v="3"/>
  </r>
  <r>
    <n v="45372"/>
    <x v="236"/>
    <x v="3"/>
    <x v="0"/>
    <x v="3"/>
    <x v="105"/>
    <n v="8.5399999999999991"/>
    <n v="2"/>
    <n v="2.88"/>
    <x v="2"/>
    <x v="3"/>
  </r>
  <r>
    <n v="45372"/>
    <x v="203"/>
    <x v="16"/>
    <x v="0"/>
    <x v="12"/>
    <x v="1051"/>
    <n v="64.38"/>
    <n v="1"/>
    <n v="8.0500000000000007"/>
    <x v="2"/>
    <x v="3"/>
  </r>
  <r>
    <n v="45372"/>
    <x v="764"/>
    <x v="2"/>
    <x v="0"/>
    <x v="10"/>
    <x v="822"/>
    <n v="8.86"/>
    <n v="3"/>
    <n v="2.88"/>
    <x v="2"/>
    <x v="3"/>
  </r>
  <r>
    <n v="45372"/>
    <x v="152"/>
    <x v="22"/>
    <x v="0"/>
    <x v="3"/>
    <x v="212"/>
    <n v="30.58"/>
    <n v="6"/>
    <n v="10.32"/>
    <x v="2"/>
    <x v="3"/>
  </r>
  <r>
    <n v="45372"/>
    <x v="152"/>
    <x v="22"/>
    <x v="0"/>
    <x v="7"/>
    <x v="690"/>
    <n v="13.02"/>
    <n v="7"/>
    <n v="0.39"/>
    <x v="2"/>
    <x v="3"/>
  </r>
  <r>
    <n v="45372"/>
    <x v="152"/>
    <x v="22"/>
    <x v="1"/>
    <x v="8"/>
    <x v="977"/>
    <n v="22.14"/>
    <n v="3"/>
    <n v="6.42"/>
    <x v="2"/>
    <x v="3"/>
  </r>
  <r>
    <n v="45372"/>
    <x v="152"/>
    <x v="22"/>
    <x v="0"/>
    <x v="2"/>
    <x v="437"/>
    <n v="359.32"/>
    <n v="4"/>
    <n v="7.19"/>
    <x v="2"/>
    <x v="3"/>
  </r>
  <r>
    <n v="45374"/>
    <x v="734"/>
    <x v="3"/>
    <x v="1"/>
    <x v="8"/>
    <x v="765"/>
    <n v="211.84"/>
    <n v="8"/>
    <n v="76.260000000000005"/>
    <x v="2"/>
    <x v="3"/>
  </r>
  <r>
    <n v="45374"/>
    <x v="461"/>
    <x v="0"/>
    <x v="0"/>
    <x v="2"/>
    <x v="437"/>
    <n v="143.72999999999999"/>
    <n v="2"/>
    <n v="-32.340000000000003"/>
    <x v="2"/>
    <x v="3"/>
  </r>
  <r>
    <n v="45374"/>
    <x v="574"/>
    <x v="20"/>
    <x v="0"/>
    <x v="0"/>
    <x v="1801"/>
    <n v="25.68"/>
    <n v="6"/>
    <n v="11.56"/>
    <x v="2"/>
    <x v="3"/>
  </r>
  <r>
    <n v="45374"/>
    <x v="126"/>
    <x v="20"/>
    <x v="0"/>
    <x v="14"/>
    <x v="1673"/>
    <n v="347.58"/>
    <n v="3"/>
    <n v="17.38"/>
    <x v="2"/>
    <x v="3"/>
  </r>
  <r>
    <n v="45374"/>
    <x v="694"/>
    <x v="22"/>
    <x v="0"/>
    <x v="3"/>
    <x v="592"/>
    <n v="34.76"/>
    <n v="5"/>
    <n v="11.3"/>
    <x v="2"/>
    <x v="3"/>
  </r>
  <r>
    <n v="45374"/>
    <x v="745"/>
    <x v="22"/>
    <x v="0"/>
    <x v="2"/>
    <x v="90"/>
    <n v="32.479999999999997"/>
    <n v="2"/>
    <n v="4.87"/>
    <x v="2"/>
    <x v="3"/>
  </r>
  <r>
    <n v="45374"/>
    <x v="745"/>
    <x v="22"/>
    <x v="0"/>
    <x v="0"/>
    <x v="257"/>
    <n v="20.04"/>
    <n v="3"/>
    <n v="9.6199999999999992"/>
    <x v="2"/>
    <x v="3"/>
  </r>
  <r>
    <n v="45374"/>
    <x v="745"/>
    <x v="22"/>
    <x v="2"/>
    <x v="16"/>
    <x v="1696"/>
    <n v="13999.96"/>
    <n v="4"/>
    <n v="6719.98"/>
    <x v="2"/>
    <x v="3"/>
  </r>
  <r>
    <n v="45375"/>
    <x v="291"/>
    <x v="20"/>
    <x v="0"/>
    <x v="0"/>
    <x v="1066"/>
    <n v="221.92"/>
    <n v="4"/>
    <n v="106.52"/>
    <x v="2"/>
    <x v="3"/>
  </r>
  <r>
    <n v="45375"/>
    <x v="291"/>
    <x v="20"/>
    <x v="2"/>
    <x v="9"/>
    <x v="17"/>
    <n v="26"/>
    <n v="2"/>
    <n v="11.7"/>
    <x v="2"/>
    <x v="3"/>
  </r>
  <r>
    <n v="45375"/>
    <x v="535"/>
    <x v="20"/>
    <x v="0"/>
    <x v="10"/>
    <x v="858"/>
    <n v="47.01"/>
    <n v="3"/>
    <n v="22.09"/>
    <x v="2"/>
    <x v="3"/>
  </r>
  <r>
    <n v="45375"/>
    <x v="535"/>
    <x v="20"/>
    <x v="2"/>
    <x v="6"/>
    <x v="1442"/>
    <n v="469.99"/>
    <n v="1"/>
    <n v="136.30000000000001"/>
    <x v="2"/>
    <x v="3"/>
  </r>
  <r>
    <n v="45375"/>
    <x v="535"/>
    <x v="20"/>
    <x v="1"/>
    <x v="5"/>
    <x v="415"/>
    <n v="207.85"/>
    <n v="3"/>
    <n v="2.31"/>
    <x v="2"/>
    <x v="3"/>
  </r>
  <r>
    <n v="45375"/>
    <x v="20"/>
    <x v="20"/>
    <x v="1"/>
    <x v="5"/>
    <x v="1022"/>
    <n v="271.76"/>
    <n v="2"/>
    <n v="60.39"/>
    <x v="2"/>
    <x v="3"/>
  </r>
  <r>
    <n v="45375"/>
    <x v="689"/>
    <x v="0"/>
    <x v="0"/>
    <x v="2"/>
    <x v="926"/>
    <n v="12.77"/>
    <n v="2"/>
    <n v="0.96"/>
    <x v="2"/>
    <x v="3"/>
  </r>
  <r>
    <n v="45376"/>
    <x v="405"/>
    <x v="0"/>
    <x v="2"/>
    <x v="6"/>
    <x v="156"/>
    <n v="470.38"/>
    <n v="3"/>
    <n v="47.04"/>
    <x v="2"/>
    <x v="3"/>
  </r>
  <r>
    <n v="45376"/>
    <x v="107"/>
    <x v="3"/>
    <x v="0"/>
    <x v="12"/>
    <x v="699"/>
    <n v="176.04"/>
    <n v="4"/>
    <n v="45.77"/>
    <x v="2"/>
    <x v="3"/>
  </r>
  <r>
    <n v="45376"/>
    <x v="107"/>
    <x v="3"/>
    <x v="0"/>
    <x v="4"/>
    <x v="108"/>
    <n v="16.02"/>
    <n v="9"/>
    <n v="4.49"/>
    <x v="2"/>
    <x v="3"/>
  </r>
  <r>
    <n v="45376"/>
    <x v="107"/>
    <x v="3"/>
    <x v="0"/>
    <x v="3"/>
    <x v="396"/>
    <n v="185.92"/>
    <n v="4"/>
    <n v="62.75"/>
    <x v="2"/>
    <x v="3"/>
  </r>
  <r>
    <n v="45376"/>
    <x v="107"/>
    <x v="3"/>
    <x v="2"/>
    <x v="6"/>
    <x v="1653"/>
    <n v="211.17"/>
    <n v="4"/>
    <n v="15.84"/>
    <x v="2"/>
    <x v="3"/>
  </r>
  <r>
    <n v="45376"/>
    <x v="107"/>
    <x v="3"/>
    <x v="2"/>
    <x v="16"/>
    <x v="1478"/>
    <n v="479.98"/>
    <n v="2"/>
    <n v="60"/>
    <x v="2"/>
    <x v="3"/>
  </r>
  <r>
    <n v="45376"/>
    <x v="514"/>
    <x v="21"/>
    <x v="1"/>
    <x v="5"/>
    <x v="26"/>
    <n v="90.99"/>
    <n v="1"/>
    <n v="14.56"/>
    <x v="2"/>
    <x v="3"/>
  </r>
  <r>
    <n v="45376"/>
    <x v="514"/>
    <x v="21"/>
    <x v="1"/>
    <x v="5"/>
    <x v="376"/>
    <n v="1526.56"/>
    <n v="7"/>
    <n v="427.44"/>
    <x v="2"/>
    <x v="3"/>
  </r>
  <r>
    <n v="45376"/>
    <x v="514"/>
    <x v="21"/>
    <x v="1"/>
    <x v="5"/>
    <x v="561"/>
    <n v="368.97"/>
    <n v="3"/>
    <n v="40.590000000000003"/>
    <x v="2"/>
    <x v="3"/>
  </r>
  <r>
    <n v="45376"/>
    <x v="257"/>
    <x v="0"/>
    <x v="0"/>
    <x v="0"/>
    <x v="1352"/>
    <n v="6.85"/>
    <n v="2"/>
    <n v="2.14"/>
    <x v="2"/>
    <x v="3"/>
  </r>
  <r>
    <n v="45376"/>
    <x v="76"/>
    <x v="22"/>
    <x v="0"/>
    <x v="4"/>
    <x v="1439"/>
    <n v="23.1"/>
    <n v="2"/>
    <n v="6.93"/>
    <x v="2"/>
    <x v="3"/>
  </r>
  <r>
    <n v="45376"/>
    <x v="154"/>
    <x v="20"/>
    <x v="0"/>
    <x v="4"/>
    <x v="1363"/>
    <n v="11.05"/>
    <n v="5"/>
    <n v="2.98"/>
    <x v="2"/>
    <x v="3"/>
  </r>
  <r>
    <n v="45377"/>
    <x v="95"/>
    <x v="20"/>
    <x v="1"/>
    <x v="11"/>
    <x v="1397"/>
    <n v="257.57"/>
    <n v="2"/>
    <n v="-28.98"/>
    <x v="2"/>
    <x v="3"/>
  </r>
  <r>
    <n v="45377"/>
    <x v="95"/>
    <x v="20"/>
    <x v="2"/>
    <x v="6"/>
    <x v="1064"/>
    <n v="119.96"/>
    <n v="4"/>
    <n v="33.590000000000003"/>
    <x v="2"/>
    <x v="3"/>
  </r>
  <r>
    <n v="45377"/>
    <x v="713"/>
    <x v="22"/>
    <x v="0"/>
    <x v="4"/>
    <x v="1435"/>
    <n v="19.829999999999998"/>
    <n v="1"/>
    <n v="5.95"/>
    <x v="2"/>
    <x v="3"/>
  </r>
  <r>
    <n v="45377"/>
    <x v="783"/>
    <x v="14"/>
    <x v="1"/>
    <x v="8"/>
    <x v="1802"/>
    <n v="60.84"/>
    <n v="3"/>
    <n v="23.12"/>
    <x v="2"/>
    <x v="3"/>
  </r>
  <r>
    <n v="45377"/>
    <x v="726"/>
    <x v="6"/>
    <x v="2"/>
    <x v="9"/>
    <x v="1286"/>
    <n v="53.25"/>
    <n v="3"/>
    <n v="20.77"/>
    <x v="2"/>
    <x v="3"/>
  </r>
  <r>
    <n v="45377"/>
    <x v="726"/>
    <x v="6"/>
    <x v="0"/>
    <x v="7"/>
    <x v="78"/>
    <n v="3.76"/>
    <n v="2"/>
    <n v="1.32"/>
    <x v="2"/>
    <x v="3"/>
  </r>
  <r>
    <n v="45377"/>
    <x v="252"/>
    <x v="0"/>
    <x v="2"/>
    <x v="9"/>
    <x v="530"/>
    <n v="143.96"/>
    <n v="5"/>
    <n v="1.8"/>
    <x v="2"/>
    <x v="3"/>
  </r>
  <r>
    <n v="45377"/>
    <x v="252"/>
    <x v="0"/>
    <x v="2"/>
    <x v="16"/>
    <x v="856"/>
    <n v="2399.96"/>
    <n v="5"/>
    <n v="569.99"/>
    <x v="2"/>
    <x v="3"/>
  </r>
  <r>
    <n v="45377"/>
    <x v="252"/>
    <x v="0"/>
    <x v="0"/>
    <x v="0"/>
    <x v="214"/>
    <n v="74.349999999999994"/>
    <n v="3"/>
    <n v="23.24"/>
    <x v="2"/>
    <x v="3"/>
  </r>
  <r>
    <n v="45377"/>
    <x v="252"/>
    <x v="0"/>
    <x v="0"/>
    <x v="12"/>
    <x v="1217"/>
    <n v="87.17"/>
    <n v="8"/>
    <n v="-226.64"/>
    <x v="2"/>
    <x v="3"/>
  </r>
  <r>
    <n v="45377"/>
    <x v="252"/>
    <x v="0"/>
    <x v="0"/>
    <x v="2"/>
    <x v="1314"/>
    <n v="32.229999999999997"/>
    <n v="3"/>
    <n v="2.42"/>
    <x v="2"/>
    <x v="3"/>
  </r>
  <r>
    <n v="45378"/>
    <x v="199"/>
    <x v="2"/>
    <x v="1"/>
    <x v="8"/>
    <x v="1278"/>
    <n v="15.01"/>
    <n v="2"/>
    <n v="1.5"/>
    <x v="2"/>
    <x v="3"/>
  </r>
  <r>
    <n v="45378"/>
    <x v="648"/>
    <x v="3"/>
    <x v="0"/>
    <x v="0"/>
    <x v="1765"/>
    <n v="45.68"/>
    <n v="2"/>
    <n v="21.01"/>
    <x v="2"/>
    <x v="3"/>
  </r>
  <r>
    <n v="45378"/>
    <x v="648"/>
    <x v="3"/>
    <x v="0"/>
    <x v="0"/>
    <x v="546"/>
    <n v="110.96"/>
    <n v="2"/>
    <n v="53.26"/>
    <x v="2"/>
    <x v="3"/>
  </r>
  <r>
    <n v="45378"/>
    <x v="648"/>
    <x v="3"/>
    <x v="0"/>
    <x v="0"/>
    <x v="1803"/>
    <n v="11.94"/>
    <n v="3"/>
    <n v="5.97"/>
    <x v="2"/>
    <x v="3"/>
  </r>
  <r>
    <n v="45378"/>
    <x v="641"/>
    <x v="6"/>
    <x v="0"/>
    <x v="1"/>
    <x v="1410"/>
    <n v="8.26"/>
    <n v="2"/>
    <n v="3.8"/>
    <x v="2"/>
    <x v="3"/>
  </r>
  <r>
    <n v="45378"/>
    <x v="641"/>
    <x v="6"/>
    <x v="0"/>
    <x v="3"/>
    <x v="638"/>
    <n v="17.760000000000002"/>
    <n v="2"/>
    <n v="8.8800000000000008"/>
    <x v="2"/>
    <x v="3"/>
  </r>
  <r>
    <n v="45378"/>
    <x v="641"/>
    <x v="6"/>
    <x v="0"/>
    <x v="2"/>
    <x v="351"/>
    <n v="332.94"/>
    <n v="3"/>
    <n v="9.99"/>
    <x v="2"/>
    <x v="3"/>
  </r>
  <r>
    <n v="45378"/>
    <x v="641"/>
    <x v="6"/>
    <x v="1"/>
    <x v="13"/>
    <x v="1060"/>
    <n v="292.10000000000002"/>
    <n v="2"/>
    <n v="58.42"/>
    <x v="2"/>
    <x v="3"/>
  </r>
  <r>
    <n v="45378"/>
    <x v="641"/>
    <x v="6"/>
    <x v="2"/>
    <x v="6"/>
    <x v="1804"/>
    <n v="206.1"/>
    <n v="5"/>
    <n v="55.65"/>
    <x v="2"/>
    <x v="3"/>
  </r>
  <r>
    <n v="45378"/>
    <x v="641"/>
    <x v="6"/>
    <x v="0"/>
    <x v="0"/>
    <x v="1287"/>
    <n v="17.64"/>
    <n v="4"/>
    <n v="8.11"/>
    <x v="2"/>
    <x v="3"/>
  </r>
  <r>
    <n v="45378"/>
    <x v="740"/>
    <x v="0"/>
    <x v="1"/>
    <x v="11"/>
    <x v="1248"/>
    <n v="1023.33"/>
    <n v="5"/>
    <n v="-30.1"/>
    <x v="2"/>
    <x v="3"/>
  </r>
  <r>
    <n v="45378"/>
    <x v="740"/>
    <x v="0"/>
    <x v="1"/>
    <x v="5"/>
    <x v="7"/>
    <n v="600.55999999999995"/>
    <n v="3"/>
    <n v="-8.58"/>
    <x v="2"/>
    <x v="3"/>
  </r>
  <r>
    <n v="45378"/>
    <x v="740"/>
    <x v="0"/>
    <x v="2"/>
    <x v="9"/>
    <x v="247"/>
    <n v="39.99"/>
    <n v="1"/>
    <n v="7"/>
    <x v="2"/>
    <x v="3"/>
  </r>
  <r>
    <n v="45378"/>
    <x v="740"/>
    <x v="0"/>
    <x v="1"/>
    <x v="5"/>
    <x v="1082"/>
    <n v="211.25"/>
    <n v="2"/>
    <n v="-66.39"/>
    <x v="2"/>
    <x v="3"/>
  </r>
  <r>
    <n v="45379"/>
    <x v="38"/>
    <x v="16"/>
    <x v="0"/>
    <x v="3"/>
    <x v="1154"/>
    <n v="68.739999999999995"/>
    <n v="9"/>
    <n v="-48.12"/>
    <x v="2"/>
    <x v="3"/>
  </r>
  <r>
    <n v="45379"/>
    <x v="526"/>
    <x v="3"/>
    <x v="0"/>
    <x v="0"/>
    <x v="1709"/>
    <n v="12.96"/>
    <n v="2"/>
    <n v="6.35"/>
    <x v="2"/>
    <x v="3"/>
  </r>
  <r>
    <n v="45379"/>
    <x v="526"/>
    <x v="3"/>
    <x v="1"/>
    <x v="8"/>
    <x v="34"/>
    <n v="26.48"/>
    <n v="1"/>
    <n v="10.06"/>
    <x v="2"/>
    <x v="3"/>
  </r>
  <r>
    <n v="45379"/>
    <x v="526"/>
    <x v="3"/>
    <x v="2"/>
    <x v="15"/>
    <x v="766"/>
    <n v="532.72"/>
    <n v="2"/>
    <n v="53.27"/>
    <x v="2"/>
    <x v="3"/>
  </r>
  <r>
    <n v="45379"/>
    <x v="526"/>
    <x v="3"/>
    <x v="0"/>
    <x v="0"/>
    <x v="1752"/>
    <n v="26.72"/>
    <n v="4"/>
    <n v="12.83"/>
    <x v="2"/>
    <x v="3"/>
  </r>
  <r>
    <n v="45379"/>
    <x v="526"/>
    <x v="3"/>
    <x v="0"/>
    <x v="0"/>
    <x v="1282"/>
    <n v="20.04"/>
    <n v="3"/>
    <n v="9.6199999999999992"/>
    <x v="2"/>
    <x v="3"/>
  </r>
  <r>
    <n v="45379"/>
    <x v="526"/>
    <x v="3"/>
    <x v="0"/>
    <x v="2"/>
    <x v="2"/>
    <n v="795.48"/>
    <n v="7"/>
    <n v="7.95"/>
    <x v="2"/>
    <x v="3"/>
  </r>
  <r>
    <n v="45379"/>
    <x v="526"/>
    <x v="3"/>
    <x v="1"/>
    <x v="8"/>
    <x v="1148"/>
    <n v="21.56"/>
    <n v="7"/>
    <n v="6.9"/>
    <x v="2"/>
    <x v="3"/>
  </r>
  <r>
    <n v="45380"/>
    <x v="310"/>
    <x v="18"/>
    <x v="0"/>
    <x v="2"/>
    <x v="272"/>
    <n v="81.400000000000006"/>
    <n v="5"/>
    <n v="21.16"/>
    <x v="2"/>
    <x v="3"/>
  </r>
  <r>
    <n v="45381"/>
    <x v="784"/>
    <x v="39"/>
    <x v="0"/>
    <x v="10"/>
    <x v="1805"/>
    <n v="325.86"/>
    <n v="2"/>
    <n v="149.9"/>
    <x v="2"/>
    <x v="3"/>
  </r>
  <r>
    <n v="45381"/>
    <x v="652"/>
    <x v="2"/>
    <x v="0"/>
    <x v="3"/>
    <x v="343"/>
    <n v="5.72"/>
    <n v="5"/>
    <n v="-4.76"/>
    <x v="2"/>
    <x v="3"/>
  </r>
  <r>
    <n v="45381"/>
    <x v="5"/>
    <x v="4"/>
    <x v="0"/>
    <x v="2"/>
    <x v="1543"/>
    <n v="59.76"/>
    <n v="1"/>
    <n v="16.73"/>
    <x v="2"/>
    <x v="3"/>
  </r>
  <r>
    <n v="45381"/>
    <x v="23"/>
    <x v="3"/>
    <x v="0"/>
    <x v="4"/>
    <x v="1472"/>
    <n v="6.08"/>
    <n v="2"/>
    <n v="2.0699999999999998"/>
    <x v="2"/>
    <x v="3"/>
  </r>
  <r>
    <n v="45381"/>
    <x v="23"/>
    <x v="3"/>
    <x v="2"/>
    <x v="6"/>
    <x v="1749"/>
    <n v="164.79"/>
    <n v="1"/>
    <n v="18.54"/>
    <x v="2"/>
    <x v="3"/>
  </r>
  <r>
    <n v="45381"/>
    <x v="513"/>
    <x v="3"/>
    <x v="1"/>
    <x v="8"/>
    <x v="1310"/>
    <n v="94.2"/>
    <n v="5"/>
    <n v="39.56"/>
    <x v="2"/>
    <x v="3"/>
  </r>
  <r>
    <n v="45382"/>
    <x v="171"/>
    <x v="0"/>
    <x v="1"/>
    <x v="11"/>
    <x v="1408"/>
    <n v="205.33"/>
    <n v="2"/>
    <n v="-36.24"/>
    <x v="2"/>
    <x v="3"/>
  </r>
  <r>
    <n v="45382"/>
    <x v="626"/>
    <x v="20"/>
    <x v="1"/>
    <x v="8"/>
    <x v="630"/>
    <n v="29.78"/>
    <n v="2"/>
    <n v="8.0399999999999991"/>
    <x v="2"/>
    <x v="3"/>
  </r>
  <r>
    <n v="45382"/>
    <x v="626"/>
    <x v="20"/>
    <x v="2"/>
    <x v="6"/>
    <x v="803"/>
    <n v="677.58"/>
    <n v="3"/>
    <n v="176.17"/>
    <x v="2"/>
    <x v="3"/>
  </r>
  <r>
    <n v="45382"/>
    <x v="626"/>
    <x v="20"/>
    <x v="0"/>
    <x v="0"/>
    <x v="1737"/>
    <n v="75.040000000000006"/>
    <n v="8"/>
    <n v="36.020000000000003"/>
    <x v="2"/>
    <x v="3"/>
  </r>
  <r>
    <n v="45382"/>
    <x v="445"/>
    <x v="20"/>
    <x v="2"/>
    <x v="6"/>
    <x v="826"/>
    <n v="84.95"/>
    <n v="5"/>
    <n v="22.09"/>
    <x v="2"/>
    <x v="3"/>
  </r>
  <r>
    <n v="45382"/>
    <x v="474"/>
    <x v="5"/>
    <x v="1"/>
    <x v="8"/>
    <x v="557"/>
    <n v="61"/>
    <n v="5"/>
    <n v="25.62"/>
    <x v="2"/>
    <x v="3"/>
  </r>
  <r>
    <n v="45382"/>
    <x v="474"/>
    <x v="5"/>
    <x v="2"/>
    <x v="6"/>
    <x v="827"/>
    <n v="671.93"/>
    <n v="7"/>
    <n v="188.14"/>
    <x v="2"/>
    <x v="3"/>
  </r>
  <r>
    <n v="45382"/>
    <x v="709"/>
    <x v="1"/>
    <x v="0"/>
    <x v="3"/>
    <x v="730"/>
    <n v="13.47"/>
    <n v="13"/>
    <n v="-22.9"/>
    <x v="2"/>
    <x v="3"/>
  </r>
  <r>
    <n v="45382"/>
    <x v="458"/>
    <x v="4"/>
    <x v="0"/>
    <x v="3"/>
    <x v="1599"/>
    <n v="34.54"/>
    <n v="1"/>
    <n v="17.27"/>
    <x v="2"/>
    <x v="3"/>
  </r>
  <r>
    <n v="45382"/>
    <x v="458"/>
    <x v="4"/>
    <x v="2"/>
    <x v="16"/>
    <x v="377"/>
    <n v="2999.95"/>
    <n v="5"/>
    <n v="1439.98"/>
    <x v="2"/>
    <x v="3"/>
  </r>
  <r>
    <n v="45382"/>
    <x v="458"/>
    <x v="4"/>
    <x v="0"/>
    <x v="3"/>
    <x v="775"/>
    <n v="64.12"/>
    <n v="4"/>
    <n v="30.78"/>
    <x v="2"/>
    <x v="3"/>
  </r>
  <r>
    <n v="45382"/>
    <x v="134"/>
    <x v="0"/>
    <x v="0"/>
    <x v="12"/>
    <x v="1596"/>
    <n v="33.619999999999997"/>
    <n v="5"/>
    <n v="-90.77"/>
    <x v="2"/>
    <x v="3"/>
  </r>
  <r>
    <n v="45382"/>
    <x v="418"/>
    <x v="3"/>
    <x v="0"/>
    <x v="14"/>
    <x v="1452"/>
    <n v="29.7"/>
    <n v="3"/>
    <n v="8.02"/>
    <x v="2"/>
    <x v="3"/>
  </r>
  <r>
    <n v="45383"/>
    <x v="423"/>
    <x v="24"/>
    <x v="0"/>
    <x v="2"/>
    <x v="1533"/>
    <n v="94.2"/>
    <n v="6"/>
    <n v="23.55"/>
    <x v="3"/>
    <x v="3"/>
  </r>
  <r>
    <n v="45383"/>
    <x v="423"/>
    <x v="24"/>
    <x v="0"/>
    <x v="10"/>
    <x v="21"/>
    <n v="28.4"/>
    <n v="5"/>
    <n v="13.35"/>
    <x v="3"/>
    <x v="3"/>
  </r>
  <r>
    <n v="45383"/>
    <x v="389"/>
    <x v="3"/>
    <x v="0"/>
    <x v="1"/>
    <x v="1731"/>
    <n v="5.78"/>
    <n v="2"/>
    <n v="2.72"/>
    <x v="3"/>
    <x v="3"/>
  </r>
  <r>
    <n v="45383"/>
    <x v="389"/>
    <x v="3"/>
    <x v="0"/>
    <x v="3"/>
    <x v="363"/>
    <n v="121.68"/>
    <n v="13"/>
    <n v="38.03"/>
    <x v="3"/>
    <x v="3"/>
  </r>
  <r>
    <n v="45383"/>
    <x v="317"/>
    <x v="3"/>
    <x v="1"/>
    <x v="11"/>
    <x v="1744"/>
    <n v="482.66"/>
    <n v="8"/>
    <n v="85.18"/>
    <x v="3"/>
    <x v="3"/>
  </r>
  <r>
    <n v="45383"/>
    <x v="317"/>
    <x v="3"/>
    <x v="2"/>
    <x v="15"/>
    <x v="1602"/>
    <n v="4799.9799999999996"/>
    <n v="2"/>
    <n v="360"/>
    <x v="3"/>
    <x v="3"/>
  </r>
  <r>
    <n v="45383"/>
    <x v="405"/>
    <x v="20"/>
    <x v="0"/>
    <x v="0"/>
    <x v="1236"/>
    <n v="42.93"/>
    <n v="9"/>
    <n v="19.32"/>
    <x v="3"/>
    <x v="3"/>
  </r>
  <r>
    <n v="45383"/>
    <x v="45"/>
    <x v="16"/>
    <x v="2"/>
    <x v="6"/>
    <x v="1201"/>
    <n v="23.98"/>
    <n v="3"/>
    <n v="-5.69"/>
    <x v="3"/>
    <x v="3"/>
  </r>
  <r>
    <n v="45383"/>
    <x v="45"/>
    <x v="16"/>
    <x v="0"/>
    <x v="1"/>
    <x v="685"/>
    <n v="6.26"/>
    <n v="3"/>
    <n v="2.04"/>
    <x v="3"/>
    <x v="3"/>
  </r>
  <r>
    <n v="45383"/>
    <x v="45"/>
    <x v="16"/>
    <x v="0"/>
    <x v="12"/>
    <x v="394"/>
    <n v="20.81"/>
    <n v="3"/>
    <n v="1.82"/>
    <x v="3"/>
    <x v="3"/>
  </r>
  <r>
    <n v="45383"/>
    <x v="45"/>
    <x v="16"/>
    <x v="1"/>
    <x v="5"/>
    <x v="943"/>
    <n v="218.35"/>
    <n v="3"/>
    <n v="-19.11"/>
    <x v="3"/>
    <x v="3"/>
  </r>
  <r>
    <n v="45383"/>
    <x v="169"/>
    <x v="9"/>
    <x v="1"/>
    <x v="8"/>
    <x v="809"/>
    <n v="127.95"/>
    <n v="3"/>
    <n v="21.75"/>
    <x v="3"/>
    <x v="3"/>
  </r>
  <r>
    <n v="45384"/>
    <x v="509"/>
    <x v="3"/>
    <x v="1"/>
    <x v="8"/>
    <x v="598"/>
    <n v="25.11"/>
    <n v="3"/>
    <n v="6.53"/>
    <x v="3"/>
    <x v="3"/>
  </r>
  <r>
    <n v="45384"/>
    <x v="529"/>
    <x v="4"/>
    <x v="1"/>
    <x v="13"/>
    <x v="490"/>
    <n v="411.8"/>
    <n v="2"/>
    <n v="70.010000000000005"/>
    <x v="3"/>
    <x v="3"/>
  </r>
  <r>
    <n v="45384"/>
    <x v="529"/>
    <x v="4"/>
    <x v="2"/>
    <x v="9"/>
    <x v="993"/>
    <n v="360"/>
    <n v="4"/>
    <n v="129.6"/>
    <x v="3"/>
    <x v="3"/>
  </r>
  <r>
    <n v="45384"/>
    <x v="538"/>
    <x v="37"/>
    <x v="0"/>
    <x v="4"/>
    <x v="1785"/>
    <n v="11.12"/>
    <n v="4"/>
    <n v="2.89"/>
    <x v="3"/>
    <x v="3"/>
  </r>
  <r>
    <n v="45384"/>
    <x v="596"/>
    <x v="33"/>
    <x v="0"/>
    <x v="1"/>
    <x v="849"/>
    <n v="14.94"/>
    <n v="3"/>
    <n v="6.87"/>
    <x v="3"/>
    <x v="3"/>
  </r>
  <r>
    <n v="45385"/>
    <x v="175"/>
    <x v="2"/>
    <x v="1"/>
    <x v="8"/>
    <x v="626"/>
    <n v="25.47"/>
    <n v="4"/>
    <n v="7.64"/>
    <x v="3"/>
    <x v="3"/>
  </r>
  <r>
    <n v="45385"/>
    <x v="52"/>
    <x v="1"/>
    <x v="0"/>
    <x v="4"/>
    <x v="793"/>
    <n v="7.06"/>
    <n v="3"/>
    <n v="2.21"/>
    <x v="3"/>
    <x v="3"/>
  </r>
  <r>
    <n v="45386"/>
    <x v="481"/>
    <x v="1"/>
    <x v="2"/>
    <x v="6"/>
    <x v="1613"/>
    <n v="383.84"/>
    <n v="4"/>
    <n v="47.98"/>
    <x v="3"/>
    <x v="3"/>
  </r>
  <r>
    <n v="45386"/>
    <x v="293"/>
    <x v="20"/>
    <x v="2"/>
    <x v="6"/>
    <x v="1804"/>
    <n v="41.22"/>
    <n v="1"/>
    <n v="11.13"/>
    <x v="3"/>
    <x v="3"/>
  </r>
  <r>
    <n v="45386"/>
    <x v="293"/>
    <x v="20"/>
    <x v="0"/>
    <x v="14"/>
    <x v="966"/>
    <n v="240.37"/>
    <n v="1"/>
    <n v="7.21"/>
    <x v="3"/>
    <x v="3"/>
  </r>
  <r>
    <n v="45386"/>
    <x v="293"/>
    <x v="20"/>
    <x v="2"/>
    <x v="6"/>
    <x v="1222"/>
    <n v="119.02"/>
    <n v="2"/>
    <n v="33.33"/>
    <x v="3"/>
    <x v="3"/>
  </r>
  <r>
    <n v="45386"/>
    <x v="577"/>
    <x v="20"/>
    <x v="0"/>
    <x v="10"/>
    <x v="22"/>
    <n v="16.98"/>
    <n v="1"/>
    <n v="8.49"/>
    <x v="3"/>
    <x v="3"/>
  </r>
  <r>
    <n v="45386"/>
    <x v="398"/>
    <x v="20"/>
    <x v="0"/>
    <x v="4"/>
    <x v="1591"/>
    <n v="7.04"/>
    <n v="4"/>
    <n v="2.04"/>
    <x v="3"/>
    <x v="3"/>
  </r>
  <r>
    <n v="45388"/>
    <x v="770"/>
    <x v="30"/>
    <x v="0"/>
    <x v="0"/>
    <x v="371"/>
    <n v="106.32"/>
    <n v="3"/>
    <n v="49.97"/>
    <x v="3"/>
    <x v="3"/>
  </r>
  <r>
    <n v="45388"/>
    <x v="345"/>
    <x v="15"/>
    <x v="0"/>
    <x v="3"/>
    <x v="1069"/>
    <n v="8.1"/>
    <n v="5"/>
    <n v="-5.94"/>
    <x v="3"/>
    <x v="3"/>
  </r>
  <r>
    <n v="45389"/>
    <x v="431"/>
    <x v="16"/>
    <x v="1"/>
    <x v="13"/>
    <x v="328"/>
    <n v="233.86"/>
    <n v="2"/>
    <n v="-102.05"/>
    <x v="3"/>
    <x v="3"/>
  </r>
  <r>
    <n v="45389"/>
    <x v="431"/>
    <x v="16"/>
    <x v="1"/>
    <x v="13"/>
    <x v="177"/>
    <n v="620.61"/>
    <n v="3"/>
    <n v="-248.25"/>
    <x v="3"/>
    <x v="3"/>
  </r>
  <r>
    <n v="45389"/>
    <x v="431"/>
    <x v="16"/>
    <x v="0"/>
    <x v="3"/>
    <x v="638"/>
    <n v="5.33"/>
    <n v="2"/>
    <n v="-3.55"/>
    <x v="3"/>
    <x v="3"/>
  </r>
  <r>
    <n v="45389"/>
    <x v="431"/>
    <x v="16"/>
    <x v="1"/>
    <x v="8"/>
    <x v="1573"/>
    <n v="258.07"/>
    <n v="3"/>
    <n v="0"/>
    <x v="3"/>
    <x v="3"/>
  </r>
  <r>
    <n v="45389"/>
    <x v="431"/>
    <x v="16"/>
    <x v="2"/>
    <x v="9"/>
    <x v="1044"/>
    <n v="617.98"/>
    <n v="3"/>
    <n v="-7.72"/>
    <x v="3"/>
    <x v="3"/>
  </r>
  <r>
    <n v="45389"/>
    <x v="57"/>
    <x v="16"/>
    <x v="0"/>
    <x v="4"/>
    <x v="1027"/>
    <n v="16.260000000000002"/>
    <n v="2"/>
    <n v="1.22"/>
    <x v="3"/>
    <x v="3"/>
  </r>
  <r>
    <n v="45389"/>
    <x v="57"/>
    <x v="16"/>
    <x v="2"/>
    <x v="6"/>
    <x v="308"/>
    <n v="219.18"/>
    <n v="2"/>
    <n v="19.18"/>
    <x v="3"/>
    <x v="3"/>
  </r>
  <r>
    <n v="45390"/>
    <x v="491"/>
    <x v="4"/>
    <x v="1"/>
    <x v="8"/>
    <x v="1278"/>
    <n v="56.28"/>
    <n v="6"/>
    <n v="15.76"/>
    <x v="3"/>
    <x v="3"/>
  </r>
  <r>
    <n v="45390"/>
    <x v="491"/>
    <x v="4"/>
    <x v="0"/>
    <x v="3"/>
    <x v="717"/>
    <n v="2690.97"/>
    <n v="3"/>
    <n v="1264.76"/>
    <x v="3"/>
    <x v="3"/>
  </r>
  <r>
    <n v="45390"/>
    <x v="432"/>
    <x v="23"/>
    <x v="0"/>
    <x v="2"/>
    <x v="1380"/>
    <n v="2591.56"/>
    <n v="4"/>
    <n v="621.97"/>
    <x v="3"/>
    <x v="3"/>
  </r>
  <r>
    <n v="45390"/>
    <x v="432"/>
    <x v="23"/>
    <x v="0"/>
    <x v="12"/>
    <x v="792"/>
    <n v="41.95"/>
    <n v="5"/>
    <n v="10.49"/>
    <x v="3"/>
    <x v="3"/>
  </r>
  <r>
    <n v="45390"/>
    <x v="303"/>
    <x v="3"/>
    <x v="0"/>
    <x v="0"/>
    <x v="141"/>
    <n v="244.55"/>
    <n v="5"/>
    <n v="114.94"/>
    <x v="3"/>
    <x v="3"/>
  </r>
  <r>
    <n v="45390"/>
    <x v="303"/>
    <x v="3"/>
    <x v="0"/>
    <x v="0"/>
    <x v="819"/>
    <n v="195.76"/>
    <n v="4"/>
    <n v="97.88"/>
    <x v="3"/>
    <x v="3"/>
  </r>
  <r>
    <n v="45390"/>
    <x v="62"/>
    <x v="14"/>
    <x v="1"/>
    <x v="8"/>
    <x v="769"/>
    <n v="273.95999999999998"/>
    <n v="2"/>
    <n v="71.23"/>
    <x v="3"/>
    <x v="3"/>
  </r>
  <r>
    <n v="45390"/>
    <x v="62"/>
    <x v="14"/>
    <x v="1"/>
    <x v="8"/>
    <x v="889"/>
    <n v="306.89999999999998"/>
    <n v="3"/>
    <n v="79.790000000000006"/>
    <x v="3"/>
    <x v="3"/>
  </r>
  <r>
    <n v="45391"/>
    <x v="697"/>
    <x v="20"/>
    <x v="0"/>
    <x v="1"/>
    <x v="1806"/>
    <n v="9.82"/>
    <n v="2"/>
    <n v="4.8099999999999996"/>
    <x v="3"/>
    <x v="3"/>
  </r>
  <r>
    <n v="45391"/>
    <x v="697"/>
    <x v="20"/>
    <x v="0"/>
    <x v="4"/>
    <x v="698"/>
    <n v="35.97"/>
    <n v="3"/>
    <n v="9.7100000000000009"/>
    <x v="3"/>
    <x v="3"/>
  </r>
  <r>
    <n v="45391"/>
    <x v="697"/>
    <x v="20"/>
    <x v="0"/>
    <x v="0"/>
    <x v="1427"/>
    <n v="12.96"/>
    <n v="2"/>
    <n v="6.22"/>
    <x v="3"/>
    <x v="3"/>
  </r>
  <r>
    <n v="45391"/>
    <x v="697"/>
    <x v="20"/>
    <x v="0"/>
    <x v="0"/>
    <x v="1807"/>
    <n v="191.6"/>
    <n v="4"/>
    <n v="91.97"/>
    <x v="3"/>
    <x v="3"/>
  </r>
  <r>
    <n v="45391"/>
    <x v="697"/>
    <x v="20"/>
    <x v="0"/>
    <x v="1"/>
    <x v="349"/>
    <n v="8.64"/>
    <n v="3"/>
    <n v="4.2300000000000004"/>
    <x v="3"/>
    <x v="3"/>
  </r>
  <r>
    <n v="45391"/>
    <x v="697"/>
    <x v="20"/>
    <x v="0"/>
    <x v="2"/>
    <x v="525"/>
    <n v="501.81"/>
    <n v="3"/>
    <n v="0"/>
    <x v="3"/>
    <x v="3"/>
  </r>
  <r>
    <n v="45391"/>
    <x v="52"/>
    <x v="16"/>
    <x v="0"/>
    <x v="1"/>
    <x v="897"/>
    <n v="15.12"/>
    <n v="3"/>
    <n v="4.91"/>
    <x v="3"/>
    <x v="3"/>
  </r>
  <r>
    <n v="45391"/>
    <x v="52"/>
    <x v="16"/>
    <x v="0"/>
    <x v="3"/>
    <x v="396"/>
    <n v="17.43"/>
    <n v="1"/>
    <n v="-13.36"/>
    <x v="3"/>
    <x v="3"/>
  </r>
  <r>
    <n v="45391"/>
    <x v="52"/>
    <x v="16"/>
    <x v="0"/>
    <x v="0"/>
    <x v="1481"/>
    <n v="251.64"/>
    <n v="3"/>
    <n v="88.07"/>
    <x v="3"/>
    <x v="3"/>
  </r>
  <r>
    <n v="45391"/>
    <x v="318"/>
    <x v="14"/>
    <x v="0"/>
    <x v="3"/>
    <x v="542"/>
    <n v="478.24"/>
    <n v="8"/>
    <n v="219.99"/>
    <x v="3"/>
    <x v="3"/>
  </r>
  <r>
    <n v="45391"/>
    <x v="479"/>
    <x v="2"/>
    <x v="0"/>
    <x v="3"/>
    <x v="1414"/>
    <n v="37.9"/>
    <n v="4"/>
    <n v="-29.05"/>
    <x v="3"/>
    <x v="3"/>
  </r>
  <r>
    <n v="45391"/>
    <x v="479"/>
    <x v="2"/>
    <x v="0"/>
    <x v="0"/>
    <x v="1025"/>
    <n v="65.58"/>
    <n v="2"/>
    <n v="23.77"/>
    <x v="3"/>
    <x v="3"/>
  </r>
  <r>
    <n v="45392"/>
    <x v="694"/>
    <x v="23"/>
    <x v="0"/>
    <x v="0"/>
    <x v="605"/>
    <n v="7.61"/>
    <n v="1"/>
    <n v="3.58"/>
    <x v="3"/>
    <x v="3"/>
  </r>
  <r>
    <n v="45392"/>
    <x v="694"/>
    <x v="23"/>
    <x v="0"/>
    <x v="7"/>
    <x v="500"/>
    <n v="7.16"/>
    <n v="2"/>
    <n v="3.58"/>
    <x v="3"/>
    <x v="3"/>
  </r>
  <r>
    <n v="45392"/>
    <x v="446"/>
    <x v="0"/>
    <x v="0"/>
    <x v="0"/>
    <x v="1365"/>
    <n v="10.37"/>
    <n v="2"/>
    <n v="3.63"/>
    <x v="3"/>
    <x v="3"/>
  </r>
  <r>
    <n v="45392"/>
    <x v="446"/>
    <x v="0"/>
    <x v="2"/>
    <x v="9"/>
    <x v="1617"/>
    <n v="95.74"/>
    <n v="3"/>
    <n v="20.34"/>
    <x v="3"/>
    <x v="3"/>
  </r>
  <r>
    <n v="45392"/>
    <x v="785"/>
    <x v="16"/>
    <x v="1"/>
    <x v="8"/>
    <x v="1148"/>
    <n v="12.32"/>
    <n v="5"/>
    <n v="1.85"/>
    <x v="3"/>
    <x v="3"/>
  </r>
  <r>
    <n v="45392"/>
    <x v="785"/>
    <x v="16"/>
    <x v="0"/>
    <x v="3"/>
    <x v="832"/>
    <n v="4.42"/>
    <n v="3"/>
    <n v="-3.09"/>
    <x v="3"/>
    <x v="3"/>
  </r>
  <r>
    <n v="45392"/>
    <x v="524"/>
    <x v="37"/>
    <x v="2"/>
    <x v="9"/>
    <x v="671"/>
    <n v="99.99"/>
    <n v="1"/>
    <n v="42"/>
    <x v="3"/>
    <x v="3"/>
  </r>
  <r>
    <n v="45392"/>
    <x v="524"/>
    <x v="37"/>
    <x v="0"/>
    <x v="2"/>
    <x v="70"/>
    <n v="286.14999999999998"/>
    <n v="5"/>
    <n v="71.540000000000006"/>
    <x v="3"/>
    <x v="3"/>
  </r>
  <r>
    <n v="45392"/>
    <x v="206"/>
    <x v="2"/>
    <x v="0"/>
    <x v="12"/>
    <x v="1510"/>
    <n v="195.1"/>
    <n v="4"/>
    <n v="21.95"/>
    <x v="3"/>
    <x v="3"/>
  </r>
  <r>
    <n v="45392"/>
    <x v="206"/>
    <x v="2"/>
    <x v="1"/>
    <x v="8"/>
    <x v="1112"/>
    <n v="36.67"/>
    <n v="3"/>
    <n v="6.42"/>
    <x v="3"/>
    <x v="3"/>
  </r>
  <r>
    <n v="45393"/>
    <x v="399"/>
    <x v="3"/>
    <x v="2"/>
    <x v="9"/>
    <x v="677"/>
    <n v="199.95"/>
    <n v="5"/>
    <n v="21.99"/>
    <x v="3"/>
    <x v="3"/>
  </r>
  <r>
    <n v="45393"/>
    <x v="399"/>
    <x v="3"/>
    <x v="0"/>
    <x v="4"/>
    <x v="1666"/>
    <n v="41.86"/>
    <n v="7"/>
    <n v="14.23"/>
    <x v="3"/>
    <x v="3"/>
  </r>
  <r>
    <n v="45393"/>
    <x v="90"/>
    <x v="0"/>
    <x v="0"/>
    <x v="3"/>
    <x v="933"/>
    <n v="11.36"/>
    <n v="3"/>
    <n v="-17.05"/>
    <x v="3"/>
    <x v="3"/>
  </r>
  <r>
    <n v="45393"/>
    <x v="304"/>
    <x v="10"/>
    <x v="0"/>
    <x v="2"/>
    <x v="1462"/>
    <n v="16.77"/>
    <n v="2"/>
    <n v="1.47"/>
    <x v="3"/>
    <x v="3"/>
  </r>
  <r>
    <n v="45393"/>
    <x v="304"/>
    <x v="10"/>
    <x v="2"/>
    <x v="9"/>
    <x v="281"/>
    <n v="27.12"/>
    <n v="2"/>
    <n v="-4.75"/>
    <x v="3"/>
    <x v="3"/>
  </r>
  <r>
    <n v="45393"/>
    <x v="700"/>
    <x v="25"/>
    <x v="0"/>
    <x v="4"/>
    <x v="1808"/>
    <n v="1.75"/>
    <n v="1"/>
    <n v="0.15"/>
    <x v="3"/>
    <x v="3"/>
  </r>
  <r>
    <n v="45393"/>
    <x v="700"/>
    <x v="25"/>
    <x v="0"/>
    <x v="4"/>
    <x v="269"/>
    <n v="20.99"/>
    <n v="8"/>
    <n v="2.36"/>
    <x v="3"/>
    <x v="3"/>
  </r>
  <r>
    <n v="45394"/>
    <x v="649"/>
    <x v="43"/>
    <x v="0"/>
    <x v="3"/>
    <x v="56"/>
    <n v="29.7"/>
    <n v="5"/>
    <n v="13.37"/>
    <x v="3"/>
    <x v="3"/>
  </r>
  <r>
    <n v="45394"/>
    <x v="649"/>
    <x v="43"/>
    <x v="0"/>
    <x v="0"/>
    <x v="448"/>
    <n v="39.96"/>
    <n v="4"/>
    <n v="17.98"/>
    <x v="3"/>
    <x v="3"/>
  </r>
  <r>
    <n v="45395"/>
    <x v="274"/>
    <x v="22"/>
    <x v="0"/>
    <x v="0"/>
    <x v="1018"/>
    <n v="5.28"/>
    <n v="1"/>
    <n v="2.38"/>
    <x v="3"/>
    <x v="3"/>
  </r>
  <r>
    <n v="45395"/>
    <x v="274"/>
    <x v="22"/>
    <x v="0"/>
    <x v="3"/>
    <x v="57"/>
    <n v="895.92"/>
    <n v="5"/>
    <n v="302.37"/>
    <x v="3"/>
    <x v="3"/>
  </r>
  <r>
    <n v="45395"/>
    <x v="598"/>
    <x v="3"/>
    <x v="1"/>
    <x v="5"/>
    <x v="943"/>
    <n v="436.7"/>
    <n v="6"/>
    <n v="-38.21"/>
    <x v="3"/>
    <x v="3"/>
  </r>
  <r>
    <n v="45395"/>
    <x v="679"/>
    <x v="2"/>
    <x v="0"/>
    <x v="7"/>
    <x v="1713"/>
    <n v="7.92"/>
    <n v="5"/>
    <n v="1.68"/>
    <x v="3"/>
    <x v="3"/>
  </r>
  <r>
    <n v="45396"/>
    <x v="513"/>
    <x v="10"/>
    <x v="0"/>
    <x v="4"/>
    <x v="118"/>
    <n v="14.59"/>
    <n v="3"/>
    <n v="2.5499999999999998"/>
    <x v="3"/>
    <x v="3"/>
  </r>
  <r>
    <n v="45396"/>
    <x v="513"/>
    <x v="10"/>
    <x v="0"/>
    <x v="4"/>
    <x v="1343"/>
    <n v="89.86"/>
    <n v="3"/>
    <n v="21.34"/>
    <x v="3"/>
    <x v="3"/>
  </r>
  <r>
    <n v="45396"/>
    <x v="513"/>
    <x v="10"/>
    <x v="0"/>
    <x v="0"/>
    <x v="1515"/>
    <n v="13.87"/>
    <n v="3"/>
    <n v="5.03"/>
    <x v="3"/>
    <x v="3"/>
  </r>
  <r>
    <n v="45396"/>
    <x v="750"/>
    <x v="24"/>
    <x v="0"/>
    <x v="3"/>
    <x v="878"/>
    <n v="8.76"/>
    <n v="2"/>
    <n v="4.2"/>
    <x v="3"/>
    <x v="3"/>
  </r>
  <r>
    <n v="45396"/>
    <x v="349"/>
    <x v="20"/>
    <x v="0"/>
    <x v="3"/>
    <x v="263"/>
    <n v="10.78"/>
    <n v="3"/>
    <n v="3.5"/>
    <x v="3"/>
    <x v="3"/>
  </r>
  <r>
    <n v="45396"/>
    <x v="349"/>
    <x v="20"/>
    <x v="1"/>
    <x v="11"/>
    <x v="1671"/>
    <n v="242.35"/>
    <n v="3"/>
    <n v="9.09"/>
    <x v="3"/>
    <x v="3"/>
  </r>
  <r>
    <n v="45396"/>
    <x v="360"/>
    <x v="25"/>
    <x v="1"/>
    <x v="11"/>
    <x v="32"/>
    <n v="198.27"/>
    <n v="8"/>
    <n v="-32.22"/>
    <x v="3"/>
    <x v="3"/>
  </r>
  <r>
    <n v="45396"/>
    <x v="312"/>
    <x v="23"/>
    <x v="1"/>
    <x v="8"/>
    <x v="630"/>
    <n v="74.45"/>
    <n v="5"/>
    <n v="20.100000000000001"/>
    <x v="3"/>
    <x v="3"/>
  </r>
  <r>
    <n v="45397"/>
    <x v="182"/>
    <x v="25"/>
    <x v="0"/>
    <x v="0"/>
    <x v="184"/>
    <n v="15.55"/>
    <n v="3"/>
    <n v="5.44"/>
    <x v="3"/>
    <x v="3"/>
  </r>
  <r>
    <n v="45397"/>
    <x v="489"/>
    <x v="6"/>
    <x v="0"/>
    <x v="4"/>
    <x v="718"/>
    <n v="4.8899999999999997"/>
    <n v="1"/>
    <n v="2"/>
    <x v="3"/>
    <x v="3"/>
  </r>
  <r>
    <n v="45397"/>
    <x v="512"/>
    <x v="17"/>
    <x v="1"/>
    <x v="8"/>
    <x v="1403"/>
    <n v="196.45"/>
    <n v="5"/>
    <n v="70.72"/>
    <x v="3"/>
    <x v="3"/>
  </r>
  <r>
    <n v="45397"/>
    <x v="270"/>
    <x v="3"/>
    <x v="0"/>
    <x v="0"/>
    <x v="1272"/>
    <n v="79.14"/>
    <n v="3"/>
    <n v="36.4"/>
    <x v="3"/>
    <x v="3"/>
  </r>
  <r>
    <n v="45397"/>
    <x v="26"/>
    <x v="0"/>
    <x v="0"/>
    <x v="0"/>
    <x v="1580"/>
    <n v="20.74"/>
    <n v="4"/>
    <n v="7.26"/>
    <x v="3"/>
    <x v="3"/>
  </r>
  <r>
    <n v="45397"/>
    <x v="244"/>
    <x v="16"/>
    <x v="0"/>
    <x v="3"/>
    <x v="98"/>
    <n v="15.57"/>
    <n v="3"/>
    <n v="-11.94"/>
    <x v="3"/>
    <x v="3"/>
  </r>
  <r>
    <n v="45398"/>
    <x v="485"/>
    <x v="1"/>
    <x v="0"/>
    <x v="4"/>
    <x v="974"/>
    <n v="16.52"/>
    <n v="5"/>
    <n v="2.0699999999999998"/>
    <x v="3"/>
    <x v="3"/>
  </r>
  <r>
    <n v="45398"/>
    <x v="503"/>
    <x v="10"/>
    <x v="0"/>
    <x v="3"/>
    <x v="529"/>
    <n v="13.71"/>
    <n v="5"/>
    <n v="-10.050000000000001"/>
    <x v="3"/>
    <x v="3"/>
  </r>
  <r>
    <n v="45398"/>
    <x v="264"/>
    <x v="3"/>
    <x v="0"/>
    <x v="2"/>
    <x v="627"/>
    <n v="205.92"/>
    <n v="4"/>
    <n v="2.06"/>
    <x v="3"/>
    <x v="3"/>
  </r>
  <r>
    <n v="45398"/>
    <x v="264"/>
    <x v="3"/>
    <x v="1"/>
    <x v="11"/>
    <x v="238"/>
    <n v="102.83"/>
    <n v="1"/>
    <n v="-6.05"/>
    <x v="3"/>
    <x v="3"/>
  </r>
  <r>
    <n v="45398"/>
    <x v="615"/>
    <x v="33"/>
    <x v="0"/>
    <x v="14"/>
    <x v="104"/>
    <n v="477.24"/>
    <n v="4"/>
    <n v="9.5399999999999991"/>
    <x v="3"/>
    <x v="3"/>
  </r>
  <r>
    <n v="45398"/>
    <x v="615"/>
    <x v="33"/>
    <x v="2"/>
    <x v="9"/>
    <x v="410"/>
    <n v="25.98"/>
    <n v="2"/>
    <n v="1.56"/>
    <x v="3"/>
    <x v="3"/>
  </r>
  <r>
    <n v="45398"/>
    <x v="11"/>
    <x v="0"/>
    <x v="0"/>
    <x v="3"/>
    <x v="715"/>
    <n v="26.05"/>
    <n v="3"/>
    <n v="-44.28"/>
    <x v="3"/>
    <x v="3"/>
  </r>
  <r>
    <n v="45398"/>
    <x v="11"/>
    <x v="0"/>
    <x v="0"/>
    <x v="3"/>
    <x v="1057"/>
    <n v="2.9"/>
    <n v="1"/>
    <n v="-4.78"/>
    <x v="3"/>
    <x v="3"/>
  </r>
  <r>
    <n v="45398"/>
    <x v="11"/>
    <x v="0"/>
    <x v="0"/>
    <x v="2"/>
    <x v="204"/>
    <n v="32.54"/>
    <n v="2"/>
    <n v="-7.73"/>
    <x v="3"/>
    <x v="3"/>
  </r>
  <r>
    <n v="45398"/>
    <x v="618"/>
    <x v="3"/>
    <x v="0"/>
    <x v="12"/>
    <x v="1794"/>
    <n v="40.74"/>
    <n v="3"/>
    <n v="12.22"/>
    <x v="3"/>
    <x v="3"/>
  </r>
  <r>
    <n v="45399"/>
    <x v="253"/>
    <x v="26"/>
    <x v="0"/>
    <x v="3"/>
    <x v="170"/>
    <n v="12.03"/>
    <n v="5"/>
    <n v="-9.2200000000000006"/>
    <x v="3"/>
    <x v="3"/>
  </r>
  <r>
    <n v="45399"/>
    <x v="253"/>
    <x v="26"/>
    <x v="2"/>
    <x v="15"/>
    <x v="781"/>
    <n v="2549.9899999999998"/>
    <n v="5"/>
    <n v="-3399.98"/>
    <x v="3"/>
    <x v="3"/>
  </r>
  <r>
    <n v="45399"/>
    <x v="253"/>
    <x v="26"/>
    <x v="0"/>
    <x v="3"/>
    <x v="171"/>
    <n v="21.59"/>
    <n v="2"/>
    <n v="-15.84"/>
    <x v="3"/>
    <x v="3"/>
  </r>
  <r>
    <n v="45399"/>
    <x v="253"/>
    <x v="26"/>
    <x v="0"/>
    <x v="3"/>
    <x v="547"/>
    <n v="8.9600000000000009"/>
    <n v="6"/>
    <n v="-6.57"/>
    <x v="3"/>
    <x v="3"/>
  </r>
  <r>
    <n v="45399"/>
    <x v="253"/>
    <x v="26"/>
    <x v="0"/>
    <x v="0"/>
    <x v="5"/>
    <n v="20.74"/>
    <n v="4"/>
    <n v="7.26"/>
    <x v="3"/>
    <x v="3"/>
  </r>
  <r>
    <n v="45399"/>
    <x v="100"/>
    <x v="2"/>
    <x v="1"/>
    <x v="8"/>
    <x v="1055"/>
    <n v="60.31"/>
    <n v="3"/>
    <n v="5.28"/>
    <x v="3"/>
    <x v="3"/>
  </r>
  <r>
    <n v="45399"/>
    <x v="255"/>
    <x v="3"/>
    <x v="0"/>
    <x v="0"/>
    <x v="1737"/>
    <n v="28.14"/>
    <n v="3"/>
    <n v="13.51"/>
    <x v="3"/>
    <x v="3"/>
  </r>
  <r>
    <n v="45399"/>
    <x v="255"/>
    <x v="3"/>
    <x v="0"/>
    <x v="1"/>
    <x v="1786"/>
    <n v="7.38"/>
    <n v="2"/>
    <n v="3.47"/>
    <x v="3"/>
    <x v="3"/>
  </r>
  <r>
    <n v="45399"/>
    <x v="255"/>
    <x v="3"/>
    <x v="0"/>
    <x v="7"/>
    <x v="153"/>
    <n v="10.9"/>
    <n v="5"/>
    <n v="3.6"/>
    <x v="3"/>
    <x v="3"/>
  </r>
  <r>
    <n v="45399"/>
    <x v="255"/>
    <x v="3"/>
    <x v="2"/>
    <x v="9"/>
    <x v="785"/>
    <n v="274.89"/>
    <n v="11"/>
    <n v="46.73"/>
    <x v="3"/>
    <x v="3"/>
  </r>
  <r>
    <n v="45399"/>
    <x v="255"/>
    <x v="3"/>
    <x v="0"/>
    <x v="1"/>
    <x v="1454"/>
    <n v="23.04"/>
    <n v="8"/>
    <n v="11.29"/>
    <x v="3"/>
    <x v="3"/>
  </r>
  <r>
    <n v="45399"/>
    <x v="255"/>
    <x v="3"/>
    <x v="1"/>
    <x v="5"/>
    <x v="943"/>
    <n v="218.35"/>
    <n v="3"/>
    <n v="-19.11"/>
    <x v="3"/>
    <x v="3"/>
  </r>
  <r>
    <n v="45399"/>
    <x v="688"/>
    <x v="1"/>
    <x v="0"/>
    <x v="2"/>
    <x v="1554"/>
    <n v="195.14"/>
    <n v="4"/>
    <n v="-43.91"/>
    <x v="3"/>
    <x v="3"/>
  </r>
  <r>
    <n v="45402"/>
    <x v="694"/>
    <x v="1"/>
    <x v="1"/>
    <x v="8"/>
    <x v="195"/>
    <n v="44.4"/>
    <n v="2"/>
    <n v="-52.17"/>
    <x v="3"/>
    <x v="3"/>
  </r>
  <r>
    <n v="45402"/>
    <x v="755"/>
    <x v="2"/>
    <x v="1"/>
    <x v="8"/>
    <x v="866"/>
    <n v="51.97"/>
    <n v="2"/>
    <n v="10.39"/>
    <x v="3"/>
    <x v="3"/>
  </r>
  <r>
    <n v="45402"/>
    <x v="755"/>
    <x v="2"/>
    <x v="0"/>
    <x v="2"/>
    <x v="929"/>
    <n v="51.34"/>
    <n v="3"/>
    <n v="5.78"/>
    <x v="3"/>
    <x v="3"/>
  </r>
  <r>
    <n v="45402"/>
    <x v="755"/>
    <x v="2"/>
    <x v="0"/>
    <x v="2"/>
    <x v="1266"/>
    <n v="332.7"/>
    <n v="1"/>
    <n v="33.270000000000003"/>
    <x v="3"/>
    <x v="3"/>
  </r>
  <r>
    <n v="45402"/>
    <x v="755"/>
    <x v="2"/>
    <x v="1"/>
    <x v="8"/>
    <x v="837"/>
    <n v="42.41"/>
    <n v="3"/>
    <n v="9.5399999999999991"/>
    <x v="3"/>
    <x v="3"/>
  </r>
  <r>
    <n v="45402"/>
    <x v="605"/>
    <x v="1"/>
    <x v="1"/>
    <x v="5"/>
    <x v="322"/>
    <n v="317.06"/>
    <n v="3"/>
    <n v="-18.12"/>
    <x v="3"/>
    <x v="3"/>
  </r>
  <r>
    <n v="45402"/>
    <x v="605"/>
    <x v="1"/>
    <x v="0"/>
    <x v="4"/>
    <x v="975"/>
    <n v="15.76"/>
    <n v="2"/>
    <n v="3.55"/>
    <x v="3"/>
    <x v="3"/>
  </r>
  <r>
    <n v="45402"/>
    <x v="605"/>
    <x v="1"/>
    <x v="1"/>
    <x v="8"/>
    <x v="747"/>
    <n v="14.56"/>
    <n v="5"/>
    <n v="-6.19"/>
    <x v="3"/>
    <x v="3"/>
  </r>
  <r>
    <n v="45402"/>
    <x v="107"/>
    <x v="14"/>
    <x v="0"/>
    <x v="3"/>
    <x v="702"/>
    <n v="146.86000000000001"/>
    <n v="7"/>
    <n v="70.489999999999995"/>
    <x v="3"/>
    <x v="3"/>
  </r>
  <r>
    <n v="45402"/>
    <x v="107"/>
    <x v="14"/>
    <x v="0"/>
    <x v="3"/>
    <x v="997"/>
    <n v="36.56"/>
    <n v="4"/>
    <n v="18.28"/>
    <x v="3"/>
    <x v="3"/>
  </r>
  <r>
    <n v="45402"/>
    <x v="671"/>
    <x v="10"/>
    <x v="0"/>
    <x v="2"/>
    <x v="27"/>
    <n v="848.54"/>
    <n v="4"/>
    <n v="-21.21"/>
    <x v="3"/>
    <x v="3"/>
  </r>
  <r>
    <n v="45402"/>
    <x v="671"/>
    <x v="10"/>
    <x v="0"/>
    <x v="3"/>
    <x v="541"/>
    <n v="8.6999999999999993"/>
    <n v="5"/>
    <n v="-6.38"/>
    <x v="3"/>
    <x v="3"/>
  </r>
  <r>
    <n v="45402"/>
    <x v="671"/>
    <x v="10"/>
    <x v="2"/>
    <x v="6"/>
    <x v="1619"/>
    <n v="122.38"/>
    <n v="3"/>
    <n v="-24.48"/>
    <x v="3"/>
    <x v="3"/>
  </r>
  <r>
    <n v="45403"/>
    <x v="373"/>
    <x v="0"/>
    <x v="0"/>
    <x v="12"/>
    <x v="1411"/>
    <n v="97.26"/>
    <n v="4"/>
    <n v="-243.16"/>
    <x v="3"/>
    <x v="3"/>
  </r>
  <r>
    <n v="45403"/>
    <x v="218"/>
    <x v="0"/>
    <x v="0"/>
    <x v="3"/>
    <x v="263"/>
    <n v="2.69"/>
    <n v="3"/>
    <n v="-4.71"/>
    <x v="3"/>
    <x v="3"/>
  </r>
  <r>
    <n v="45403"/>
    <x v="218"/>
    <x v="0"/>
    <x v="0"/>
    <x v="3"/>
    <x v="1079"/>
    <n v="2.93"/>
    <n v="3"/>
    <n v="-4.99"/>
    <x v="3"/>
    <x v="3"/>
  </r>
  <r>
    <n v="45403"/>
    <x v="677"/>
    <x v="22"/>
    <x v="2"/>
    <x v="9"/>
    <x v="1509"/>
    <n v="11.54"/>
    <n v="1"/>
    <n v="3.46"/>
    <x v="3"/>
    <x v="3"/>
  </r>
  <r>
    <n v="45403"/>
    <x v="677"/>
    <x v="22"/>
    <x v="1"/>
    <x v="8"/>
    <x v="1294"/>
    <n v="162.6"/>
    <n v="3"/>
    <n v="34.15"/>
    <x v="3"/>
    <x v="3"/>
  </r>
  <r>
    <n v="45403"/>
    <x v="744"/>
    <x v="36"/>
    <x v="1"/>
    <x v="5"/>
    <x v="1209"/>
    <n v="908.82"/>
    <n v="9"/>
    <n v="227.21"/>
    <x v="3"/>
    <x v="3"/>
  </r>
  <r>
    <n v="45403"/>
    <x v="549"/>
    <x v="0"/>
    <x v="2"/>
    <x v="9"/>
    <x v="1474"/>
    <n v="47.98"/>
    <n v="3"/>
    <n v="8.4"/>
    <x v="3"/>
    <x v="3"/>
  </r>
  <r>
    <n v="45403"/>
    <x v="549"/>
    <x v="0"/>
    <x v="0"/>
    <x v="0"/>
    <x v="1703"/>
    <n v="20.74"/>
    <n v="4"/>
    <n v="7.26"/>
    <x v="3"/>
    <x v="3"/>
  </r>
  <r>
    <n v="45404"/>
    <x v="95"/>
    <x v="3"/>
    <x v="1"/>
    <x v="8"/>
    <x v="1393"/>
    <n v="18.28"/>
    <n v="2"/>
    <n v="6.22"/>
    <x v="3"/>
    <x v="3"/>
  </r>
  <r>
    <n v="45404"/>
    <x v="690"/>
    <x v="2"/>
    <x v="1"/>
    <x v="8"/>
    <x v="1445"/>
    <n v="254.35"/>
    <n v="3"/>
    <n v="0"/>
    <x v="3"/>
    <x v="3"/>
  </r>
  <r>
    <n v="45404"/>
    <x v="664"/>
    <x v="4"/>
    <x v="0"/>
    <x v="2"/>
    <x v="1002"/>
    <n v="675.06"/>
    <n v="3"/>
    <n v="87.76"/>
    <x v="3"/>
    <x v="3"/>
  </r>
  <r>
    <n v="45405"/>
    <x v="779"/>
    <x v="20"/>
    <x v="0"/>
    <x v="12"/>
    <x v="1510"/>
    <n v="121.94"/>
    <n v="2"/>
    <n v="35.36"/>
    <x v="3"/>
    <x v="3"/>
  </r>
  <r>
    <n v="45405"/>
    <x v="779"/>
    <x v="20"/>
    <x v="0"/>
    <x v="14"/>
    <x v="1342"/>
    <n v="122.71"/>
    <n v="7"/>
    <n v="36.81"/>
    <x v="3"/>
    <x v="3"/>
  </r>
  <r>
    <n v="45405"/>
    <x v="573"/>
    <x v="18"/>
    <x v="2"/>
    <x v="9"/>
    <x v="1326"/>
    <n v="155.34"/>
    <n v="6"/>
    <n v="55.92"/>
    <x v="3"/>
    <x v="3"/>
  </r>
  <r>
    <n v="45405"/>
    <x v="210"/>
    <x v="20"/>
    <x v="0"/>
    <x v="14"/>
    <x v="1458"/>
    <n v="54.9"/>
    <n v="5"/>
    <n v="15.37"/>
    <x v="3"/>
    <x v="3"/>
  </r>
  <r>
    <n v="45405"/>
    <x v="480"/>
    <x v="10"/>
    <x v="0"/>
    <x v="3"/>
    <x v="1274"/>
    <n v="11.76"/>
    <n v="5"/>
    <n v="-7.84"/>
    <x v="3"/>
    <x v="3"/>
  </r>
  <r>
    <n v="45405"/>
    <x v="480"/>
    <x v="10"/>
    <x v="0"/>
    <x v="0"/>
    <x v="59"/>
    <n v="5.34"/>
    <n v="1"/>
    <n v="1.87"/>
    <x v="3"/>
    <x v="3"/>
  </r>
  <r>
    <n v="45405"/>
    <x v="705"/>
    <x v="3"/>
    <x v="1"/>
    <x v="8"/>
    <x v="1336"/>
    <n v="66.36"/>
    <n v="7"/>
    <n v="26.54"/>
    <x v="3"/>
    <x v="3"/>
  </r>
  <r>
    <n v="45405"/>
    <x v="705"/>
    <x v="3"/>
    <x v="0"/>
    <x v="3"/>
    <x v="326"/>
    <n v="92.88"/>
    <n v="6"/>
    <n v="30.19"/>
    <x v="3"/>
    <x v="3"/>
  </r>
  <r>
    <n v="45405"/>
    <x v="705"/>
    <x v="3"/>
    <x v="1"/>
    <x v="8"/>
    <x v="1732"/>
    <n v="24.14"/>
    <n v="2"/>
    <n v="7.97"/>
    <x v="3"/>
    <x v="3"/>
  </r>
  <r>
    <n v="45405"/>
    <x v="672"/>
    <x v="15"/>
    <x v="1"/>
    <x v="11"/>
    <x v="42"/>
    <n v="387.14"/>
    <n v="4"/>
    <n v="-14.52"/>
    <x v="3"/>
    <x v="3"/>
  </r>
  <r>
    <n v="45405"/>
    <x v="672"/>
    <x v="15"/>
    <x v="2"/>
    <x v="9"/>
    <x v="662"/>
    <n v="45.41"/>
    <n v="2"/>
    <n v="11.92"/>
    <x v="3"/>
    <x v="3"/>
  </r>
  <r>
    <n v="45405"/>
    <x v="672"/>
    <x v="15"/>
    <x v="1"/>
    <x v="8"/>
    <x v="960"/>
    <n v="77.95"/>
    <n v="3"/>
    <n v="-11.69"/>
    <x v="3"/>
    <x v="3"/>
  </r>
  <r>
    <n v="45405"/>
    <x v="672"/>
    <x v="15"/>
    <x v="0"/>
    <x v="1"/>
    <x v="1680"/>
    <n v="3"/>
    <n v="1"/>
    <n v="1.05"/>
    <x v="3"/>
    <x v="3"/>
  </r>
  <r>
    <n v="45405"/>
    <x v="703"/>
    <x v="26"/>
    <x v="0"/>
    <x v="10"/>
    <x v="21"/>
    <n v="18.690000000000001"/>
    <n v="2"/>
    <n v="7.01"/>
    <x v="3"/>
    <x v="3"/>
  </r>
  <r>
    <n v="45405"/>
    <x v="703"/>
    <x v="26"/>
    <x v="1"/>
    <x v="8"/>
    <x v="1338"/>
    <n v="11.66"/>
    <n v="3"/>
    <n v="3.35"/>
    <x v="3"/>
    <x v="3"/>
  </r>
  <r>
    <n v="45406"/>
    <x v="105"/>
    <x v="2"/>
    <x v="0"/>
    <x v="12"/>
    <x v="680"/>
    <n v="99.28"/>
    <n v="2"/>
    <n v="12.41"/>
    <x v="3"/>
    <x v="3"/>
  </r>
  <r>
    <n v="45406"/>
    <x v="105"/>
    <x v="2"/>
    <x v="0"/>
    <x v="3"/>
    <x v="1508"/>
    <n v="1.19"/>
    <n v="2"/>
    <n v="-0.99"/>
    <x v="3"/>
    <x v="3"/>
  </r>
  <r>
    <n v="45406"/>
    <x v="105"/>
    <x v="2"/>
    <x v="0"/>
    <x v="3"/>
    <x v="1664"/>
    <n v="7.52"/>
    <n v="2"/>
    <n v="-5.76"/>
    <x v="3"/>
    <x v="3"/>
  </r>
  <r>
    <n v="45406"/>
    <x v="85"/>
    <x v="16"/>
    <x v="0"/>
    <x v="2"/>
    <x v="135"/>
    <n v="113.57"/>
    <n v="2"/>
    <n v="-21.29"/>
    <x v="3"/>
    <x v="3"/>
  </r>
  <r>
    <n v="45406"/>
    <x v="588"/>
    <x v="3"/>
    <x v="0"/>
    <x v="7"/>
    <x v="710"/>
    <n v="1.81"/>
    <n v="1"/>
    <n v="0.65"/>
    <x v="3"/>
    <x v="3"/>
  </r>
  <r>
    <n v="45406"/>
    <x v="743"/>
    <x v="12"/>
    <x v="2"/>
    <x v="6"/>
    <x v="35"/>
    <n v="552"/>
    <n v="10"/>
    <n v="34.5"/>
    <x v="3"/>
    <x v="3"/>
  </r>
  <r>
    <n v="45406"/>
    <x v="637"/>
    <x v="43"/>
    <x v="2"/>
    <x v="9"/>
    <x v="1646"/>
    <n v="69.98"/>
    <n v="2"/>
    <n v="4.9000000000000004"/>
    <x v="3"/>
    <x v="3"/>
  </r>
  <r>
    <n v="45406"/>
    <x v="721"/>
    <x v="1"/>
    <x v="0"/>
    <x v="3"/>
    <x v="345"/>
    <n v="10.43"/>
    <n v="5"/>
    <n v="-18.25"/>
    <x v="3"/>
    <x v="3"/>
  </r>
  <r>
    <n v="45406"/>
    <x v="721"/>
    <x v="1"/>
    <x v="0"/>
    <x v="2"/>
    <x v="509"/>
    <n v="72.78"/>
    <n v="1"/>
    <n v="-18.2"/>
    <x v="3"/>
    <x v="3"/>
  </r>
  <r>
    <n v="45407"/>
    <x v="2"/>
    <x v="3"/>
    <x v="0"/>
    <x v="3"/>
    <x v="592"/>
    <n v="13.9"/>
    <n v="2"/>
    <n v="4.5199999999999996"/>
    <x v="3"/>
    <x v="3"/>
  </r>
  <r>
    <n v="45407"/>
    <x v="672"/>
    <x v="15"/>
    <x v="0"/>
    <x v="4"/>
    <x v="16"/>
    <n v="42.05"/>
    <n v="9"/>
    <n v="5.26"/>
    <x v="3"/>
    <x v="3"/>
  </r>
  <r>
    <n v="45407"/>
    <x v="672"/>
    <x v="15"/>
    <x v="0"/>
    <x v="4"/>
    <x v="1607"/>
    <n v="67.92"/>
    <n v="5"/>
    <n v="6.79"/>
    <x v="3"/>
    <x v="3"/>
  </r>
  <r>
    <n v="45407"/>
    <x v="420"/>
    <x v="12"/>
    <x v="0"/>
    <x v="4"/>
    <x v="1785"/>
    <n v="8.9"/>
    <n v="4"/>
    <n v="0.67"/>
    <x v="3"/>
    <x v="3"/>
  </r>
  <r>
    <n v="45407"/>
    <x v="172"/>
    <x v="3"/>
    <x v="0"/>
    <x v="0"/>
    <x v="1700"/>
    <n v="19.05"/>
    <n v="3"/>
    <n v="8.76"/>
    <x v="3"/>
    <x v="3"/>
  </r>
  <r>
    <n v="45407"/>
    <x v="172"/>
    <x v="3"/>
    <x v="0"/>
    <x v="3"/>
    <x v="79"/>
    <n v="73.34"/>
    <n v="3"/>
    <n v="27.5"/>
    <x v="3"/>
    <x v="3"/>
  </r>
  <r>
    <n v="45407"/>
    <x v="25"/>
    <x v="3"/>
    <x v="2"/>
    <x v="9"/>
    <x v="530"/>
    <n v="107.97"/>
    <n v="3"/>
    <n v="22.67"/>
    <x v="3"/>
    <x v="3"/>
  </r>
  <r>
    <n v="45407"/>
    <x v="556"/>
    <x v="3"/>
    <x v="1"/>
    <x v="11"/>
    <x v="1419"/>
    <n v="344.98"/>
    <n v="7"/>
    <n v="28.41"/>
    <x v="3"/>
    <x v="3"/>
  </r>
  <r>
    <n v="45408"/>
    <x v="768"/>
    <x v="0"/>
    <x v="1"/>
    <x v="8"/>
    <x v="20"/>
    <n v="1.99"/>
    <n v="1"/>
    <n v="-1.44"/>
    <x v="3"/>
    <x v="3"/>
  </r>
  <r>
    <n v="45408"/>
    <x v="675"/>
    <x v="22"/>
    <x v="0"/>
    <x v="0"/>
    <x v="1791"/>
    <n v="20.34"/>
    <n v="3"/>
    <n v="9.36"/>
    <x v="3"/>
    <x v="3"/>
  </r>
  <r>
    <n v="45408"/>
    <x v="675"/>
    <x v="22"/>
    <x v="0"/>
    <x v="1"/>
    <x v="1735"/>
    <n v="39.28"/>
    <n v="8"/>
    <n v="19.25"/>
    <x v="3"/>
    <x v="3"/>
  </r>
  <r>
    <n v="45409"/>
    <x v="755"/>
    <x v="0"/>
    <x v="0"/>
    <x v="1"/>
    <x v="1096"/>
    <n v="33.119999999999997"/>
    <n v="4"/>
    <n v="11.59"/>
    <x v="3"/>
    <x v="3"/>
  </r>
  <r>
    <n v="45409"/>
    <x v="755"/>
    <x v="0"/>
    <x v="1"/>
    <x v="11"/>
    <x v="1558"/>
    <n v="220.27"/>
    <n v="4"/>
    <n v="-42.11"/>
    <x v="3"/>
    <x v="3"/>
  </r>
  <r>
    <n v="45409"/>
    <x v="358"/>
    <x v="3"/>
    <x v="0"/>
    <x v="4"/>
    <x v="1192"/>
    <n v="123.92"/>
    <n v="4"/>
    <n v="33.46"/>
    <x v="3"/>
    <x v="3"/>
  </r>
  <r>
    <n v="45409"/>
    <x v="358"/>
    <x v="3"/>
    <x v="0"/>
    <x v="4"/>
    <x v="146"/>
    <n v="12.39"/>
    <n v="3"/>
    <n v="5.7"/>
    <x v="3"/>
    <x v="3"/>
  </r>
  <r>
    <n v="45409"/>
    <x v="358"/>
    <x v="3"/>
    <x v="0"/>
    <x v="4"/>
    <x v="286"/>
    <n v="47.3"/>
    <n v="2"/>
    <n v="12.3"/>
    <x v="3"/>
    <x v="3"/>
  </r>
  <r>
    <n v="45409"/>
    <x v="700"/>
    <x v="22"/>
    <x v="1"/>
    <x v="8"/>
    <x v="1013"/>
    <n v="139.58000000000001"/>
    <n v="7"/>
    <n v="39.08"/>
    <x v="3"/>
    <x v="3"/>
  </r>
  <r>
    <n v="45410"/>
    <x v="91"/>
    <x v="2"/>
    <x v="0"/>
    <x v="2"/>
    <x v="1462"/>
    <n v="8.3800000000000008"/>
    <n v="1"/>
    <n v="0.73"/>
    <x v="3"/>
    <x v="3"/>
  </r>
  <r>
    <n v="45410"/>
    <x v="91"/>
    <x v="2"/>
    <x v="0"/>
    <x v="4"/>
    <x v="514"/>
    <n v="6.85"/>
    <n v="2"/>
    <n v="0.77"/>
    <x v="3"/>
    <x v="3"/>
  </r>
  <r>
    <n v="45410"/>
    <x v="304"/>
    <x v="25"/>
    <x v="0"/>
    <x v="12"/>
    <x v="1787"/>
    <n v="28.08"/>
    <n v="3"/>
    <n v="5.27"/>
    <x v="3"/>
    <x v="3"/>
  </r>
  <r>
    <n v="45410"/>
    <x v="219"/>
    <x v="16"/>
    <x v="2"/>
    <x v="6"/>
    <x v="1442"/>
    <n v="751.98"/>
    <n v="2"/>
    <n v="84.6"/>
    <x v="3"/>
    <x v="3"/>
  </r>
  <r>
    <n v="45411"/>
    <x v="76"/>
    <x v="10"/>
    <x v="1"/>
    <x v="13"/>
    <x v="670"/>
    <n v="1048.3499999999999"/>
    <n v="5"/>
    <n v="-69.89"/>
    <x v="3"/>
    <x v="3"/>
  </r>
  <r>
    <n v="45411"/>
    <x v="73"/>
    <x v="23"/>
    <x v="0"/>
    <x v="1"/>
    <x v="1806"/>
    <n v="4.91"/>
    <n v="1"/>
    <n v="2.41"/>
    <x v="3"/>
    <x v="3"/>
  </r>
  <r>
    <n v="45412"/>
    <x v="729"/>
    <x v="20"/>
    <x v="0"/>
    <x v="10"/>
    <x v="1610"/>
    <n v="62.96"/>
    <n v="4"/>
    <n v="28.33"/>
    <x v="3"/>
    <x v="3"/>
  </r>
  <r>
    <n v="45412"/>
    <x v="87"/>
    <x v="2"/>
    <x v="2"/>
    <x v="6"/>
    <x v="803"/>
    <n v="677.58"/>
    <n v="5"/>
    <n v="-158.1"/>
    <x v="3"/>
    <x v="3"/>
  </r>
  <r>
    <n v="45412"/>
    <x v="87"/>
    <x v="2"/>
    <x v="0"/>
    <x v="3"/>
    <x v="962"/>
    <n v="13.9"/>
    <n v="3"/>
    <n v="-9.26"/>
    <x v="3"/>
    <x v="3"/>
  </r>
  <r>
    <n v="45412"/>
    <x v="326"/>
    <x v="16"/>
    <x v="0"/>
    <x v="1"/>
    <x v="1454"/>
    <n v="4.6100000000000003"/>
    <n v="2"/>
    <n v="1.67"/>
    <x v="3"/>
    <x v="3"/>
  </r>
  <r>
    <n v="45412"/>
    <x v="326"/>
    <x v="16"/>
    <x v="0"/>
    <x v="4"/>
    <x v="108"/>
    <n v="15.53"/>
    <n v="3"/>
    <n v="4.8499999999999996"/>
    <x v="3"/>
    <x v="3"/>
  </r>
  <r>
    <n v="45412"/>
    <x v="326"/>
    <x v="16"/>
    <x v="0"/>
    <x v="1"/>
    <x v="849"/>
    <n v="11.95"/>
    <n v="3"/>
    <n v="3.88"/>
    <x v="3"/>
    <x v="3"/>
  </r>
  <r>
    <n v="45412"/>
    <x v="531"/>
    <x v="16"/>
    <x v="1"/>
    <x v="8"/>
    <x v="457"/>
    <n v="23.68"/>
    <n v="8"/>
    <n v="6.22"/>
    <x v="3"/>
    <x v="3"/>
  </r>
  <r>
    <n v="45412"/>
    <x v="531"/>
    <x v="16"/>
    <x v="2"/>
    <x v="9"/>
    <x v="968"/>
    <n v="2.38"/>
    <n v="3"/>
    <n v="0.74"/>
    <x v="3"/>
    <x v="3"/>
  </r>
  <r>
    <n v="45412"/>
    <x v="467"/>
    <x v="10"/>
    <x v="0"/>
    <x v="0"/>
    <x v="1378"/>
    <n v="10.37"/>
    <n v="2"/>
    <n v="3.63"/>
    <x v="3"/>
    <x v="3"/>
  </r>
  <r>
    <n v="45412"/>
    <x v="685"/>
    <x v="37"/>
    <x v="0"/>
    <x v="1"/>
    <x v="1809"/>
    <n v="5.76"/>
    <n v="2"/>
    <n v="2.82"/>
    <x v="3"/>
    <x v="3"/>
  </r>
  <r>
    <n v="45412"/>
    <x v="529"/>
    <x v="1"/>
    <x v="0"/>
    <x v="3"/>
    <x v="36"/>
    <n v="43.37"/>
    <n v="7"/>
    <n v="-69.400000000000006"/>
    <x v="3"/>
    <x v="3"/>
  </r>
  <r>
    <n v="45412"/>
    <x v="525"/>
    <x v="3"/>
    <x v="0"/>
    <x v="0"/>
    <x v="207"/>
    <n v="163.96"/>
    <n v="4"/>
    <n v="80.34"/>
    <x v="3"/>
    <x v="3"/>
  </r>
  <r>
    <n v="45412"/>
    <x v="351"/>
    <x v="3"/>
    <x v="1"/>
    <x v="8"/>
    <x v="831"/>
    <n v="64.959999999999994"/>
    <n v="2"/>
    <n v="21.44"/>
    <x v="3"/>
    <x v="3"/>
  </r>
  <r>
    <n v="45412"/>
    <x v="351"/>
    <x v="3"/>
    <x v="0"/>
    <x v="10"/>
    <x v="920"/>
    <n v="30.56"/>
    <n v="4"/>
    <n v="14.97"/>
    <x v="3"/>
    <x v="3"/>
  </r>
  <r>
    <n v="45412"/>
    <x v="400"/>
    <x v="3"/>
    <x v="0"/>
    <x v="4"/>
    <x v="718"/>
    <n v="9.7799999999999994"/>
    <n v="2"/>
    <n v="4.01"/>
    <x v="3"/>
    <x v="3"/>
  </r>
  <r>
    <n v="45412"/>
    <x v="327"/>
    <x v="3"/>
    <x v="0"/>
    <x v="3"/>
    <x v="246"/>
    <n v="23.24"/>
    <n v="5"/>
    <n v="7.55"/>
    <x v="3"/>
    <x v="3"/>
  </r>
  <r>
    <n v="45412"/>
    <x v="772"/>
    <x v="16"/>
    <x v="0"/>
    <x v="3"/>
    <x v="797"/>
    <n v="4.84"/>
    <n v="3"/>
    <n v="-3.55"/>
    <x v="3"/>
    <x v="3"/>
  </r>
  <r>
    <n v="45412"/>
    <x v="772"/>
    <x v="16"/>
    <x v="1"/>
    <x v="8"/>
    <x v="282"/>
    <n v="220.7"/>
    <n v="6"/>
    <n v="-8.2799999999999994"/>
    <x v="3"/>
    <x v="3"/>
  </r>
  <r>
    <n v="45413"/>
    <x v="694"/>
    <x v="13"/>
    <x v="2"/>
    <x v="9"/>
    <x v="918"/>
    <n v="48.9"/>
    <n v="5"/>
    <n v="18.09"/>
    <x v="4"/>
    <x v="3"/>
  </r>
  <r>
    <n v="45413"/>
    <x v="740"/>
    <x v="16"/>
    <x v="0"/>
    <x v="14"/>
    <x v="1754"/>
    <n v="3.33"/>
    <n v="2"/>
    <n v="0.42"/>
    <x v="4"/>
    <x v="3"/>
  </r>
  <r>
    <n v="45413"/>
    <x v="740"/>
    <x v="16"/>
    <x v="1"/>
    <x v="13"/>
    <x v="233"/>
    <n v="933.26"/>
    <n v="4"/>
    <n v="-458.15"/>
    <x v="4"/>
    <x v="3"/>
  </r>
  <r>
    <n v="45413"/>
    <x v="740"/>
    <x v="16"/>
    <x v="1"/>
    <x v="5"/>
    <x v="599"/>
    <n v="2803.92"/>
    <n v="5"/>
    <n v="0"/>
    <x v="4"/>
    <x v="3"/>
  </r>
  <r>
    <n v="45413"/>
    <x v="316"/>
    <x v="16"/>
    <x v="1"/>
    <x v="11"/>
    <x v="1662"/>
    <n v="314.35000000000002"/>
    <n v="3"/>
    <n v="-15.72"/>
    <x v="4"/>
    <x v="3"/>
  </r>
  <r>
    <n v="45413"/>
    <x v="316"/>
    <x v="16"/>
    <x v="0"/>
    <x v="1"/>
    <x v="206"/>
    <n v="4.6100000000000003"/>
    <n v="2"/>
    <n v="1.5"/>
    <x v="4"/>
    <x v="3"/>
  </r>
  <r>
    <n v="45414"/>
    <x v="360"/>
    <x v="23"/>
    <x v="1"/>
    <x v="8"/>
    <x v="1139"/>
    <n v="129.93"/>
    <n v="3"/>
    <n v="12.99"/>
    <x v="4"/>
    <x v="3"/>
  </r>
  <r>
    <n v="45414"/>
    <x v="551"/>
    <x v="3"/>
    <x v="2"/>
    <x v="9"/>
    <x v="1617"/>
    <n v="159.56"/>
    <n v="4"/>
    <n v="59.04"/>
    <x v="4"/>
    <x v="3"/>
  </r>
  <r>
    <n v="45414"/>
    <x v="118"/>
    <x v="3"/>
    <x v="0"/>
    <x v="0"/>
    <x v="367"/>
    <n v="15.7"/>
    <n v="5"/>
    <n v="7.07"/>
    <x v="4"/>
    <x v="3"/>
  </r>
  <r>
    <n v="45414"/>
    <x v="118"/>
    <x v="3"/>
    <x v="0"/>
    <x v="4"/>
    <x v="859"/>
    <n v="59.52"/>
    <n v="3"/>
    <n v="15.48"/>
    <x v="4"/>
    <x v="3"/>
  </r>
  <r>
    <n v="45414"/>
    <x v="118"/>
    <x v="3"/>
    <x v="0"/>
    <x v="0"/>
    <x v="1589"/>
    <n v="34.4"/>
    <n v="5"/>
    <n v="15.82"/>
    <x v="4"/>
    <x v="3"/>
  </r>
  <r>
    <n v="45415"/>
    <x v="504"/>
    <x v="3"/>
    <x v="0"/>
    <x v="2"/>
    <x v="982"/>
    <n v="69.52"/>
    <n v="2"/>
    <n v="19.47"/>
    <x v="4"/>
    <x v="3"/>
  </r>
  <r>
    <n v="45415"/>
    <x v="504"/>
    <x v="3"/>
    <x v="0"/>
    <x v="2"/>
    <x v="25"/>
    <n v="763.44"/>
    <n v="8"/>
    <n v="45.81"/>
    <x v="4"/>
    <x v="3"/>
  </r>
  <r>
    <n v="45415"/>
    <x v="575"/>
    <x v="3"/>
    <x v="0"/>
    <x v="0"/>
    <x v="507"/>
    <n v="25.92"/>
    <n v="4"/>
    <n v="12.44"/>
    <x v="4"/>
    <x v="3"/>
  </r>
  <r>
    <n v="45415"/>
    <x v="575"/>
    <x v="3"/>
    <x v="0"/>
    <x v="4"/>
    <x v="368"/>
    <n v="22.96"/>
    <n v="7"/>
    <n v="6.66"/>
    <x v="4"/>
    <x v="3"/>
  </r>
  <r>
    <n v="45415"/>
    <x v="731"/>
    <x v="2"/>
    <x v="1"/>
    <x v="8"/>
    <x v="1802"/>
    <n v="32.450000000000003"/>
    <n v="2"/>
    <n v="7.3"/>
    <x v="4"/>
    <x v="3"/>
  </r>
  <r>
    <n v="45415"/>
    <x v="731"/>
    <x v="2"/>
    <x v="0"/>
    <x v="3"/>
    <x v="372"/>
    <n v="26.39"/>
    <n v="4"/>
    <n v="-17.59"/>
    <x v="4"/>
    <x v="3"/>
  </r>
  <r>
    <n v="45415"/>
    <x v="731"/>
    <x v="2"/>
    <x v="1"/>
    <x v="13"/>
    <x v="296"/>
    <n v="373.47"/>
    <n v="5"/>
    <n v="-112.04"/>
    <x v="4"/>
    <x v="3"/>
  </r>
  <r>
    <n v="45415"/>
    <x v="731"/>
    <x v="2"/>
    <x v="0"/>
    <x v="3"/>
    <x v="738"/>
    <n v="64.2"/>
    <n v="5"/>
    <n v="-44.94"/>
    <x v="4"/>
    <x v="3"/>
  </r>
  <r>
    <n v="45415"/>
    <x v="731"/>
    <x v="2"/>
    <x v="0"/>
    <x v="7"/>
    <x v="790"/>
    <n v="8"/>
    <n v="2"/>
    <n v="2.8"/>
    <x v="4"/>
    <x v="3"/>
  </r>
  <r>
    <n v="45416"/>
    <x v="754"/>
    <x v="3"/>
    <x v="2"/>
    <x v="6"/>
    <x v="422"/>
    <n v="183.96"/>
    <n v="5"/>
    <n v="20.7"/>
    <x v="4"/>
    <x v="3"/>
  </r>
  <r>
    <n v="45416"/>
    <x v="754"/>
    <x v="3"/>
    <x v="0"/>
    <x v="0"/>
    <x v="1357"/>
    <n v="17.61"/>
    <n v="3"/>
    <n v="8.4499999999999993"/>
    <x v="4"/>
    <x v="3"/>
  </r>
  <r>
    <n v="45416"/>
    <x v="754"/>
    <x v="3"/>
    <x v="1"/>
    <x v="13"/>
    <x v="177"/>
    <n v="300.89999999999998"/>
    <n v="1"/>
    <n v="11.28"/>
    <x v="4"/>
    <x v="3"/>
  </r>
  <r>
    <n v="45416"/>
    <x v="575"/>
    <x v="6"/>
    <x v="0"/>
    <x v="0"/>
    <x v="1545"/>
    <n v="9.11"/>
    <n v="1"/>
    <n v="4.0999999999999996"/>
    <x v="4"/>
    <x v="3"/>
  </r>
  <r>
    <n v="45416"/>
    <x v="575"/>
    <x v="6"/>
    <x v="0"/>
    <x v="2"/>
    <x v="597"/>
    <n v="571.44000000000005"/>
    <n v="4"/>
    <n v="165.72"/>
    <x v="4"/>
    <x v="3"/>
  </r>
  <r>
    <n v="45416"/>
    <x v="575"/>
    <x v="6"/>
    <x v="0"/>
    <x v="0"/>
    <x v="736"/>
    <n v="32.4"/>
    <n v="5"/>
    <n v="15.55"/>
    <x v="4"/>
    <x v="3"/>
  </r>
  <r>
    <n v="45416"/>
    <x v="575"/>
    <x v="6"/>
    <x v="0"/>
    <x v="2"/>
    <x v="1265"/>
    <n v="16.91"/>
    <n v="1"/>
    <n v="4.57"/>
    <x v="4"/>
    <x v="3"/>
  </r>
  <r>
    <n v="45416"/>
    <x v="489"/>
    <x v="10"/>
    <x v="0"/>
    <x v="3"/>
    <x v="483"/>
    <n v="2.31"/>
    <n v="1"/>
    <n v="-1.93"/>
    <x v="4"/>
    <x v="3"/>
  </r>
  <r>
    <n v="45416"/>
    <x v="168"/>
    <x v="2"/>
    <x v="0"/>
    <x v="3"/>
    <x v="1239"/>
    <n v="2.2000000000000002"/>
    <n v="2"/>
    <n v="-1.54"/>
    <x v="4"/>
    <x v="3"/>
  </r>
  <r>
    <n v="45416"/>
    <x v="168"/>
    <x v="2"/>
    <x v="0"/>
    <x v="3"/>
    <x v="594"/>
    <n v="9.4"/>
    <n v="3"/>
    <n v="-7.52"/>
    <x v="4"/>
    <x v="3"/>
  </r>
  <r>
    <n v="45416"/>
    <x v="393"/>
    <x v="3"/>
    <x v="0"/>
    <x v="12"/>
    <x v="1411"/>
    <n v="243.16"/>
    <n v="2"/>
    <n v="72.95"/>
    <x v="4"/>
    <x v="3"/>
  </r>
  <r>
    <n v="45417"/>
    <x v="536"/>
    <x v="3"/>
    <x v="0"/>
    <x v="10"/>
    <x v="1068"/>
    <n v="23.16"/>
    <n v="2"/>
    <n v="11.58"/>
    <x v="4"/>
    <x v="3"/>
  </r>
  <r>
    <n v="45417"/>
    <x v="384"/>
    <x v="26"/>
    <x v="0"/>
    <x v="10"/>
    <x v="732"/>
    <n v="21.24"/>
    <n v="9"/>
    <n v="7.43"/>
    <x v="4"/>
    <x v="3"/>
  </r>
  <r>
    <n v="45417"/>
    <x v="384"/>
    <x v="26"/>
    <x v="0"/>
    <x v="3"/>
    <x v="881"/>
    <n v="9.5500000000000007"/>
    <n v="8"/>
    <n v="-7.32"/>
    <x v="4"/>
    <x v="3"/>
  </r>
  <r>
    <n v="45417"/>
    <x v="384"/>
    <x v="26"/>
    <x v="1"/>
    <x v="11"/>
    <x v="384"/>
    <n v="89.99"/>
    <n v="3"/>
    <n v="-152.97999999999999"/>
    <x v="4"/>
    <x v="3"/>
  </r>
  <r>
    <n v="45417"/>
    <x v="598"/>
    <x v="4"/>
    <x v="0"/>
    <x v="3"/>
    <x v="873"/>
    <n v="34.5"/>
    <n v="3"/>
    <n v="15.53"/>
    <x v="4"/>
    <x v="3"/>
  </r>
  <r>
    <n v="45417"/>
    <x v="170"/>
    <x v="20"/>
    <x v="0"/>
    <x v="0"/>
    <x v="30"/>
    <n v="6.68"/>
    <n v="1"/>
    <n v="3.21"/>
    <x v="4"/>
    <x v="3"/>
  </r>
  <r>
    <n v="45418"/>
    <x v="770"/>
    <x v="1"/>
    <x v="0"/>
    <x v="4"/>
    <x v="347"/>
    <n v="6.41"/>
    <n v="3"/>
    <n v="0.64"/>
    <x v="4"/>
    <x v="3"/>
  </r>
  <r>
    <n v="45418"/>
    <x v="770"/>
    <x v="1"/>
    <x v="2"/>
    <x v="9"/>
    <x v="279"/>
    <n v="408.74"/>
    <n v="7"/>
    <n v="76.64"/>
    <x v="4"/>
    <x v="3"/>
  </r>
  <r>
    <n v="45418"/>
    <x v="460"/>
    <x v="20"/>
    <x v="0"/>
    <x v="1"/>
    <x v="210"/>
    <n v="59.2"/>
    <n v="4"/>
    <n v="29.6"/>
    <x v="4"/>
    <x v="3"/>
  </r>
  <r>
    <n v="45418"/>
    <x v="333"/>
    <x v="6"/>
    <x v="0"/>
    <x v="4"/>
    <x v="72"/>
    <n v="54.66"/>
    <n v="6"/>
    <n v="18.04"/>
    <x v="4"/>
    <x v="3"/>
  </r>
  <r>
    <n v="45418"/>
    <x v="159"/>
    <x v="0"/>
    <x v="0"/>
    <x v="3"/>
    <x v="82"/>
    <n v="11.06"/>
    <n v="10"/>
    <n v="-18.8"/>
    <x v="4"/>
    <x v="3"/>
  </r>
  <r>
    <n v="45418"/>
    <x v="159"/>
    <x v="0"/>
    <x v="1"/>
    <x v="11"/>
    <x v="1009"/>
    <n v="623.46"/>
    <n v="7"/>
    <n v="-119.19"/>
    <x v="4"/>
    <x v="3"/>
  </r>
  <r>
    <n v="45418"/>
    <x v="159"/>
    <x v="0"/>
    <x v="0"/>
    <x v="2"/>
    <x v="917"/>
    <n v="772.68"/>
    <n v="5"/>
    <n v="-57.95"/>
    <x v="4"/>
    <x v="3"/>
  </r>
  <r>
    <n v="45418"/>
    <x v="2"/>
    <x v="25"/>
    <x v="0"/>
    <x v="3"/>
    <x v="471"/>
    <n v="68.540000000000006"/>
    <n v="11"/>
    <n v="-52.55"/>
    <x v="4"/>
    <x v="3"/>
  </r>
  <r>
    <n v="45418"/>
    <x v="2"/>
    <x v="25"/>
    <x v="2"/>
    <x v="6"/>
    <x v="10"/>
    <n v="627.16999999999996"/>
    <n v="4"/>
    <n v="70.56"/>
    <x v="4"/>
    <x v="3"/>
  </r>
  <r>
    <n v="45418"/>
    <x v="2"/>
    <x v="25"/>
    <x v="0"/>
    <x v="1"/>
    <x v="956"/>
    <n v="122.12"/>
    <n v="5"/>
    <n v="39.69"/>
    <x v="4"/>
    <x v="3"/>
  </r>
  <r>
    <n v="45418"/>
    <x v="603"/>
    <x v="3"/>
    <x v="0"/>
    <x v="12"/>
    <x v="661"/>
    <n v="152.94"/>
    <n v="3"/>
    <n v="41.29"/>
    <x v="4"/>
    <x v="3"/>
  </r>
  <r>
    <n v="45418"/>
    <x v="440"/>
    <x v="12"/>
    <x v="0"/>
    <x v="0"/>
    <x v="1272"/>
    <n v="84.42"/>
    <n v="4"/>
    <n v="27.44"/>
    <x v="4"/>
    <x v="3"/>
  </r>
  <r>
    <n v="45418"/>
    <x v="467"/>
    <x v="1"/>
    <x v="2"/>
    <x v="9"/>
    <x v="1416"/>
    <n v="191.97"/>
    <n v="4"/>
    <n v="28.8"/>
    <x v="4"/>
    <x v="3"/>
  </r>
  <r>
    <n v="45419"/>
    <x v="602"/>
    <x v="14"/>
    <x v="1"/>
    <x v="5"/>
    <x v="1283"/>
    <n v="1458.65"/>
    <n v="5"/>
    <n v="423.01"/>
    <x v="4"/>
    <x v="3"/>
  </r>
  <r>
    <n v="45419"/>
    <x v="602"/>
    <x v="14"/>
    <x v="1"/>
    <x v="5"/>
    <x v="1047"/>
    <n v="26.64"/>
    <n v="1"/>
    <n v="7.46"/>
    <x v="4"/>
    <x v="3"/>
  </r>
  <r>
    <n v="45419"/>
    <x v="602"/>
    <x v="14"/>
    <x v="1"/>
    <x v="5"/>
    <x v="1075"/>
    <n v="476.8"/>
    <n v="2"/>
    <n v="119.2"/>
    <x v="4"/>
    <x v="3"/>
  </r>
  <r>
    <n v="45419"/>
    <x v="602"/>
    <x v="14"/>
    <x v="0"/>
    <x v="12"/>
    <x v="1167"/>
    <n v="87.44"/>
    <n v="2"/>
    <n v="18.46"/>
    <x v="4"/>
    <x v="3"/>
  </r>
  <r>
    <n v="45419"/>
    <x v="692"/>
    <x v="3"/>
    <x v="2"/>
    <x v="9"/>
    <x v="102"/>
    <n v="79.989999999999995"/>
    <n v="1"/>
    <n v="28.8"/>
    <x v="4"/>
    <x v="3"/>
  </r>
  <r>
    <n v="45419"/>
    <x v="246"/>
    <x v="3"/>
    <x v="2"/>
    <x v="6"/>
    <x v="1721"/>
    <n v="419.94"/>
    <n v="7"/>
    <n v="52.49"/>
    <x v="4"/>
    <x v="3"/>
  </r>
  <r>
    <n v="45420"/>
    <x v="496"/>
    <x v="10"/>
    <x v="1"/>
    <x v="5"/>
    <x v="1350"/>
    <n v="47.99"/>
    <n v="2"/>
    <n v="-2.06"/>
    <x v="4"/>
    <x v="3"/>
  </r>
  <r>
    <n v="45420"/>
    <x v="577"/>
    <x v="3"/>
    <x v="2"/>
    <x v="16"/>
    <x v="559"/>
    <n v="3359.95"/>
    <n v="6"/>
    <n v="1049.99"/>
    <x v="4"/>
    <x v="3"/>
  </r>
  <r>
    <n v="45420"/>
    <x v="351"/>
    <x v="2"/>
    <x v="1"/>
    <x v="5"/>
    <x v="1331"/>
    <n v="128.06"/>
    <n v="3"/>
    <n v="-23.78"/>
    <x v="4"/>
    <x v="3"/>
  </r>
  <r>
    <n v="45420"/>
    <x v="147"/>
    <x v="3"/>
    <x v="0"/>
    <x v="12"/>
    <x v="38"/>
    <n v="81.08"/>
    <n v="4"/>
    <n v="22.7"/>
    <x v="4"/>
    <x v="3"/>
  </r>
  <r>
    <n v="45420"/>
    <x v="290"/>
    <x v="0"/>
    <x v="0"/>
    <x v="0"/>
    <x v="1257"/>
    <n v="41.47"/>
    <n v="8"/>
    <n v="14.52"/>
    <x v="4"/>
    <x v="3"/>
  </r>
  <r>
    <n v="45421"/>
    <x v="91"/>
    <x v="25"/>
    <x v="0"/>
    <x v="10"/>
    <x v="41"/>
    <n v="65.23"/>
    <n v="3"/>
    <n v="22.02"/>
    <x v="4"/>
    <x v="3"/>
  </r>
  <r>
    <n v="45421"/>
    <x v="91"/>
    <x v="25"/>
    <x v="1"/>
    <x v="5"/>
    <x v="123"/>
    <n v="207"/>
    <n v="3"/>
    <n v="25.88"/>
    <x v="4"/>
    <x v="3"/>
  </r>
  <r>
    <n v="45421"/>
    <x v="162"/>
    <x v="22"/>
    <x v="0"/>
    <x v="3"/>
    <x v="1315"/>
    <n v="147.91999999999999"/>
    <n v="5"/>
    <n v="46.23"/>
    <x v="4"/>
    <x v="3"/>
  </r>
  <r>
    <n v="45421"/>
    <x v="162"/>
    <x v="22"/>
    <x v="0"/>
    <x v="2"/>
    <x v="1549"/>
    <n v="104.28"/>
    <n v="3"/>
    <n v="26.07"/>
    <x v="4"/>
    <x v="3"/>
  </r>
  <r>
    <n v="45421"/>
    <x v="162"/>
    <x v="22"/>
    <x v="1"/>
    <x v="13"/>
    <x v="773"/>
    <n v="286.85000000000002"/>
    <n v="1"/>
    <n v="63.11"/>
    <x v="4"/>
    <x v="3"/>
  </r>
  <r>
    <n v="45421"/>
    <x v="162"/>
    <x v="22"/>
    <x v="0"/>
    <x v="2"/>
    <x v="252"/>
    <n v="66.959999999999994"/>
    <n v="4"/>
    <n v="2.68"/>
    <x v="4"/>
    <x v="3"/>
  </r>
  <r>
    <n v="45421"/>
    <x v="162"/>
    <x v="22"/>
    <x v="2"/>
    <x v="9"/>
    <x v="288"/>
    <n v="199.98"/>
    <n v="2"/>
    <n v="87.99"/>
    <x v="4"/>
    <x v="3"/>
  </r>
  <r>
    <n v="45423"/>
    <x v="269"/>
    <x v="22"/>
    <x v="0"/>
    <x v="0"/>
    <x v="1399"/>
    <n v="37.44"/>
    <n v="6"/>
    <n v="16.850000000000001"/>
    <x v="4"/>
    <x v="3"/>
  </r>
  <r>
    <n v="45423"/>
    <x v="269"/>
    <x v="22"/>
    <x v="0"/>
    <x v="1"/>
    <x v="1433"/>
    <n v="37.590000000000003"/>
    <n v="3"/>
    <n v="17.670000000000002"/>
    <x v="4"/>
    <x v="3"/>
  </r>
  <r>
    <n v="45423"/>
    <x v="269"/>
    <x v="22"/>
    <x v="0"/>
    <x v="3"/>
    <x v="999"/>
    <n v="26.03"/>
    <n v="2"/>
    <n v="9.44"/>
    <x v="4"/>
    <x v="3"/>
  </r>
  <r>
    <n v="45423"/>
    <x v="488"/>
    <x v="0"/>
    <x v="0"/>
    <x v="4"/>
    <x v="608"/>
    <n v="5.25"/>
    <n v="2"/>
    <n v="0.59"/>
    <x v="4"/>
    <x v="3"/>
  </r>
  <r>
    <n v="45423"/>
    <x v="488"/>
    <x v="0"/>
    <x v="0"/>
    <x v="2"/>
    <x v="264"/>
    <n v="74.42"/>
    <n v="2"/>
    <n v="-14.88"/>
    <x v="4"/>
    <x v="3"/>
  </r>
  <r>
    <n v="45423"/>
    <x v="488"/>
    <x v="0"/>
    <x v="0"/>
    <x v="0"/>
    <x v="1186"/>
    <n v="6.85"/>
    <n v="2"/>
    <n v="2.14"/>
    <x v="4"/>
    <x v="3"/>
  </r>
  <r>
    <n v="45423"/>
    <x v="488"/>
    <x v="0"/>
    <x v="1"/>
    <x v="8"/>
    <x v="763"/>
    <n v="8"/>
    <n v="1"/>
    <n v="-7"/>
    <x v="4"/>
    <x v="3"/>
  </r>
  <r>
    <n v="45423"/>
    <x v="477"/>
    <x v="12"/>
    <x v="1"/>
    <x v="11"/>
    <x v="384"/>
    <n v="209.98"/>
    <n v="7"/>
    <n v="-356.96"/>
    <x v="4"/>
    <x v="3"/>
  </r>
  <r>
    <n v="45423"/>
    <x v="456"/>
    <x v="20"/>
    <x v="0"/>
    <x v="4"/>
    <x v="54"/>
    <n v="43.92"/>
    <n v="3"/>
    <n v="12.74"/>
    <x v="4"/>
    <x v="3"/>
  </r>
  <r>
    <n v="45424"/>
    <x v="296"/>
    <x v="0"/>
    <x v="0"/>
    <x v="2"/>
    <x v="555"/>
    <n v="127.92"/>
    <n v="5"/>
    <n v="-15.99"/>
    <x v="4"/>
    <x v="3"/>
  </r>
  <r>
    <n v="45424"/>
    <x v="296"/>
    <x v="0"/>
    <x v="0"/>
    <x v="3"/>
    <x v="738"/>
    <n v="34.24"/>
    <n v="4"/>
    <n v="-53.07"/>
    <x v="4"/>
    <x v="3"/>
  </r>
  <r>
    <n v="45424"/>
    <x v="74"/>
    <x v="32"/>
    <x v="0"/>
    <x v="0"/>
    <x v="40"/>
    <n v="87.6"/>
    <n v="5"/>
    <n v="42.05"/>
    <x v="4"/>
    <x v="3"/>
  </r>
  <r>
    <n v="45424"/>
    <x v="425"/>
    <x v="10"/>
    <x v="0"/>
    <x v="4"/>
    <x v="344"/>
    <n v="10.27"/>
    <n v="3"/>
    <n v="1.1599999999999999"/>
    <x v="4"/>
    <x v="3"/>
  </r>
  <r>
    <n v="45424"/>
    <x v="345"/>
    <x v="3"/>
    <x v="0"/>
    <x v="14"/>
    <x v="104"/>
    <n v="238.62"/>
    <n v="2"/>
    <n v="4.7699999999999996"/>
    <x v="4"/>
    <x v="3"/>
  </r>
  <r>
    <n v="45424"/>
    <x v="345"/>
    <x v="3"/>
    <x v="0"/>
    <x v="12"/>
    <x v="1162"/>
    <n v="7.77"/>
    <n v="1"/>
    <n v="2.1"/>
    <x v="4"/>
    <x v="3"/>
  </r>
  <r>
    <n v="45424"/>
    <x v="345"/>
    <x v="3"/>
    <x v="1"/>
    <x v="13"/>
    <x v="495"/>
    <n v="285.48"/>
    <n v="5"/>
    <n v="-10.71"/>
    <x v="4"/>
    <x v="3"/>
  </r>
  <r>
    <n v="45424"/>
    <x v="345"/>
    <x v="3"/>
    <x v="0"/>
    <x v="3"/>
    <x v="1320"/>
    <n v="19.170000000000002"/>
    <n v="4"/>
    <n v="6.47"/>
    <x v="4"/>
    <x v="3"/>
  </r>
  <r>
    <n v="45424"/>
    <x v="657"/>
    <x v="10"/>
    <x v="0"/>
    <x v="1"/>
    <x v="198"/>
    <n v="5.9"/>
    <n v="2"/>
    <n v="1.99"/>
    <x v="4"/>
    <x v="3"/>
  </r>
  <r>
    <n v="45424"/>
    <x v="273"/>
    <x v="23"/>
    <x v="1"/>
    <x v="8"/>
    <x v="635"/>
    <n v="42.85"/>
    <n v="5"/>
    <n v="15.43"/>
    <x v="4"/>
    <x v="3"/>
  </r>
  <r>
    <n v="45424"/>
    <x v="273"/>
    <x v="23"/>
    <x v="0"/>
    <x v="1"/>
    <x v="911"/>
    <n v="6.16"/>
    <n v="2"/>
    <n v="2.96"/>
    <x v="4"/>
    <x v="3"/>
  </r>
  <r>
    <n v="45424"/>
    <x v="273"/>
    <x v="23"/>
    <x v="0"/>
    <x v="14"/>
    <x v="724"/>
    <n v="17"/>
    <n v="2"/>
    <n v="4.42"/>
    <x v="4"/>
    <x v="3"/>
  </r>
  <r>
    <n v="45424"/>
    <x v="273"/>
    <x v="23"/>
    <x v="2"/>
    <x v="9"/>
    <x v="885"/>
    <n v="87.4"/>
    <n v="5"/>
    <n v="34.96"/>
    <x v="4"/>
    <x v="3"/>
  </r>
  <r>
    <n v="45425"/>
    <x v="237"/>
    <x v="3"/>
    <x v="0"/>
    <x v="1"/>
    <x v="645"/>
    <n v="58.48"/>
    <n v="8"/>
    <n v="27.49"/>
    <x v="4"/>
    <x v="3"/>
  </r>
  <r>
    <n v="45425"/>
    <x v="291"/>
    <x v="18"/>
    <x v="0"/>
    <x v="10"/>
    <x v="1329"/>
    <n v="180.96"/>
    <n v="2"/>
    <n v="81.430000000000007"/>
    <x v="4"/>
    <x v="3"/>
  </r>
  <r>
    <n v="45425"/>
    <x v="291"/>
    <x v="18"/>
    <x v="0"/>
    <x v="3"/>
    <x v="8"/>
    <n v="914.97"/>
    <n v="3"/>
    <n v="411.74"/>
    <x v="4"/>
    <x v="3"/>
  </r>
  <r>
    <n v="45425"/>
    <x v="291"/>
    <x v="18"/>
    <x v="2"/>
    <x v="6"/>
    <x v="1319"/>
    <n v="587.97"/>
    <n v="3"/>
    <n v="158.75"/>
    <x v="4"/>
    <x v="3"/>
  </r>
  <r>
    <n v="45425"/>
    <x v="291"/>
    <x v="18"/>
    <x v="0"/>
    <x v="2"/>
    <x v="27"/>
    <n v="530.34"/>
    <n v="2"/>
    <n v="95.46"/>
    <x v="4"/>
    <x v="3"/>
  </r>
  <r>
    <n v="45425"/>
    <x v="291"/>
    <x v="18"/>
    <x v="0"/>
    <x v="0"/>
    <x v="1074"/>
    <n v="14.94"/>
    <n v="3"/>
    <n v="7.32"/>
    <x v="4"/>
    <x v="3"/>
  </r>
  <r>
    <n v="45425"/>
    <x v="249"/>
    <x v="7"/>
    <x v="0"/>
    <x v="3"/>
    <x v="1356"/>
    <n v="299.52"/>
    <n v="9"/>
    <n v="149.76"/>
    <x v="4"/>
    <x v="3"/>
  </r>
  <r>
    <n v="45425"/>
    <x v="136"/>
    <x v="15"/>
    <x v="0"/>
    <x v="12"/>
    <x v="857"/>
    <n v="20.77"/>
    <n v="2"/>
    <n v="2.34"/>
    <x v="4"/>
    <x v="3"/>
  </r>
  <r>
    <n v="45425"/>
    <x v="772"/>
    <x v="2"/>
    <x v="1"/>
    <x v="5"/>
    <x v="215"/>
    <n v="458.43"/>
    <n v="5"/>
    <n v="-124.43"/>
    <x v="4"/>
    <x v="3"/>
  </r>
  <r>
    <n v="45426"/>
    <x v="137"/>
    <x v="3"/>
    <x v="1"/>
    <x v="8"/>
    <x v="1393"/>
    <n v="18.28"/>
    <n v="2"/>
    <n v="6.22"/>
    <x v="4"/>
    <x v="3"/>
  </r>
  <r>
    <n v="45426"/>
    <x v="137"/>
    <x v="3"/>
    <x v="2"/>
    <x v="9"/>
    <x v="1390"/>
    <n v="1399.93"/>
    <n v="7"/>
    <n v="601.97"/>
    <x v="4"/>
    <x v="3"/>
  </r>
  <r>
    <n v="45426"/>
    <x v="67"/>
    <x v="29"/>
    <x v="0"/>
    <x v="10"/>
    <x v="1072"/>
    <n v="48.69"/>
    <n v="9"/>
    <n v="23.86"/>
    <x v="4"/>
    <x v="3"/>
  </r>
  <r>
    <n v="45426"/>
    <x v="596"/>
    <x v="20"/>
    <x v="2"/>
    <x v="6"/>
    <x v="1238"/>
    <n v="539.97"/>
    <n v="3"/>
    <n v="134.99"/>
    <x v="4"/>
    <x v="3"/>
  </r>
  <r>
    <n v="45426"/>
    <x v="596"/>
    <x v="20"/>
    <x v="0"/>
    <x v="2"/>
    <x v="350"/>
    <n v="22.58"/>
    <n v="2"/>
    <n v="5.87"/>
    <x v="4"/>
    <x v="3"/>
  </r>
  <r>
    <n v="45426"/>
    <x v="127"/>
    <x v="22"/>
    <x v="0"/>
    <x v="0"/>
    <x v="951"/>
    <n v="440.19"/>
    <n v="9"/>
    <n v="206.89"/>
    <x v="4"/>
    <x v="3"/>
  </r>
  <r>
    <n v="45426"/>
    <x v="127"/>
    <x v="22"/>
    <x v="0"/>
    <x v="14"/>
    <x v="277"/>
    <n v="64.400000000000006"/>
    <n v="5"/>
    <n v="1.93"/>
    <x v="4"/>
    <x v="3"/>
  </r>
  <r>
    <n v="45426"/>
    <x v="217"/>
    <x v="0"/>
    <x v="1"/>
    <x v="5"/>
    <x v="435"/>
    <n v="899.43"/>
    <n v="5"/>
    <n v="-12.85"/>
    <x v="4"/>
    <x v="3"/>
  </r>
  <r>
    <n v="45426"/>
    <x v="217"/>
    <x v="0"/>
    <x v="0"/>
    <x v="4"/>
    <x v="1439"/>
    <n v="46.2"/>
    <n v="5"/>
    <n v="5.78"/>
    <x v="4"/>
    <x v="3"/>
  </r>
  <r>
    <n v="45426"/>
    <x v="217"/>
    <x v="0"/>
    <x v="0"/>
    <x v="0"/>
    <x v="1564"/>
    <n v="47.95"/>
    <n v="3"/>
    <n v="16.18"/>
    <x v="4"/>
    <x v="3"/>
  </r>
  <r>
    <n v="45426"/>
    <x v="217"/>
    <x v="0"/>
    <x v="2"/>
    <x v="6"/>
    <x v="1755"/>
    <n v="7.99"/>
    <n v="1"/>
    <n v="0.7"/>
    <x v="4"/>
    <x v="3"/>
  </r>
  <r>
    <n v="45426"/>
    <x v="217"/>
    <x v="0"/>
    <x v="0"/>
    <x v="0"/>
    <x v="1362"/>
    <n v="76.86"/>
    <n v="2"/>
    <n v="26.9"/>
    <x v="4"/>
    <x v="3"/>
  </r>
  <r>
    <n v="45426"/>
    <x v="8"/>
    <x v="36"/>
    <x v="0"/>
    <x v="4"/>
    <x v="513"/>
    <n v="3.76"/>
    <n v="2"/>
    <n v="1.0900000000000001"/>
    <x v="4"/>
    <x v="3"/>
  </r>
  <r>
    <n v="45426"/>
    <x v="8"/>
    <x v="36"/>
    <x v="0"/>
    <x v="4"/>
    <x v="793"/>
    <n v="14.7"/>
    <n v="5"/>
    <n v="6.62"/>
    <x v="4"/>
    <x v="3"/>
  </r>
  <r>
    <n v="45426"/>
    <x v="8"/>
    <x v="36"/>
    <x v="0"/>
    <x v="4"/>
    <x v="222"/>
    <n v="37.200000000000003"/>
    <n v="5"/>
    <n v="9.3000000000000007"/>
    <x v="4"/>
    <x v="3"/>
  </r>
  <r>
    <n v="45426"/>
    <x v="8"/>
    <x v="36"/>
    <x v="2"/>
    <x v="9"/>
    <x v="991"/>
    <n v="89.97"/>
    <n v="3"/>
    <n v="18.89"/>
    <x v="4"/>
    <x v="3"/>
  </r>
  <r>
    <n v="45426"/>
    <x v="8"/>
    <x v="36"/>
    <x v="1"/>
    <x v="5"/>
    <x v="914"/>
    <n v="261.95999999999998"/>
    <n v="2"/>
    <n v="23.58"/>
    <x v="4"/>
    <x v="3"/>
  </r>
  <r>
    <n v="45426"/>
    <x v="8"/>
    <x v="36"/>
    <x v="0"/>
    <x v="1"/>
    <x v="210"/>
    <n v="74"/>
    <n v="5"/>
    <n v="37"/>
    <x v="4"/>
    <x v="3"/>
  </r>
  <r>
    <n v="45426"/>
    <x v="0"/>
    <x v="10"/>
    <x v="0"/>
    <x v="3"/>
    <x v="164"/>
    <n v="58.17"/>
    <n v="5"/>
    <n v="-46.54"/>
    <x v="4"/>
    <x v="3"/>
  </r>
  <r>
    <n v="45426"/>
    <x v="0"/>
    <x v="10"/>
    <x v="0"/>
    <x v="1"/>
    <x v="1678"/>
    <n v="5.04"/>
    <n v="2"/>
    <n v="1.76"/>
    <x v="4"/>
    <x v="3"/>
  </r>
  <r>
    <n v="45426"/>
    <x v="0"/>
    <x v="10"/>
    <x v="0"/>
    <x v="0"/>
    <x v="1325"/>
    <n v="24.78"/>
    <n v="1"/>
    <n v="7.75"/>
    <x v="4"/>
    <x v="3"/>
  </r>
  <r>
    <n v="45427"/>
    <x v="409"/>
    <x v="12"/>
    <x v="2"/>
    <x v="6"/>
    <x v="550"/>
    <n v="29.59"/>
    <n v="1"/>
    <n v="2.59"/>
    <x v="4"/>
    <x v="3"/>
  </r>
  <r>
    <n v="45427"/>
    <x v="409"/>
    <x v="12"/>
    <x v="0"/>
    <x v="3"/>
    <x v="1649"/>
    <n v="4.75"/>
    <n v="2"/>
    <n v="-3.17"/>
    <x v="4"/>
    <x v="3"/>
  </r>
  <r>
    <n v="45427"/>
    <x v="409"/>
    <x v="12"/>
    <x v="0"/>
    <x v="0"/>
    <x v="1810"/>
    <n v="15.55"/>
    <n v="3"/>
    <n v="5.64"/>
    <x v="4"/>
    <x v="3"/>
  </r>
  <r>
    <n v="45427"/>
    <x v="80"/>
    <x v="22"/>
    <x v="1"/>
    <x v="8"/>
    <x v="408"/>
    <n v="39.96"/>
    <n v="2"/>
    <n v="17.18"/>
    <x v="4"/>
    <x v="3"/>
  </r>
  <r>
    <n v="45427"/>
    <x v="80"/>
    <x v="22"/>
    <x v="1"/>
    <x v="5"/>
    <x v="1047"/>
    <n v="42.62"/>
    <n v="2"/>
    <n v="4.26"/>
    <x v="4"/>
    <x v="3"/>
  </r>
  <r>
    <n v="45427"/>
    <x v="80"/>
    <x v="22"/>
    <x v="1"/>
    <x v="5"/>
    <x v="782"/>
    <n v="220.96"/>
    <n v="1"/>
    <n v="24.86"/>
    <x v="4"/>
    <x v="3"/>
  </r>
  <r>
    <n v="45427"/>
    <x v="448"/>
    <x v="1"/>
    <x v="0"/>
    <x v="0"/>
    <x v="1285"/>
    <n v="56.7"/>
    <n v="2"/>
    <n v="19.14"/>
    <x v="4"/>
    <x v="3"/>
  </r>
  <r>
    <n v="45427"/>
    <x v="448"/>
    <x v="1"/>
    <x v="2"/>
    <x v="6"/>
    <x v="852"/>
    <n v="11.12"/>
    <n v="2"/>
    <n v="3.48"/>
    <x v="4"/>
    <x v="3"/>
  </r>
  <r>
    <n v="45428"/>
    <x v="522"/>
    <x v="10"/>
    <x v="0"/>
    <x v="2"/>
    <x v="332"/>
    <n v="221.02"/>
    <n v="2"/>
    <n v="-55.26"/>
    <x v="4"/>
    <x v="3"/>
  </r>
  <r>
    <n v="45430"/>
    <x v="248"/>
    <x v="2"/>
    <x v="2"/>
    <x v="9"/>
    <x v="1264"/>
    <n v="36.049999999999997"/>
    <n v="3"/>
    <n v="-0.9"/>
    <x v="4"/>
    <x v="3"/>
  </r>
  <r>
    <n v="45430"/>
    <x v="18"/>
    <x v="20"/>
    <x v="1"/>
    <x v="8"/>
    <x v="747"/>
    <n v="14.56"/>
    <n v="2"/>
    <n v="6.26"/>
    <x v="4"/>
    <x v="3"/>
  </r>
  <r>
    <n v="45430"/>
    <x v="18"/>
    <x v="20"/>
    <x v="0"/>
    <x v="3"/>
    <x v="51"/>
    <n v="3.05"/>
    <n v="1"/>
    <n v="1.03"/>
    <x v="4"/>
    <x v="3"/>
  </r>
  <r>
    <n v="45430"/>
    <x v="113"/>
    <x v="0"/>
    <x v="0"/>
    <x v="3"/>
    <x v="832"/>
    <n v="6.87"/>
    <n v="7"/>
    <n v="-10.65"/>
    <x v="4"/>
    <x v="3"/>
  </r>
  <r>
    <n v="45430"/>
    <x v="113"/>
    <x v="0"/>
    <x v="0"/>
    <x v="3"/>
    <x v="970"/>
    <n v="2"/>
    <n v="1"/>
    <n v="-3.29"/>
    <x v="4"/>
    <x v="3"/>
  </r>
  <r>
    <n v="45430"/>
    <x v="113"/>
    <x v="0"/>
    <x v="0"/>
    <x v="2"/>
    <x v="1811"/>
    <n v="8.93"/>
    <n v="2"/>
    <n v="0.67"/>
    <x v="4"/>
    <x v="3"/>
  </r>
  <r>
    <n v="45430"/>
    <x v="735"/>
    <x v="4"/>
    <x v="0"/>
    <x v="12"/>
    <x v="882"/>
    <n v="17.239999999999998"/>
    <n v="2"/>
    <n v="4.4800000000000004"/>
    <x v="4"/>
    <x v="3"/>
  </r>
  <r>
    <n v="45430"/>
    <x v="735"/>
    <x v="4"/>
    <x v="1"/>
    <x v="11"/>
    <x v="1061"/>
    <n v="302.94"/>
    <n v="3"/>
    <n v="75.739999999999995"/>
    <x v="4"/>
    <x v="3"/>
  </r>
  <r>
    <n v="45430"/>
    <x v="735"/>
    <x v="4"/>
    <x v="2"/>
    <x v="6"/>
    <x v="852"/>
    <n v="34.75"/>
    <n v="5"/>
    <n v="15.64"/>
    <x v="4"/>
    <x v="3"/>
  </r>
  <r>
    <n v="45430"/>
    <x v="735"/>
    <x v="4"/>
    <x v="0"/>
    <x v="3"/>
    <x v="1135"/>
    <n v="113.94"/>
    <n v="6"/>
    <n v="54.69"/>
    <x v="4"/>
    <x v="3"/>
  </r>
  <r>
    <n v="45430"/>
    <x v="735"/>
    <x v="4"/>
    <x v="2"/>
    <x v="6"/>
    <x v="1570"/>
    <n v="55.98"/>
    <n v="2"/>
    <n v="15.67"/>
    <x v="4"/>
    <x v="3"/>
  </r>
  <r>
    <n v="45430"/>
    <x v="579"/>
    <x v="11"/>
    <x v="2"/>
    <x v="6"/>
    <x v="1529"/>
    <n v="344.7"/>
    <n v="2"/>
    <n v="38.78"/>
    <x v="4"/>
    <x v="3"/>
  </r>
  <r>
    <n v="45430"/>
    <x v="367"/>
    <x v="24"/>
    <x v="0"/>
    <x v="12"/>
    <x v="1718"/>
    <n v="706.86"/>
    <n v="7"/>
    <n v="197.92"/>
    <x v="4"/>
    <x v="3"/>
  </r>
  <r>
    <n v="45430"/>
    <x v="367"/>
    <x v="24"/>
    <x v="2"/>
    <x v="6"/>
    <x v="1502"/>
    <n v="114.95"/>
    <n v="5"/>
    <n v="2.2999999999999998"/>
    <x v="4"/>
    <x v="3"/>
  </r>
  <r>
    <n v="45430"/>
    <x v="367"/>
    <x v="24"/>
    <x v="0"/>
    <x v="3"/>
    <x v="1023"/>
    <n v="43.19"/>
    <n v="7"/>
    <n v="20.73"/>
    <x v="4"/>
    <x v="3"/>
  </r>
  <r>
    <n v="45430"/>
    <x v="688"/>
    <x v="1"/>
    <x v="1"/>
    <x v="8"/>
    <x v="1310"/>
    <n v="22.61"/>
    <n v="3"/>
    <n v="-10.17"/>
    <x v="4"/>
    <x v="3"/>
  </r>
  <r>
    <n v="45430"/>
    <x v="688"/>
    <x v="1"/>
    <x v="1"/>
    <x v="8"/>
    <x v="283"/>
    <n v="1.89"/>
    <n v="1"/>
    <n v="-0.99"/>
    <x v="4"/>
    <x v="3"/>
  </r>
  <r>
    <n v="45431"/>
    <x v="372"/>
    <x v="22"/>
    <x v="0"/>
    <x v="12"/>
    <x v="1167"/>
    <n v="97.16"/>
    <n v="2"/>
    <n v="28.18"/>
    <x v="4"/>
    <x v="3"/>
  </r>
  <r>
    <n v="45431"/>
    <x v="138"/>
    <x v="20"/>
    <x v="0"/>
    <x v="12"/>
    <x v="174"/>
    <n v="281.33999999999997"/>
    <n v="6"/>
    <n v="109.72"/>
    <x v="4"/>
    <x v="3"/>
  </r>
  <r>
    <n v="45431"/>
    <x v="138"/>
    <x v="20"/>
    <x v="2"/>
    <x v="6"/>
    <x v="855"/>
    <n v="307.98"/>
    <n v="2"/>
    <n v="89.31"/>
    <x v="4"/>
    <x v="3"/>
  </r>
  <r>
    <n v="45431"/>
    <x v="138"/>
    <x v="20"/>
    <x v="2"/>
    <x v="9"/>
    <x v="439"/>
    <n v="299.97000000000003"/>
    <n v="3"/>
    <n v="113.99"/>
    <x v="4"/>
    <x v="3"/>
  </r>
  <r>
    <n v="45431"/>
    <x v="59"/>
    <x v="4"/>
    <x v="2"/>
    <x v="9"/>
    <x v="281"/>
    <n v="67.8"/>
    <n v="4"/>
    <n v="4.07"/>
    <x v="4"/>
    <x v="3"/>
  </r>
  <r>
    <n v="45431"/>
    <x v="59"/>
    <x v="4"/>
    <x v="2"/>
    <x v="6"/>
    <x v="1812"/>
    <n v="377.97"/>
    <n v="3"/>
    <n v="98.27"/>
    <x v="4"/>
    <x v="3"/>
  </r>
  <r>
    <n v="45431"/>
    <x v="59"/>
    <x v="4"/>
    <x v="1"/>
    <x v="11"/>
    <x v="1212"/>
    <n v="1628.82"/>
    <n v="9"/>
    <n v="374.63"/>
    <x v="4"/>
    <x v="3"/>
  </r>
  <r>
    <n v="45431"/>
    <x v="59"/>
    <x v="4"/>
    <x v="0"/>
    <x v="0"/>
    <x v="290"/>
    <n v="286.93"/>
    <n v="7"/>
    <n v="140.6"/>
    <x v="4"/>
    <x v="3"/>
  </r>
  <r>
    <n v="45431"/>
    <x v="288"/>
    <x v="3"/>
    <x v="1"/>
    <x v="5"/>
    <x v="478"/>
    <n v="681.41"/>
    <n v="12"/>
    <n v="42.59"/>
    <x v="4"/>
    <x v="3"/>
  </r>
  <r>
    <n v="45431"/>
    <x v="288"/>
    <x v="3"/>
    <x v="0"/>
    <x v="4"/>
    <x v="1041"/>
    <n v="3.52"/>
    <n v="2"/>
    <n v="1.02"/>
    <x v="4"/>
    <x v="3"/>
  </r>
  <r>
    <n v="45431"/>
    <x v="288"/>
    <x v="3"/>
    <x v="0"/>
    <x v="4"/>
    <x v="312"/>
    <n v="5.58"/>
    <n v="1"/>
    <n v="1.4"/>
    <x v="4"/>
    <x v="3"/>
  </r>
  <r>
    <n v="45431"/>
    <x v="288"/>
    <x v="3"/>
    <x v="2"/>
    <x v="9"/>
    <x v="390"/>
    <n v="36.32"/>
    <n v="1"/>
    <n v="10.9"/>
    <x v="4"/>
    <x v="3"/>
  </r>
  <r>
    <n v="45431"/>
    <x v="405"/>
    <x v="4"/>
    <x v="0"/>
    <x v="0"/>
    <x v="1422"/>
    <n v="195.64"/>
    <n v="4"/>
    <n v="91.95"/>
    <x v="4"/>
    <x v="3"/>
  </r>
  <r>
    <n v="45431"/>
    <x v="225"/>
    <x v="1"/>
    <x v="0"/>
    <x v="0"/>
    <x v="294"/>
    <n v="38.020000000000003"/>
    <n v="6"/>
    <n v="13.78"/>
    <x v="4"/>
    <x v="3"/>
  </r>
  <r>
    <n v="45431"/>
    <x v="80"/>
    <x v="0"/>
    <x v="2"/>
    <x v="6"/>
    <x v="1118"/>
    <n v="95.99"/>
    <n v="1"/>
    <n v="9.6"/>
    <x v="4"/>
    <x v="3"/>
  </r>
  <r>
    <n v="45431"/>
    <x v="80"/>
    <x v="0"/>
    <x v="0"/>
    <x v="1"/>
    <x v="1374"/>
    <n v="13.22"/>
    <n v="4"/>
    <n v="4.3"/>
    <x v="4"/>
    <x v="3"/>
  </r>
  <r>
    <n v="45431"/>
    <x v="512"/>
    <x v="15"/>
    <x v="1"/>
    <x v="5"/>
    <x v="215"/>
    <n v="314.35000000000002"/>
    <n v="3"/>
    <n v="-35.36"/>
    <x v="4"/>
    <x v="3"/>
  </r>
  <r>
    <n v="45431"/>
    <x v="512"/>
    <x v="15"/>
    <x v="0"/>
    <x v="0"/>
    <x v="404"/>
    <n v="27.89"/>
    <n v="7"/>
    <n v="10.11"/>
    <x v="4"/>
    <x v="3"/>
  </r>
  <r>
    <n v="45431"/>
    <x v="52"/>
    <x v="3"/>
    <x v="0"/>
    <x v="3"/>
    <x v="1356"/>
    <n v="133.12"/>
    <n v="5"/>
    <n v="49.92"/>
    <x v="4"/>
    <x v="3"/>
  </r>
  <r>
    <n v="45431"/>
    <x v="37"/>
    <x v="33"/>
    <x v="0"/>
    <x v="3"/>
    <x v="558"/>
    <n v="26.16"/>
    <n v="4"/>
    <n v="12.82"/>
    <x v="4"/>
    <x v="3"/>
  </r>
  <r>
    <n v="45432"/>
    <x v="115"/>
    <x v="47"/>
    <x v="0"/>
    <x v="4"/>
    <x v="487"/>
    <n v="131.94"/>
    <n v="3"/>
    <n v="35.619999999999997"/>
    <x v="4"/>
    <x v="3"/>
  </r>
  <r>
    <n v="45432"/>
    <x v="115"/>
    <x v="47"/>
    <x v="0"/>
    <x v="4"/>
    <x v="136"/>
    <n v="25.92"/>
    <n v="4"/>
    <n v="8.2899999999999991"/>
    <x v="4"/>
    <x v="3"/>
  </r>
  <r>
    <n v="45432"/>
    <x v="115"/>
    <x v="47"/>
    <x v="0"/>
    <x v="2"/>
    <x v="923"/>
    <n v="704.76"/>
    <n v="4"/>
    <n v="162.09"/>
    <x v="4"/>
    <x v="3"/>
  </r>
  <r>
    <n v="45432"/>
    <x v="115"/>
    <x v="47"/>
    <x v="0"/>
    <x v="7"/>
    <x v="78"/>
    <n v="7.41"/>
    <n v="3"/>
    <n v="3.48"/>
    <x v="4"/>
    <x v="3"/>
  </r>
  <r>
    <n v="45432"/>
    <x v="115"/>
    <x v="47"/>
    <x v="0"/>
    <x v="4"/>
    <x v="319"/>
    <n v="21.5"/>
    <n v="10"/>
    <n v="7.1"/>
    <x v="4"/>
    <x v="3"/>
  </r>
  <r>
    <n v="45432"/>
    <x v="684"/>
    <x v="3"/>
    <x v="1"/>
    <x v="5"/>
    <x v="100"/>
    <n v="518.27"/>
    <n v="8"/>
    <n v="-97.18"/>
    <x v="4"/>
    <x v="3"/>
  </r>
  <r>
    <n v="45432"/>
    <x v="684"/>
    <x v="3"/>
    <x v="1"/>
    <x v="8"/>
    <x v="335"/>
    <n v="6.98"/>
    <n v="1"/>
    <n v="3.35"/>
    <x v="4"/>
    <x v="3"/>
  </r>
  <r>
    <n v="45432"/>
    <x v="684"/>
    <x v="3"/>
    <x v="2"/>
    <x v="15"/>
    <x v="1768"/>
    <n v="343.2"/>
    <n v="1"/>
    <n v="38.61"/>
    <x v="4"/>
    <x v="3"/>
  </r>
  <r>
    <n v="45432"/>
    <x v="444"/>
    <x v="14"/>
    <x v="0"/>
    <x v="3"/>
    <x v="739"/>
    <n v="41.28"/>
    <n v="2"/>
    <n v="19.809999999999999"/>
    <x v="4"/>
    <x v="3"/>
  </r>
  <r>
    <n v="45432"/>
    <x v="247"/>
    <x v="17"/>
    <x v="0"/>
    <x v="3"/>
    <x v="811"/>
    <n v="8.2899999999999991"/>
    <n v="2"/>
    <n v="3"/>
    <x v="4"/>
    <x v="3"/>
  </r>
  <r>
    <n v="45432"/>
    <x v="247"/>
    <x v="17"/>
    <x v="2"/>
    <x v="6"/>
    <x v="1426"/>
    <n v="1123.1300000000001"/>
    <n v="9"/>
    <n v="70.2"/>
    <x v="4"/>
    <x v="3"/>
  </r>
  <r>
    <n v="45432"/>
    <x v="247"/>
    <x v="17"/>
    <x v="0"/>
    <x v="12"/>
    <x v="857"/>
    <n v="64.900000000000006"/>
    <n v="5"/>
    <n v="18.82"/>
    <x v="4"/>
    <x v="3"/>
  </r>
  <r>
    <n v="45433"/>
    <x v="130"/>
    <x v="20"/>
    <x v="1"/>
    <x v="8"/>
    <x v="511"/>
    <n v="520.04999999999995"/>
    <n v="5"/>
    <n v="72.81"/>
    <x v="4"/>
    <x v="3"/>
  </r>
  <r>
    <n v="45433"/>
    <x v="130"/>
    <x v="20"/>
    <x v="0"/>
    <x v="4"/>
    <x v="1813"/>
    <n v="17.97"/>
    <n v="3"/>
    <n v="5.21"/>
    <x v="4"/>
    <x v="3"/>
  </r>
  <r>
    <n v="45434"/>
    <x v="224"/>
    <x v="1"/>
    <x v="1"/>
    <x v="5"/>
    <x v="1155"/>
    <n v="181.99"/>
    <n v="2"/>
    <n v="-54.6"/>
    <x v="4"/>
    <x v="3"/>
  </r>
  <r>
    <n v="45434"/>
    <x v="224"/>
    <x v="1"/>
    <x v="0"/>
    <x v="3"/>
    <x v="881"/>
    <n v="1.59"/>
    <n v="2"/>
    <n v="-2.63"/>
    <x v="4"/>
    <x v="3"/>
  </r>
  <r>
    <n v="45434"/>
    <x v="224"/>
    <x v="1"/>
    <x v="0"/>
    <x v="14"/>
    <x v="139"/>
    <n v="22.34"/>
    <n v="3"/>
    <n v="2.5099999999999998"/>
    <x v="4"/>
    <x v="3"/>
  </r>
  <r>
    <n v="45434"/>
    <x v="281"/>
    <x v="3"/>
    <x v="2"/>
    <x v="9"/>
    <x v="918"/>
    <n v="68.459999999999994"/>
    <n v="7"/>
    <n v="25.33"/>
    <x v="4"/>
    <x v="3"/>
  </r>
  <r>
    <n v="45434"/>
    <x v="556"/>
    <x v="3"/>
    <x v="0"/>
    <x v="4"/>
    <x v="760"/>
    <n v="49.56"/>
    <n v="7"/>
    <n v="18.829999999999998"/>
    <x v="4"/>
    <x v="3"/>
  </r>
  <r>
    <n v="45434"/>
    <x v="58"/>
    <x v="3"/>
    <x v="0"/>
    <x v="4"/>
    <x v="368"/>
    <n v="9.84"/>
    <n v="3"/>
    <n v="2.85"/>
    <x v="4"/>
    <x v="3"/>
  </r>
  <r>
    <n v="45434"/>
    <x v="58"/>
    <x v="3"/>
    <x v="0"/>
    <x v="4"/>
    <x v="182"/>
    <n v="2.78"/>
    <n v="1"/>
    <n v="0.72"/>
    <x v="4"/>
    <x v="3"/>
  </r>
  <r>
    <n v="45435"/>
    <x v="6"/>
    <x v="3"/>
    <x v="1"/>
    <x v="13"/>
    <x v="495"/>
    <n v="171.29"/>
    <n v="3"/>
    <n v="-6.42"/>
    <x v="4"/>
    <x v="3"/>
  </r>
  <r>
    <n v="45435"/>
    <x v="318"/>
    <x v="0"/>
    <x v="0"/>
    <x v="7"/>
    <x v="364"/>
    <n v="1.82"/>
    <n v="2"/>
    <n v="0.62"/>
    <x v="4"/>
    <x v="3"/>
  </r>
  <r>
    <n v="45435"/>
    <x v="318"/>
    <x v="0"/>
    <x v="0"/>
    <x v="12"/>
    <x v="1284"/>
    <n v="18.32"/>
    <n v="5"/>
    <n v="-46.72"/>
    <x v="4"/>
    <x v="3"/>
  </r>
  <r>
    <n v="45435"/>
    <x v="318"/>
    <x v="0"/>
    <x v="0"/>
    <x v="2"/>
    <x v="204"/>
    <n v="48.82"/>
    <n v="3"/>
    <n v="-11.59"/>
    <x v="4"/>
    <x v="3"/>
  </r>
  <r>
    <n v="45435"/>
    <x v="318"/>
    <x v="0"/>
    <x v="0"/>
    <x v="3"/>
    <x v="56"/>
    <n v="1.19"/>
    <n v="1"/>
    <n v="-1.96"/>
    <x v="4"/>
    <x v="3"/>
  </r>
  <r>
    <n v="45437"/>
    <x v="772"/>
    <x v="4"/>
    <x v="0"/>
    <x v="3"/>
    <x v="1171"/>
    <n v="29.84"/>
    <n v="2"/>
    <n v="13.43"/>
    <x v="4"/>
    <x v="3"/>
  </r>
  <r>
    <n v="45437"/>
    <x v="335"/>
    <x v="20"/>
    <x v="0"/>
    <x v="3"/>
    <x v="398"/>
    <n v="663.92"/>
    <n v="5"/>
    <n v="207.48"/>
    <x v="4"/>
    <x v="3"/>
  </r>
  <r>
    <n v="45437"/>
    <x v="335"/>
    <x v="20"/>
    <x v="2"/>
    <x v="9"/>
    <x v="623"/>
    <n v="120"/>
    <n v="8"/>
    <n v="13.2"/>
    <x v="4"/>
    <x v="3"/>
  </r>
  <r>
    <n v="45437"/>
    <x v="335"/>
    <x v="20"/>
    <x v="0"/>
    <x v="7"/>
    <x v="779"/>
    <n v="3.29"/>
    <n v="1"/>
    <n v="1.48"/>
    <x v="4"/>
    <x v="3"/>
  </r>
  <r>
    <n v="45437"/>
    <x v="335"/>
    <x v="20"/>
    <x v="1"/>
    <x v="8"/>
    <x v="1387"/>
    <n v="18.84"/>
    <n v="3"/>
    <n v="6.03"/>
    <x v="4"/>
    <x v="3"/>
  </r>
  <r>
    <n v="45437"/>
    <x v="506"/>
    <x v="0"/>
    <x v="0"/>
    <x v="2"/>
    <x v="1276"/>
    <n v="50.14"/>
    <n v="3"/>
    <n v="-11.28"/>
    <x v="4"/>
    <x v="3"/>
  </r>
  <r>
    <n v="45438"/>
    <x v="566"/>
    <x v="5"/>
    <x v="0"/>
    <x v="12"/>
    <x v="1814"/>
    <n v="208.44"/>
    <n v="3"/>
    <n v="62.53"/>
    <x v="4"/>
    <x v="3"/>
  </r>
  <r>
    <n v="45438"/>
    <x v="566"/>
    <x v="5"/>
    <x v="0"/>
    <x v="14"/>
    <x v="277"/>
    <n v="25.76"/>
    <n v="2"/>
    <n v="0.77"/>
    <x v="4"/>
    <x v="3"/>
  </r>
  <r>
    <n v="45438"/>
    <x v="240"/>
    <x v="6"/>
    <x v="2"/>
    <x v="9"/>
    <x v="1509"/>
    <n v="23.08"/>
    <n v="2"/>
    <n v="6.92"/>
    <x v="4"/>
    <x v="3"/>
  </r>
  <r>
    <n v="45438"/>
    <x v="101"/>
    <x v="3"/>
    <x v="0"/>
    <x v="0"/>
    <x v="1588"/>
    <n v="12.96"/>
    <n v="2"/>
    <n v="6.22"/>
    <x v="4"/>
    <x v="3"/>
  </r>
  <r>
    <n v="45439"/>
    <x v="233"/>
    <x v="5"/>
    <x v="0"/>
    <x v="3"/>
    <x v="1223"/>
    <n v="58.34"/>
    <n v="2"/>
    <n v="28"/>
    <x v="4"/>
    <x v="3"/>
  </r>
  <r>
    <n v="45439"/>
    <x v="233"/>
    <x v="5"/>
    <x v="2"/>
    <x v="6"/>
    <x v="1238"/>
    <n v="539.97"/>
    <n v="3"/>
    <n v="134.99"/>
    <x v="4"/>
    <x v="3"/>
  </r>
  <r>
    <n v="45439"/>
    <x v="281"/>
    <x v="15"/>
    <x v="0"/>
    <x v="0"/>
    <x v="507"/>
    <n v="25.92"/>
    <n v="5"/>
    <n v="9.07"/>
    <x v="4"/>
    <x v="3"/>
  </r>
  <r>
    <n v="45439"/>
    <x v="132"/>
    <x v="22"/>
    <x v="2"/>
    <x v="9"/>
    <x v="665"/>
    <n v="98.16"/>
    <n v="6"/>
    <n v="9.82"/>
    <x v="4"/>
    <x v="3"/>
  </r>
  <r>
    <n v="45439"/>
    <x v="132"/>
    <x v="22"/>
    <x v="0"/>
    <x v="4"/>
    <x v="108"/>
    <n v="31.44"/>
    <n v="3"/>
    <n v="7.86"/>
    <x v="4"/>
    <x v="3"/>
  </r>
  <r>
    <n v="45439"/>
    <x v="229"/>
    <x v="34"/>
    <x v="1"/>
    <x v="8"/>
    <x v="1756"/>
    <n v="35"/>
    <n v="4"/>
    <n v="14.7"/>
    <x v="4"/>
    <x v="3"/>
  </r>
  <r>
    <n v="45439"/>
    <x v="229"/>
    <x v="34"/>
    <x v="0"/>
    <x v="2"/>
    <x v="25"/>
    <n v="477.15"/>
    <n v="5"/>
    <n v="28.63"/>
    <x v="4"/>
    <x v="3"/>
  </r>
  <r>
    <n v="45439"/>
    <x v="229"/>
    <x v="34"/>
    <x v="2"/>
    <x v="6"/>
    <x v="1812"/>
    <n v="302.38"/>
    <n v="3"/>
    <n v="22.68"/>
    <x v="4"/>
    <x v="3"/>
  </r>
  <r>
    <n v="45439"/>
    <x v="416"/>
    <x v="39"/>
    <x v="1"/>
    <x v="8"/>
    <x v="1751"/>
    <n v="477.3"/>
    <n v="5"/>
    <n v="138.41999999999999"/>
    <x v="4"/>
    <x v="3"/>
  </r>
  <r>
    <n v="45439"/>
    <x v="620"/>
    <x v="25"/>
    <x v="2"/>
    <x v="9"/>
    <x v="1815"/>
    <n v="27.19"/>
    <n v="3"/>
    <n v="0.34"/>
    <x v="4"/>
    <x v="3"/>
  </r>
  <r>
    <n v="45439"/>
    <x v="620"/>
    <x v="25"/>
    <x v="0"/>
    <x v="3"/>
    <x v="274"/>
    <n v="12.06"/>
    <n v="5"/>
    <n v="-10.050000000000001"/>
    <x v="4"/>
    <x v="3"/>
  </r>
  <r>
    <n v="45440"/>
    <x v="99"/>
    <x v="9"/>
    <x v="1"/>
    <x v="5"/>
    <x v="120"/>
    <n v="301.95999999999998"/>
    <n v="2"/>
    <n v="33.22"/>
    <x v="4"/>
    <x v="3"/>
  </r>
  <r>
    <n v="45440"/>
    <x v="657"/>
    <x v="0"/>
    <x v="2"/>
    <x v="6"/>
    <x v="826"/>
    <n v="54.37"/>
    <n v="4"/>
    <n v="4.08"/>
    <x v="4"/>
    <x v="3"/>
  </r>
  <r>
    <n v="45440"/>
    <x v="604"/>
    <x v="38"/>
    <x v="1"/>
    <x v="8"/>
    <x v="1376"/>
    <n v="247.44"/>
    <n v="8"/>
    <n v="101.45"/>
    <x v="4"/>
    <x v="3"/>
  </r>
  <r>
    <n v="45440"/>
    <x v="495"/>
    <x v="1"/>
    <x v="1"/>
    <x v="5"/>
    <x v="1748"/>
    <n v="106.87"/>
    <n v="3"/>
    <n v="-29.01"/>
    <x v="4"/>
    <x v="3"/>
  </r>
  <r>
    <n v="45440"/>
    <x v="495"/>
    <x v="1"/>
    <x v="0"/>
    <x v="3"/>
    <x v="56"/>
    <n v="3.56"/>
    <n v="3"/>
    <n v="-6.24"/>
    <x v="4"/>
    <x v="3"/>
  </r>
  <r>
    <n v="45440"/>
    <x v="507"/>
    <x v="12"/>
    <x v="2"/>
    <x v="6"/>
    <x v="952"/>
    <n v="195.96"/>
    <n v="5"/>
    <n v="19.600000000000001"/>
    <x v="4"/>
    <x v="3"/>
  </r>
  <r>
    <n v="45440"/>
    <x v="507"/>
    <x v="12"/>
    <x v="0"/>
    <x v="0"/>
    <x v="1703"/>
    <n v="15.55"/>
    <n v="3"/>
    <n v="5.44"/>
    <x v="4"/>
    <x v="3"/>
  </r>
  <r>
    <n v="45440"/>
    <x v="507"/>
    <x v="12"/>
    <x v="2"/>
    <x v="9"/>
    <x v="711"/>
    <n v="271.97000000000003"/>
    <n v="4"/>
    <n v="54.39"/>
    <x v="4"/>
    <x v="3"/>
  </r>
  <r>
    <n v="45440"/>
    <x v="548"/>
    <x v="36"/>
    <x v="1"/>
    <x v="8"/>
    <x v="211"/>
    <n v="27.46"/>
    <n v="2"/>
    <n v="9.89"/>
    <x v="4"/>
    <x v="3"/>
  </r>
  <r>
    <n v="45440"/>
    <x v="548"/>
    <x v="36"/>
    <x v="0"/>
    <x v="12"/>
    <x v="810"/>
    <n v="125.13"/>
    <n v="3"/>
    <n v="36.29"/>
    <x v="4"/>
    <x v="3"/>
  </r>
  <r>
    <n v="45440"/>
    <x v="450"/>
    <x v="10"/>
    <x v="0"/>
    <x v="0"/>
    <x v="1479"/>
    <n v="13.87"/>
    <n v="3"/>
    <n v="5.03"/>
    <x v="4"/>
    <x v="3"/>
  </r>
  <r>
    <n v="45440"/>
    <x v="450"/>
    <x v="10"/>
    <x v="1"/>
    <x v="11"/>
    <x v="1419"/>
    <n v="115.96"/>
    <n v="4"/>
    <n v="-64.94"/>
    <x v="4"/>
    <x v="3"/>
  </r>
  <r>
    <n v="45441"/>
    <x v="606"/>
    <x v="0"/>
    <x v="0"/>
    <x v="0"/>
    <x v="1595"/>
    <n v="25.92"/>
    <n v="5"/>
    <n v="9.4"/>
    <x v="4"/>
    <x v="3"/>
  </r>
  <r>
    <n v="45441"/>
    <x v="606"/>
    <x v="0"/>
    <x v="0"/>
    <x v="2"/>
    <x v="1122"/>
    <n v="53.42"/>
    <n v="3"/>
    <n v="4.67"/>
    <x v="4"/>
    <x v="3"/>
  </r>
  <r>
    <n v="45441"/>
    <x v="742"/>
    <x v="0"/>
    <x v="1"/>
    <x v="8"/>
    <x v="1714"/>
    <n v="65.42"/>
    <n v="4"/>
    <n v="-52.34"/>
    <x v="4"/>
    <x v="3"/>
  </r>
  <r>
    <n v="45441"/>
    <x v="618"/>
    <x v="40"/>
    <x v="0"/>
    <x v="7"/>
    <x v="122"/>
    <n v="23.55"/>
    <n v="5"/>
    <n v="1.18"/>
    <x v="4"/>
    <x v="3"/>
  </r>
  <r>
    <n v="45441"/>
    <x v="505"/>
    <x v="18"/>
    <x v="0"/>
    <x v="3"/>
    <x v="715"/>
    <n v="43.41"/>
    <n v="1"/>
    <n v="19.97"/>
    <x v="4"/>
    <x v="3"/>
  </r>
  <r>
    <n v="45441"/>
    <x v="505"/>
    <x v="18"/>
    <x v="1"/>
    <x v="8"/>
    <x v="152"/>
    <n v="6.24"/>
    <n v="3"/>
    <n v="2.62"/>
    <x v="4"/>
    <x v="3"/>
  </r>
  <r>
    <n v="45441"/>
    <x v="505"/>
    <x v="18"/>
    <x v="0"/>
    <x v="12"/>
    <x v="1758"/>
    <n v="465.16"/>
    <n v="2"/>
    <n v="120.94"/>
    <x v="4"/>
    <x v="3"/>
  </r>
  <r>
    <n v="45441"/>
    <x v="505"/>
    <x v="18"/>
    <x v="0"/>
    <x v="0"/>
    <x v="452"/>
    <n v="7.98"/>
    <n v="1"/>
    <n v="3.99"/>
    <x v="4"/>
    <x v="3"/>
  </r>
  <r>
    <n v="45442"/>
    <x v="664"/>
    <x v="8"/>
    <x v="1"/>
    <x v="11"/>
    <x v="1102"/>
    <n v="241.96"/>
    <n v="2"/>
    <n v="33.869999999999997"/>
    <x v="4"/>
    <x v="3"/>
  </r>
  <r>
    <n v="45442"/>
    <x v="664"/>
    <x v="8"/>
    <x v="0"/>
    <x v="3"/>
    <x v="1149"/>
    <n v="3.89"/>
    <n v="1"/>
    <n v="1.87"/>
    <x v="4"/>
    <x v="3"/>
  </r>
  <r>
    <n v="45442"/>
    <x v="664"/>
    <x v="8"/>
    <x v="1"/>
    <x v="8"/>
    <x v="533"/>
    <n v="8.01"/>
    <n v="3"/>
    <n v="3.04"/>
    <x v="4"/>
    <x v="3"/>
  </r>
  <r>
    <n v="45442"/>
    <x v="588"/>
    <x v="11"/>
    <x v="2"/>
    <x v="6"/>
    <x v="1254"/>
    <n v="156.79"/>
    <n v="1"/>
    <n v="17.64"/>
    <x v="4"/>
    <x v="3"/>
  </r>
  <r>
    <n v="45442"/>
    <x v="588"/>
    <x v="11"/>
    <x v="2"/>
    <x v="9"/>
    <x v="225"/>
    <n v="35.36"/>
    <n v="2"/>
    <n v="-3.09"/>
    <x v="4"/>
    <x v="3"/>
  </r>
  <r>
    <n v="45442"/>
    <x v="588"/>
    <x v="11"/>
    <x v="1"/>
    <x v="8"/>
    <x v="1465"/>
    <n v="13.59"/>
    <n v="1"/>
    <n v="-0.34"/>
    <x v="4"/>
    <x v="3"/>
  </r>
  <r>
    <n v="45442"/>
    <x v="436"/>
    <x v="3"/>
    <x v="0"/>
    <x v="0"/>
    <x v="1737"/>
    <n v="37.520000000000003"/>
    <n v="4"/>
    <n v="18.010000000000002"/>
    <x v="4"/>
    <x v="3"/>
  </r>
  <r>
    <n v="45442"/>
    <x v="73"/>
    <x v="0"/>
    <x v="1"/>
    <x v="11"/>
    <x v="1248"/>
    <n v="204.67"/>
    <n v="1"/>
    <n v="-6.02"/>
    <x v="4"/>
    <x v="3"/>
  </r>
  <r>
    <n v="45442"/>
    <x v="75"/>
    <x v="3"/>
    <x v="0"/>
    <x v="4"/>
    <x v="540"/>
    <n v="35.1"/>
    <n v="6"/>
    <n v="10.18"/>
    <x v="4"/>
    <x v="3"/>
  </r>
  <r>
    <n v="45444"/>
    <x v="323"/>
    <x v="10"/>
    <x v="0"/>
    <x v="12"/>
    <x v="1277"/>
    <n v="17.48"/>
    <n v="5"/>
    <n v="1.31"/>
    <x v="5"/>
    <x v="3"/>
  </r>
  <r>
    <n v="45444"/>
    <x v="681"/>
    <x v="10"/>
    <x v="0"/>
    <x v="3"/>
    <x v="130"/>
    <n v="3.8"/>
    <n v="2"/>
    <n v="-2.66"/>
    <x v="5"/>
    <x v="3"/>
  </r>
  <r>
    <n v="45444"/>
    <x v="681"/>
    <x v="10"/>
    <x v="0"/>
    <x v="0"/>
    <x v="834"/>
    <n v="27.74"/>
    <n v="6"/>
    <n v="10.06"/>
    <x v="5"/>
    <x v="3"/>
  </r>
  <r>
    <n v="45444"/>
    <x v="681"/>
    <x v="10"/>
    <x v="2"/>
    <x v="6"/>
    <x v="1519"/>
    <n v="158.38"/>
    <n v="4"/>
    <n v="-34.31"/>
    <x v="5"/>
    <x v="3"/>
  </r>
  <r>
    <n v="45444"/>
    <x v="755"/>
    <x v="40"/>
    <x v="0"/>
    <x v="3"/>
    <x v="39"/>
    <n v="53.9"/>
    <n v="5"/>
    <n v="25.87"/>
    <x v="5"/>
    <x v="3"/>
  </r>
  <r>
    <n v="45444"/>
    <x v="220"/>
    <x v="2"/>
    <x v="0"/>
    <x v="2"/>
    <x v="1324"/>
    <n v="324.74"/>
    <n v="3"/>
    <n v="-77.13"/>
    <x v="5"/>
    <x v="3"/>
  </r>
  <r>
    <n v="45444"/>
    <x v="698"/>
    <x v="18"/>
    <x v="1"/>
    <x v="5"/>
    <x v="1111"/>
    <n v="1925.88"/>
    <n v="6"/>
    <n v="539.25"/>
    <x v="5"/>
    <x v="3"/>
  </r>
  <r>
    <n v="45444"/>
    <x v="698"/>
    <x v="18"/>
    <x v="0"/>
    <x v="12"/>
    <x v="453"/>
    <n v="2405.1999999999998"/>
    <n v="8"/>
    <n v="793.72"/>
    <x v="5"/>
    <x v="3"/>
  </r>
  <r>
    <n v="45444"/>
    <x v="698"/>
    <x v="18"/>
    <x v="2"/>
    <x v="9"/>
    <x v="973"/>
    <n v="83.97"/>
    <n v="3"/>
    <n v="15.95"/>
    <x v="5"/>
    <x v="3"/>
  </r>
  <r>
    <n v="45444"/>
    <x v="698"/>
    <x v="18"/>
    <x v="2"/>
    <x v="9"/>
    <x v="1617"/>
    <n v="39.89"/>
    <n v="1"/>
    <n v="14.76"/>
    <x v="5"/>
    <x v="3"/>
  </r>
  <r>
    <n v="45444"/>
    <x v="698"/>
    <x v="18"/>
    <x v="0"/>
    <x v="3"/>
    <x v="1296"/>
    <n v="17.38"/>
    <n v="2"/>
    <n v="8.69"/>
    <x v="5"/>
    <x v="3"/>
  </r>
  <r>
    <n v="45445"/>
    <x v="314"/>
    <x v="10"/>
    <x v="2"/>
    <x v="6"/>
    <x v="1297"/>
    <n v="2.97"/>
    <n v="1"/>
    <n v="-0.64"/>
    <x v="5"/>
    <x v="3"/>
  </r>
  <r>
    <n v="45445"/>
    <x v="314"/>
    <x v="10"/>
    <x v="0"/>
    <x v="2"/>
    <x v="1187"/>
    <n v="27.44"/>
    <n v="2"/>
    <n v="2.4"/>
    <x v="5"/>
    <x v="3"/>
  </r>
  <r>
    <n v="45445"/>
    <x v="445"/>
    <x v="12"/>
    <x v="0"/>
    <x v="0"/>
    <x v="1018"/>
    <n v="25.34"/>
    <n v="6"/>
    <n v="7.92"/>
    <x v="5"/>
    <x v="3"/>
  </r>
  <r>
    <n v="45445"/>
    <x v="445"/>
    <x v="12"/>
    <x v="0"/>
    <x v="10"/>
    <x v="1690"/>
    <n v="43.92"/>
    <n v="5"/>
    <n v="15.92"/>
    <x v="5"/>
    <x v="3"/>
  </r>
  <r>
    <n v="45445"/>
    <x v="178"/>
    <x v="25"/>
    <x v="0"/>
    <x v="0"/>
    <x v="294"/>
    <n v="25.34"/>
    <n v="4"/>
    <n v="9.19"/>
    <x v="5"/>
    <x v="3"/>
  </r>
  <r>
    <n v="45445"/>
    <x v="628"/>
    <x v="0"/>
    <x v="0"/>
    <x v="0"/>
    <x v="1282"/>
    <n v="10.69"/>
    <n v="2"/>
    <n v="3.74"/>
    <x v="5"/>
    <x v="3"/>
  </r>
  <r>
    <n v="45446"/>
    <x v="252"/>
    <x v="15"/>
    <x v="1"/>
    <x v="8"/>
    <x v="1084"/>
    <n v="35.17"/>
    <n v="7"/>
    <n v="9.67"/>
    <x v="5"/>
    <x v="3"/>
  </r>
  <r>
    <n v="45446"/>
    <x v="186"/>
    <x v="22"/>
    <x v="2"/>
    <x v="9"/>
    <x v="1507"/>
    <n v="1099.5"/>
    <n v="10"/>
    <n v="362.84"/>
    <x v="5"/>
    <x v="3"/>
  </r>
  <r>
    <n v="45446"/>
    <x v="531"/>
    <x v="3"/>
    <x v="2"/>
    <x v="9"/>
    <x v="907"/>
    <n v="44.75"/>
    <n v="5"/>
    <n v="8.5"/>
    <x v="5"/>
    <x v="3"/>
  </r>
  <r>
    <n v="45446"/>
    <x v="531"/>
    <x v="3"/>
    <x v="0"/>
    <x v="0"/>
    <x v="258"/>
    <n v="11.96"/>
    <n v="2"/>
    <n v="5.38"/>
    <x v="5"/>
    <x v="3"/>
  </r>
  <r>
    <n v="45446"/>
    <x v="531"/>
    <x v="3"/>
    <x v="0"/>
    <x v="3"/>
    <x v="1079"/>
    <n v="3.91"/>
    <n v="1"/>
    <n v="1.27"/>
    <x v="5"/>
    <x v="3"/>
  </r>
  <r>
    <n v="45446"/>
    <x v="245"/>
    <x v="16"/>
    <x v="0"/>
    <x v="3"/>
    <x v="753"/>
    <n v="4.55"/>
    <n v="3"/>
    <n v="-3.49"/>
    <x v="5"/>
    <x v="3"/>
  </r>
  <r>
    <n v="45446"/>
    <x v="245"/>
    <x v="16"/>
    <x v="0"/>
    <x v="12"/>
    <x v="652"/>
    <n v="5.2"/>
    <n v="2"/>
    <n v="0.59"/>
    <x v="5"/>
    <x v="3"/>
  </r>
  <r>
    <n v="45446"/>
    <x v="245"/>
    <x v="16"/>
    <x v="2"/>
    <x v="9"/>
    <x v="1044"/>
    <n v="205.99"/>
    <n v="1"/>
    <n v="-2.57"/>
    <x v="5"/>
    <x v="3"/>
  </r>
  <r>
    <n v="45446"/>
    <x v="245"/>
    <x v="16"/>
    <x v="0"/>
    <x v="0"/>
    <x v="1453"/>
    <n v="15.55"/>
    <n v="3"/>
    <n v="5.44"/>
    <x v="5"/>
    <x v="3"/>
  </r>
  <r>
    <n v="45446"/>
    <x v="245"/>
    <x v="16"/>
    <x v="2"/>
    <x v="6"/>
    <x v="431"/>
    <n v="503.96"/>
    <n v="5"/>
    <n v="50.4"/>
    <x v="5"/>
    <x v="3"/>
  </r>
  <r>
    <n v="45446"/>
    <x v="245"/>
    <x v="16"/>
    <x v="0"/>
    <x v="12"/>
    <x v="1277"/>
    <n v="24.47"/>
    <n v="7"/>
    <n v="1.84"/>
    <x v="5"/>
    <x v="3"/>
  </r>
  <r>
    <n v="45446"/>
    <x v="245"/>
    <x v="16"/>
    <x v="1"/>
    <x v="11"/>
    <x v="1408"/>
    <n v="241.57"/>
    <n v="2"/>
    <n v="0"/>
    <x v="5"/>
    <x v="3"/>
  </r>
  <r>
    <n v="45446"/>
    <x v="245"/>
    <x v="16"/>
    <x v="2"/>
    <x v="9"/>
    <x v="925"/>
    <n v="110.4"/>
    <n v="2"/>
    <n v="-4.1399999999999997"/>
    <x v="5"/>
    <x v="3"/>
  </r>
  <r>
    <n v="45446"/>
    <x v="549"/>
    <x v="20"/>
    <x v="1"/>
    <x v="13"/>
    <x v="1161"/>
    <n v="384.77"/>
    <n v="2"/>
    <n v="-115.43"/>
    <x v="5"/>
    <x v="3"/>
  </r>
  <r>
    <n v="45446"/>
    <x v="549"/>
    <x v="20"/>
    <x v="2"/>
    <x v="15"/>
    <x v="1816"/>
    <n v="78.66"/>
    <n v="6"/>
    <n v="36.18"/>
    <x v="5"/>
    <x v="3"/>
  </r>
  <r>
    <n v="45446"/>
    <x v="549"/>
    <x v="20"/>
    <x v="0"/>
    <x v="0"/>
    <x v="1383"/>
    <n v="45.36"/>
    <n v="4"/>
    <n v="22.23"/>
    <x v="5"/>
    <x v="3"/>
  </r>
  <r>
    <n v="45446"/>
    <x v="690"/>
    <x v="22"/>
    <x v="0"/>
    <x v="2"/>
    <x v="835"/>
    <n v="136.26"/>
    <n v="9"/>
    <n v="5.45"/>
    <x v="5"/>
    <x v="3"/>
  </r>
  <r>
    <n v="45447"/>
    <x v="754"/>
    <x v="25"/>
    <x v="1"/>
    <x v="8"/>
    <x v="763"/>
    <n v="31.98"/>
    <n v="2"/>
    <n v="2"/>
    <x v="5"/>
    <x v="3"/>
  </r>
  <r>
    <n v="45447"/>
    <x v="754"/>
    <x v="25"/>
    <x v="2"/>
    <x v="6"/>
    <x v="240"/>
    <n v="71.98"/>
    <n v="2"/>
    <n v="25.19"/>
    <x v="5"/>
    <x v="3"/>
  </r>
  <r>
    <n v="45447"/>
    <x v="284"/>
    <x v="33"/>
    <x v="0"/>
    <x v="0"/>
    <x v="1399"/>
    <n v="12.48"/>
    <n v="2"/>
    <n v="5.62"/>
    <x v="5"/>
    <x v="3"/>
  </r>
  <r>
    <n v="45447"/>
    <x v="189"/>
    <x v="28"/>
    <x v="0"/>
    <x v="4"/>
    <x v="1441"/>
    <n v="8.64"/>
    <n v="3"/>
    <n v="2.5099999999999998"/>
    <x v="5"/>
    <x v="3"/>
  </r>
  <r>
    <n v="45447"/>
    <x v="783"/>
    <x v="0"/>
    <x v="0"/>
    <x v="3"/>
    <x v="475"/>
    <n v="6.37"/>
    <n v="7"/>
    <n v="-9.56"/>
    <x v="5"/>
    <x v="3"/>
  </r>
  <r>
    <n v="45447"/>
    <x v="200"/>
    <x v="13"/>
    <x v="0"/>
    <x v="3"/>
    <x v="962"/>
    <n v="108.08"/>
    <n v="7"/>
    <n v="54.04"/>
    <x v="5"/>
    <x v="3"/>
  </r>
  <r>
    <n v="45447"/>
    <x v="200"/>
    <x v="13"/>
    <x v="0"/>
    <x v="3"/>
    <x v="740"/>
    <n v="9.5399999999999991"/>
    <n v="3"/>
    <n v="4.3899999999999997"/>
    <x v="5"/>
    <x v="3"/>
  </r>
  <r>
    <n v="45447"/>
    <x v="313"/>
    <x v="0"/>
    <x v="1"/>
    <x v="8"/>
    <x v="805"/>
    <n v="30.34"/>
    <n v="6"/>
    <n v="-17.440000000000001"/>
    <x v="5"/>
    <x v="3"/>
  </r>
  <r>
    <n v="45448"/>
    <x v="579"/>
    <x v="0"/>
    <x v="2"/>
    <x v="6"/>
    <x v="1254"/>
    <n v="470.38"/>
    <n v="3"/>
    <n v="52.92"/>
    <x v="5"/>
    <x v="3"/>
  </r>
  <r>
    <n v="45448"/>
    <x v="270"/>
    <x v="16"/>
    <x v="0"/>
    <x v="0"/>
    <x v="1444"/>
    <n v="20.74"/>
    <n v="4"/>
    <n v="7.26"/>
    <x v="5"/>
    <x v="3"/>
  </r>
  <r>
    <n v="45449"/>
    <x v="292"/>
    <x v="3"/>
    <x v="1"/>
    <x v="8"/>
    <x v="1725"/>
    <n v="4.95"/>
    <n v="1"/>
    <n v="2.1800000000000002"/>
    <x v="5"/>
    <x v="3"/>
  </r>
  <r>
    <n v="45449"/>
    <x v="292"/>
    <x v="3"/>
    <x v="0"/>
    <x v="2"/>
    <x v="235"/>
    <n v="26.4"/>
    <n v="5"/>
    <n v="0"/>
    <x v="5"/>
    <x v="3"/>
  </r>
  <r>
    <n v="45451"/>
    <x v="112"/>
    <x v="0"/>
    <x v="0"/>
    <x v="12"/>
    <x v="1817"/>
    <n v="1.62"/>
    <n v="2"/>
    <n v="-4.47"/>
    <x v="5"/>
    <x v="3"/>
  </r>
  <r>
    <n v="45451"/>
    <x v="495"/>
    <x v="0"/>
    <x v="0"/>
    <x v="14"/>
    <x v="1452"/>
    <n v="23.76"/>
    <n v="3"/>
    <n v="2.08"/>
    <x v="5"/>
    <x v="3"/>
  </r>
  <r>
    <n v="45451"/>
    <x v="495"/>
    <x v="0"/>
    <x v="0"/>
    <x v="0"/>
    <x v="371"/>
    <n v="85.06"/>
    <n v="3"/>
    <n v="28.71"/>
    <x v="5"/>
    <x v="3"/>
  </r>
  <r>
    <n v="45451"/>
    <x v="495"/>
    <x v="0"/>
    <x v="2"/>
    <x v="6"/>
    <x v="1517"/>
    <n v="381.58"/>
    <n v="3"/>
    <n v="28.62"/>
    <x v="5"/>
    <x v="3"/>
  </r>
  <r>
    <n v="45451"/>
    <x v="395"/>
    <x v="37"/>
    <x v="0"/>
    <x v="3"/>
    <x v="811"/>
    <n v="10.36"/>
    <n v="2"/>
    <n v="5.08"/>
    <x v="5"/>
    <x v="3"/>
  </r>
  <r>
    <n v="45451"/>
    <x v="346"/>
    <x v="1"/>
    <x v="0"/>
    <x v="3"/>
    <x v="185"/>
    <n v="12.18"/>
    <n v="4"/>
    <n v="-18.87"/>
    <x v="5"/>
    <x v="3"/>
  </r>
  <r>
    <n v="45451"/>
    <x v="473"/>
    <x v="3"/>
    <x v="1"/>
    <x v="11"/>
    <x v="1483"/>
    <n v="1497.67"/>
    <n v="2"/>
    <n v="140.96"/>
    <x v="5"/>
    <x v="3"/>
  </r>
  <r>
    <n v="45451"/>
    <x v="473"/>
    <x v="3"/>
    <x v="2"/>
    <x v="6"/>
    <x v="1124"/>
    <n v="17.52"/>
    <n v="2"/>
    <n v="-3.5"/>
    <x v="5"/>
    <x v="3"/>
  </r>
  <r>
    <n v="45451"/>
    <x v="251"/>
    <x v="12"/>
    <x v="2"/>
    <x v="9"/>
    <x v="632"/>
    <n v="89.54"/>
    <n v="7"/>
    <n v="12.31"/>
    <x v="5"/>
    <x v="3"/>
  </r>
  <r>
    <n v="45451"/>
    <x v="251"/>
    <x v="12"/>
    <x v="0"/>
    <x v="2"/>
    <x v="1125"/>
    <n v="35.17"/>
    <n v="2"/>
    <n v="-8.35"/>
    <x v="5"/>
    <x v="3"/>
  </r>
  <r>
    <n v="45451"/>
    <x v="251"/>
    <x v="12"/>
    <x v="0"/>
    <x v="3"/>
    <x v="1498"/>
    <n v="72.59"/>
    <n v="2"/>
    <n v="-48.39"/>
    <x v="5"/>
    <x v="3"/>
  </r>
  <r>
    <n v="45452"/>
    <x v="690"/>
    <x v="1"/>
    <x v="1"/>
    <x v="8"/>
    <x v="1113"/>
    <n v="23.98"/>
    <n v="3"/>
    <n v="-14.39"/>
    <x v="5"/>
    <x v="3"/>
  </r>
  <r>
    <n v="45452"/>
    <x v="690"/>
    <x v="1"/>
    <x v="1"/>
    <x v="13"/>
    <x v="280"/>
    <n v="108.93"/>
    <n v="1"/>
    <n v="-71.89"/>
    <x v="5"/>
    <x v="3"/>
  </r>
  <r>
    <n v="45452"/>
    <x v="690"/>
    <x v="1"/>
    <x v="0"/>
    <x v="0"/>
    <x v="1243"/>
    <n v="36.35"/>
    <n v="8"/>
    <n v="11.36"/>
    <x v="5"/>
    <x v="3"/>
  </r>
  <r>
    <n v="45452"/>
    <x v="479"/>
    <x v="0"/>
    <x v="0"/>
    <x v="2"/>
    <x v="1126"/>
    <n v="720.76"/>
    <n v="5"/>
    <n v="54.06"/>
    <x v="5"/>
    <x v="3"/>
  </r>
  <r>
    <n v="45452"/>
    <x v="643"/>
    <x v="6"/>
    <x v="0"/>
    <x v="0"/>
    <x v="371"/>
    <n v="49.12"/>
    <n v="4"/>
    <n v="23.09"/>
    <x v="5"/>
    <x v="3"/>
  </r>
  <r>
    <n v="45453"/>
    <x v="428"/>
    <x v="3"/>
    <x v="0"/>
    <x v="1"/>
    <x v="798"/>
    <n v="29.6"/>
    <n v="2"/>
    <n v="14.8"/>
    <x v="5"/>
    <x v="3"/>
  </r>
  <r>
    <n v="45453"/>
    <x v="428"/>
    <x v="3"/>
    <x v="1"/>
    <x v="11"/>
    <x v="238"/>
    <n v="514.16999999999996"/>
    <n v="5"/>
    <n v="-30.25"/>
    <x v="5"/>
    <x v="3"/>
  </r>
  <r>
    <n v="45453"/>
    <x v="428"/>
    <x v="3"/>
    <x v="2"/>
    <x v="6"/>
    <x v="1727"/>
    <n v="279.95999999999998"/>
    <n v="5"/>
    <n v="17.5"/>
    <x v="5"/>
    <x v="3"/>
  </r>
  <r>
    <n v="45453"/>
    <x v="573"/>
    <x v="14"/>
    <x v="2"/>
    <x v="9"/>
    <x v="1037"/>
    <n v="132.52000000000001"/>
    <n v="4"/>
    <n v="54.33"/>
    <x v="5"/>
    <x v="3"/>
  </r>
  <r>
    <n v="45453"/>
    <x v="346"/>
    <x v="3"/>
    <x v="0"/>
    <x v="4"/>
    <x v="44"/>
    <n v="16.399999999999999"/>
    <n v="5"/>
    <n v="4.76"/>
    <x v="5"/>
    <x v="3"/>
  </r>
  <r>
    <n v="45453"/>
    <x v="319"/>
    <x v="2"/>
    <x v="0"/>
    <x v="0"/>
    <x v="64"/>
    <n v="40.03"/>
    <n v="6"/>
    <n v="15.01"/>
    <x v="5"/>
    <x v="3"/>
  </r>
  <r>
    <n v="45453"/>
    <x v="37"/>
    <x v="16"/>
    <x v="0"/>
    <x v="2"/>
    <x v="954"/>
    <n v="1347.52"/>
    <n v="8"/>
    <n v="84.22"/>
    <x v="5"/>
    <x v="3"/>
  </r>
  <r>
    <n v="45453"/>
    <x v="49"/>
    <x v="20"/>
    <x v="0"/>
    <x v="4"/>
    <x v="321"/>
    <n v="8.4"/>
    <n v="5"/>
    <n v="4.2"/>
    <x v="5"/>
    <x v="3"/>
  </r>
  <r>
    <n v="45453"/>
    <x v="649"/>
    <x v="22"/>
    <x v="2"/>
    <x v="6"/>
    <x v="550"/>
    <n v="88.78"/>
    <n v="3"/>
    <n v="7.77"/>
    <x v="5"/>
    <x v="3"/>
  </r>
  <r>
    <n v="45453"/>
    <x v="649"/>
    <x v="22"/>
    <x v="0"/>
    <x v="1"/>
    <x v="912"/>
    <n v="11.56"/>
    <n v="4"/>
    <n v="5.43"/>
    <x v="5"/>
    <x v="3"/>
  </r>
  <r>
    <n v="45453"/>
    <x v="649"/>
    <x v="22"/>
    <x v="0"/>
    <x v="2"/>
    <x v="1260"/>
    <n v="15.58"/>
    <n v="1"/>
    <n v="3.9"/>
    <x v="5"/>
    <x v="3"/>
  </r>
  <r>
    <n v="45453"/>
    <x v="434"/>
    <x v="3"/>
    <x v="0"/>
    <x v="4"/>
    <x v="237"/>
    <n v="14.7"/>
    <n v="7"/>
    <n v="4.12"/>
    <x v="5"/>
    <x v="3"/>
  </r>
  <r>
    <n v="45453"/>
    <x v="22"/>
    <x v="20"/>
    <x v="0"/>
    <x v="7"/>
    <x v="122"/>
    <n v="14.13"/>
    <n v="3"/>
    <n v="0.71"/>
    <x v="5"/>
    <x v="3"/>
  </r>
  <r>
    <n v="45454"/>
    <x v="265"/>
    <x v="3"/>
    <x v="0"/>
    <x v="0"/>
    <x v="1289"/>
    <n v="122.97"/>
    <n v="3"/>
    <n v="60.26"/>
    <x v="5"/>
    <x v="3"/>
  </r>
  <r>
    <n v="45454"/>
    <x v="288"/>
    <x v="12"/>
    <x v="1"/>
    <x v="5"/>
    <x v="354"/>
    <n v="280.79000000000002"/>
    <n v="1"/>
    <n v="35.1"/>
    <x v="5"/>
    <x v="3"/>
  </r>
  <r>
    <n v="45454"/>
    <x v="288"/>
    <x v="12"/>
    <x v="0"/>
    <x v="2"/>
    <x v="929"/>
    <n v="68.45"/>
    <n v="4"/>
    <n v="7.7"/>
    <x v="5"/>
    <x v="3"/>
  </r>
  <r>
    <n v="45454"/>
    <x v="288"/>
    <x v="12"/>
    <x v="0"/>
    <x v="4"/>
    <x v="864"/>
    <n v="88.04"/>
    <n v="5"/>
    <n v="6.6"/>
    <x v="5"/>
    <x v="3"/>
  </r>
  <r>
    <n v="45454"/>
    <x v="288"/>
    <x v="12"/>
    <x v="0"/>
    <x v="4"/>
    <x v="262"/>
    <n v="15.87"/>
    <n v="1"/>
    <n v="1.98"/>
    <x v="5"/>
    <x v="3"/>
  </r>
  <r>
    <n v="45454"/>
    <x v="288"/>
    <x v="12"/>
    <x v="0"/>
    <x v="2"/>
    <x v="437"/>
    <n v="215.59"/>
    <n v="3"/>
    <n v="-48.51"/>
    <x v="5"/>
    <x v="3"/>
  </r>
  <r>
    <n v="45454"/>
    <x v="61"/>
    <x v="33"/>
    <x v="0"/>
    <x v="4"/>
    <x v="513"/>
    <n v="3.76"/>
    <n v="2"/>
    <n v="1.0900000000000001"/>
    <x v="5"/>
    <x v="3"/>
  </r>
  <r>
    <n v="45454"/>
    <x v="23"/>
    <x v="22"/>
    <x v="0"/>
    <x v="0"/>
    <x v="1656"/>
    <n v="37.94"/>
    <n v="2"/>
    <n v="18.21"/>
    <x v="5"/>
    <x v="3"/>
  </r>
  <r>
    <n v="45454"/>
    <x v="23"/>
    <x v="22"/>
    <x v="0"/>
    <x v="3"/>
    <x v="596"/>
    <n v="18.29"/>
    <n v="6"/>
    <n v="6.63"/>
    <x v="5"/>
    <x v="3"/>
  </r>
  <r>
    <n v="45454"/>
    <x v="23"/>
    <x v="22"/>
    <x v="2"/>
    <x v="15"/>
    <x v="1818"/>
    <n v="385.8"/>
    <n v="5"/>
    <n v="130.21"/>
    <x v="5"/>
    <x v="3"/>
  </r>
  <r>
    <n v="45454"/>
    <x v="23"/>
    <x v="22"/>
    <x v="0"/>
    <x v="2"/>
    <x v="627"/>
    <n v="102.96"/>
    <n v="2"/>
    <n v="1.03"/>
    <x v="5"/>
    <x v="3"/>
  </r>
  <r>
    <n v="45454"/>
    <x v="23"/>
    <x v="22"/>
    <x v="1"/>
    <x v="11"/>
    <x v="1317"/>
    <n v="174.42"/>
    <n v="3"/>
    <n v="41.86"/>
    <x v="5"/>
    <x v="3"/>
  </r>
  <r>
    <n v="45454"/>
    <x v="368"/>
    <x v="3"/>
    <x v="0"/>
    <x v="12"/>
    <x v="808"/>
    <n v="61.44"/>
    <n v="3"/>
    <n v="16.59"/>
    <x v="5"/>
    <x v="3"/>
  </r>
  <r>
    <n v="45454"/>
    <x v="456"/>
    <x v="25"/>
    <x v="0"/>
    <x v="3"/>
    <x v="343"/>
    <n v="4.57"/>
    <n v="4"/>
    <n v="-3.81"/>
    <x v="5"/>
    <x v="3"/>
  </r>
  <r>
    <n v="45455"/>
    <x v="5"/>
    <x v="4"/>
    <x v="0"/>
    <x v="3"/>
    <x v="417"/>
    <n v="91.2"/>
    <n v="3"/>
    <n v="41.95"/>
    <x v="5"/>
    <x v="3"/>
  </r>
  <r>
    <n v="45455"/>
    <x v="5"/>
    <x v="4"/>
    <x v="1"/>
    <x v="13"/>
    <x v="1312"/>
    <n v="452.94"/>
    <n v="3"/>
    <n v="67.94"/>
    <x v="5"/>
    <x v="3"/>
  </r>
  <r>
    <n v="45455"/>
    <x v="242"/>
    <x v="20"/>
    <x v="0"/>
    <x v="0"/>
    <x v="1692"/>
    <n v="19.04"/>
    <n v="4"/>
    <n v="9.33"/>
    <x v="5"/>
    <x v="3"/>
  </r>
  <r>
    <n v="45455"/>
    <x v="242"/>
    <x v="20"/>
    <x v="0"/>
    <x v="3"/>
    <x v="420"/>
    <n v="13.13"/>
    <n v="3"/>
    <n v="4.2699999999999996"/>
    <x v="5"/>
    <x v="3"/>
  </r>
  <r>
    <n v="45455"/>
    <x v="242"/>
    <x v="20"/>
    <x v="0"/>
    <x v="4"/>
    <x v="1218"/>
    <n v="64.14"/>
    <n v="3"/>
    <n v="16.68"/>
    <x v="5"/>
    <x v="3"/>
  </r>
  <r>
    <n v="45455"/>
    <x v="242"/>
    <x v="20"/>
    <x v="1"/>
    <x v="5"/>
    <x v="1075"/>
    <n v="858.24"/>
    <n v="4"/>
    <n v="143.04"/>
    <x v="5"/>
    <x v="3"/>
  </r>
  <r>
    <n v="45455"/>
    <x v="164"/>
    <x v="16"/>
    <x v="1"/>
    <x v="8"/>
    <x v="863"/>
    <n v="17.09"/>
    <n v="2"/>
    <n v="1.07"/>
    <x v="5"/>
    <x v="3"/>
  </r>
  <r>
    <n v="45455"/>
    <x v="459"/>
    <x v="10"/>
    <x v="2"/>
    <x v="9"/>
    <x v="1253"/>
    <n v="63.92"/>
    <n v="2"/>
    <n v="19.18"/>
    <x v="5"/>
    <x v="3"/>
  </r>
  <r>
    <n v="45455"/>
    <x v="417"/>
    <x v="22"/>
    <x v="2"/>
    <x v="6"/>
    <x v="1511"/>
    <n v="71.98"/>
    <n v="3"/>
    <n v="9"/>
    <x v="5"/>
    <x v="3"/>
  </r>
  <r>
    <n v="45455"/>
    <x v="417"/>
    <x v="22"/>
    <x v="0"/>
    <x v="0"/>
    <x v="708"/>
    <n v="19.440000000000001"/>
    <n v="3"/>
    <n v="9.33"/>
    <x v="5"/>
    <x v="3"/>
  </r>
  <r>
    <n v="45455"/>
    <x v="350"/>
    <x v="1"/>
    <x v="1"/>
    <x v="8"/>
    <x v="977"/>
    <n v="8.86"/>
    <n v="3"/>
    <n v="-6.86"/>
    <x v="5"/>
    <x v="3"/>
  </r>
  <r>
    <n v="45456"/>
    <x v="26"/>
    <x v="1"/>
    <x v="0"/>
    <x v="2"/>
    <x v="627"/>
    <n v="164.74"/>
    <n v="4"/>
    <n v="-39.119999999999997"/>
    <x v="5"/>
    <x v="3"/>
  </r>
  <r>
    <n v="45456"/>
    <x v="26"/>
    <x v="1"/>
    <x v="1"/>
    <x v="5"/>
    <x v="796"/>
    <n v="470.3"/>
    <n v="7"/>
    <n v="-87.34"/>
    <x v="5"/>
    <x v="3"/>
  </r>
  <r>
    <n v="45456"/>
    <x v="26"/>
    <x v="1"/>
    <x v="2"/>
    <x v="6"/>
    <x v="1511"/>
    <n v="47.98"/>
    <n v="2"/>
    <n v="6"/>
    <x v="5"/>
    <x v="3"/>
  </r>
  <r>
    <n v="45456"/>
    <x v="194"/>
    <x v="6"/>
    <x v="0"/>
    <x v="4"/>
    <x v="1819"/>
    <n v="181.86"/>
    <n v="7"/>
    <n v="50.92"/>
    <x v="5"/>
    <x v="3"/>
  </r>
  <r>
    <n v="45456"/>
    <x v="581"/>
    <x v="22"/>
    <x v="1"/>
    <x v="5"/>
    <x v="943"/>
    <n v="291.14"/>
    <n v="4"/>
    <n v="-25.47"/>
    <x v="5"/>
    <x v="3"/>
  </r>
  <r>
    <n v="45458"/>
    <x v="786"/>
    <x v="3"/>
    <x v="2"/>
    <x v="6"/>
    <x v="1605"/>
    <n v="47.98"/>
    <n v="3"/>
    <n v="4.8"/>
    <x v="5"/>
    <x v="3"/>
  </r>
  <r>
    <n v="45458"/>
    <x v="210"/>
    <x v="1"/>
    <x v="0"/>
    <x v="4"/>
    <x v="1099"/>
    <n v="19.559999999999999"/>
    <n v="5"/>
    <n v="1.71"/>
    <x v="5"/>
    <x v="3"/>
  </r>
  <r>
    <n v="45458"/>
    <x v="723"/>
    <x v="3"/>
    <x v="0"/>
    <x v="4"/>
    <x v="6"/>
    <n v="4.26"/>
    <n v="1"/>
    <n v="1.75"/>
    <x v="5"/>
    <x v="3"/>
  </r>
  <r>
    <n v="45458"/>
    <x v="222"/>
    <x v="28"/>
    <x v="0"/>
    <x v="1"/>
    <x v="236"/>
    <n v="44.4"/>
    <n v="3"/>
    <n v="22.2"/>
    <x v="5"/>
    <x v="3"/>
  </r>
  <r>
    <n v="45458"/>
    <x v="222"/>
    <x v="28"/>
    <x v="0"/>
    <x v="2"/>
    <x v="1265"/>
    <n v="84.55"/>
    <n v="5"/>
    <n v="22.83"/>
    <x v="5"/>
    <x v="3"/>
  </r>
  <r>
    <n v="45458"/>
    <x v="222"/>
    <x v="28"/>
    <x v="0"/>
    <x v="0"/>
    <x v="414"/>
    <n v="17.940000000000001"/>
    <n v="3"/>
    <n v="8.7899999999999991"/>
    <x v="5"/>
    <x v="3"/>
  </r>
  <r>
    <n v="45458"/>
    <x v="94"/>
    <x v="3"/>
    <x v="2"/>
    <x v="6"/>
    <x v="1121"/>
    <n v="119.96"/>
    <n v="1"/>
    <n v="7.5"/>
    <x v="5"/>
    <x v="3"/>
  </r>
  <r>
    <n v="45458"/>
    <x v="93"/>
    <x v="15"/>
    <x v="2"/>
    <x v="6"/>
    <x v="1202"/>
    <n v="239.98"/>
    <n v="3"/>
    <n v="27"/>
    <x v="5"/>
    <x v="3"/>
  </r>
  <r>
    <n v="45458"/>
    <x v="93"/>
    <x v="15"/>
    <x v="1"/>
    <x v="8"/>
    <x v="626"/>
    <n v="31.17"/>
    <n v="4"/>
    <n v="9.35"/>
    <x v="5"/>
    <x v="3"/>
  </r>
  <r>
    <n v="45458"/>
    <x v="93"/>
    <x v="15"/>
    <x v="1"/>
    <x v="13"/>
    <x v="593"/>
    <n v="120.96"/>
    <n v="2"/>
    <n v="-28.22"/>
    <x v="5"/>
    <x v="3"/>
  </r>
  <r>
    <n v="45458"/>
    <x v="93"/>
    <x v="15"/>
    <x v="2"/>
    <x v="6"/>
    <x v="1021"/>
    <n v="2239.94"/>
    <n v="8"/>
    <n v="223.99"/>
    <x v="5"/>
    <x v="3"/>
  </r>
  <r>
    <n v="45458"/>
    <x v="93"/>
    <x v="15"/>
    <x v="0"/>
    <x v="12"/>
    <x v="394"/>
    <n v="76.61"/>
    <n v="8"/>
    <n v="6.7"/>
    <x v="5"/>
    <x v="3"/>
  </r>
  <r>
    <n v="45458"/>
    <x v="93"/>
    <x v="15"/>
    <x v="0"/>
    <x v="2"/>
    <x v="168"/>
    <n v="142.78"/>
    <n v="1"/>
    <n v="17.850000000000001"/>
    <x v="5"/>
    <x v="3"/>
  </r>
  <r>
    <n v="45458"/>
    <x v="93"/>
    <x v="15"/>
    <x v="0"/>
    <x v="0"/>
    <x v="703"/>
    <n v="91.36"/>
    <n v="5"/>
    <n v="29.69"/>
    <x v="5"/>
    <x v="3"/>
  </r>
  <r>
    <n v="45458"/>
    <x v="364"/>
    <x v="25"/>
    <x v="1"/>
    <x v="5"/>
    <x v="1083"/>
    <n v="698.35"/>
    <n v="3"/>
    <n v="52.38"/>
    <x v="5"/>
    <x v="3"/>
  </r>
  <r>
    <n v="45458"/>
    <x v="364"/>
    <x v="25"/>
    <x v="1"/>
    <x v="11"/>
    <x v="683"/>
    <n v="77.73"/>
    <n v="2"/>
    <n v="-3.89"/>
    <x v="5"/>
    <x v="3"/>
  </r>
  <r>
    <n v="45459"/>
    <x v="595"/>
    <x v="25"/>
    <x v="0"/>
    <x v="4"/>
    <x v="1451"/>
    <n v="14.02"/>
    <n v="3"/>
    <n v="4.7300000000000004"/>
    <x v="5"/>
    <x v="3"/>
  </r>
  <r>
    <n v="45459"/>
    <x v="264"/>
    <x v="5"/>
    <x v="1"/>
    <x v="5"/>
    <x v="1022"/>
    <n v="301.95999999999998"/>
    <n v="2"/>
    <n v="90.59"/>
    <x v="5"/>
    <x v="3"/>
  </r>
  <r>
    <n v="45459"/>
    <x v="264"/>
    <x v="5"/>
    <x v="0"/>
    <x v="12"/>
    <x v="1820"/>
    <n v="180.66"/>
    <n v="3"/>
    <n v="50.58"/>
    <x v="5"/>
    <x v="3"/>
  </r>
  <r>
    <n v="45459"/>
    <x v="264"/>
    <x v="5"/>
    <x v="2"/>
    <x v="6"/>
    <x v="307"/>
    <n v="191.98"/>
    <n v="2"/>
    <n v="51.83"/>
    <x v="5"/>
    <x v="3"/>
  </r>
  <r>
    <n v="45459"/>
    <x v="264"/>
    <x v="5"/>
    <x v="2"/>
    <x v="6"/>
    <x v="1158"/>
    <n v="65.989999999999995"/>
    <n v="1"/>
    <n v="17.16"/>
    <x v="5"/>
    <x v="3"/>
  </r>
  <r>
    <n v="45459"/>
    <x v="350"/>
    <x v="3"/>
    <x v="1"/>
    <x v="5"/>
    <x v="395"/>
    <n v="1212.96"/>
    <n v="7"/>
    <n v="90.97"/>
    <x v="5"/>
    <x v="3"/>
  </r>
  <r>
    <n v="45459"/>
    <x v="350"/>
    <x v="3"/>
    <x v="0"/>
    <x v="0"/>
    <x v="1032"/>
    <n v="18.54"/>
    <n v="2"/>
    <n v="8.7100000000000009"/>
    <x v="5"/>
    <x v="3"/>
  </r>
  <r>
    <n v="45459"/>
    <x v="314"/>
    <x v="31"/>
    <x v="0"/>
    <x v="14"/>
    <x v="1268"/>
    <n v="16.68"/>
    <n v="2"/>
    <n v="4.34"/>
    <x v="5"/>
    <x v="3"/>
  </r>
  <r>
    <n v="45459"/>
    <x v="314"/>
    <x v="31"/>
    <x v="0"/>
    <x v="0"/>
    <x v="1783"/>
    <n v="19.440000000000001"/>
    <n v="3"/>
    <n v="9.33"/>
    <x v="5"/>
    <x v="3"/>
  </r>
  <r>
    <n v="45459"/>
    <x v="314"/>
    <x v="31"/>
    <x v="0"/>
    <x v="0"/>
    <x v="1086"/>
    <n v="192.16"/>
    <n v="4"/>
    <n v="92.24"/>
    <x v="5"/>
    <x v="3"/>
  </r>
  <r>
    <n v="45459"/>
    <x v="521"/>
    <x v="1"/>
    <x v="0"/>
    <x v="3"/>
    <x v="505"/>
    <n v="5.94"/>
    <n v="7"/>
    <n v="-8.9"/>
    <x v="5"/>
    <x v="3"/>
  </r>
  <r>
    <n v="45459"/>
    <x v="349"/>
    <x v="10"/>
    <x v="2"/>
    <x v="9"/>
    <x v="439"/>
    <n v="479.95"/>
    <n v="6"/>
    <n v="107.99"/>
    <x v="5"/>
    <x v="3"/>
  </r>
  <r>
    <n v="45459"/>
    <x v="349"/>
    <x v="10"/>
    <x v="0"/>
    <x v="4"/>
    <x v="143"/>
    <n v="23.92"/>
    <n v="5"/>
    <n v="1.79"/>
    <x v="5"/>
    <x v="3"/>
  </r>
  <r>
    <n v="45460"/>
    <x v="375"/>
    <x v="3"/>
    <x v="0"/>
    <x v="3"/>
    <x v="830"/>
    <n v="51.31"/>
    <n v="3"/>
    <n v="17.96"/>
    <x v="5"/>
    <x v="3"/>
  </r>
  <r>
    <n v="45460"/>
    <x v="413"/>
    <x v="22"/>
    <x v="1"/>
    <x v="8"/>
    <x v="1412"/>
    <n v="155.25"/>
    <n v="3"/>
    <n v="46.58"/>
    <x v="5"/>
    <x v="3"/>
  </r>
  <r>
    <n v="45460"/>
    <x v="413"/>
    <x v="22"/>
    <x v="0"/>
    <x v="2"/>
    <x v="845"/>
    <n v="14.03"/>
    <n v="1"/>
    <n v="4.07"/>
    <x v="5"/>
    <x v="3"/>
  </r>
  <r>
    <n v="45460"/>
    <x v="465"/>
    <x v="1"/>
    <x v="0"/>
    <x v="0"/>
    <x v="1636"/>
    <n v="12.22"/>
    <n v="2"/>
    <n v="4.43"/>
    <x v="5"/>
    <x v="3"/>
  </r>
  <r>
    <n v="45460"/>
    <x v="465"/>
    <x v="1"/>
    <x v="0"/>
    <x v="3"/>
    <x v="549"/>
    <n v="2.2999999999999998"/>
    <n v="4"/>
    <n v="-3.57"/>
    <x v="5"/>
    <x v="3"/>
  </r>
  <r>
    <n v="45460"/>
    <x v="465"/>
    <x v="1"/>
    <x v="0"/>
    <x v="3"/>
    <x v="363"/>
    <n v="9.36"/>
    <n v="4"/>
    <n v="-16.38"/>
    <x v="5"/>
    <x v="3"/>
  </r>
  <r>
    <n v="45460"/>
    <x v="371"/>
    <x v="26"/>
    <x v="0"/>
    <x v="2"/>
    <x v="1554"/>
    <n v="146.35"/>
    <n v="3"/>
    <n v="-32.93"/>
    <x v="5"/>
    <x v="3"/>
  </r>
  <r>
    <n v="45460"/>
    <x v="50"/>
    <x v="20"/>
    <x v="2"/>
    <x v="15"/>
    <x v="1821"/>
    <n v="3404.5"/>
    <n v="5"/>
    <n v="1668.21"/>
    <x v="5"/>
    <x v="3"/>
  </r>
  <r>
    <n v="45460"/>
    <x v="50"/>
    <x v="20"/>
    <x v="2"/>
    <x v="9"/>
    <x v="1822"/>
    <n v="101.34"/>
    <n v="3"/>
    <n v="8.11"/>
    <x v="5"/>
    <x v="3"/>
  </r>
  <r>
    <n v="45461"/>
    <x v="583"/>
    <x v="3"/>
    <x v="1"/>
    <x v="11"/>
    <x v="1049"/>
    <n v="917.92"/>
    <n v="9"/>
    <n v="75.59"/>
    <x v="5"/>
    <x v="3"/>
  </r>
  <r>
    <n v="45461"/>
    <x v="583"/>
    <x v="3"/>
    <x v="0"/>
    <x v="0"/>
    <x v="1595"/>
    <n v="38.880000000000003"/>
    <n v="6"/>
    <n v="19.05"/>
    <x v="5"/>
    <x v="3"/>
  </r>
  <r>
    <n v="45461"/>
    <x v="646"/>
    <x v="0"/>
    <x v="0"/>
    <x v="0"/>
    <x v="705"/>
    <n v="74.349999999999994"/>
    <n v="3"/>
    <n v="23.24"/>
    <x v="5"/>
    <x v="3"/>
  </r>
  <r>
    <n v="45462"/>
    <x v="444"/>
    <x v="20"/>
    <x v="0"/>
    <x v="0"/>
    <x v="1566"/>
    <n v="97.82"/>
    <n v="2"/>
    <n v="45.98"/>
    <x v="5"/>
    <x v="3"/>
  </r>
  <r>
    <n v="45462"/>
    <x v="444"/>
    <x v="20"/>
    <x v="2"/>
    <x v="9"/>
    <x v="932"/>
    <n v="103.12"/>
    <n v="8"/>
    <n v="10.31"/>
    <x v="5"/>
    <x v="3"/>
  </r>
  <r>
    <n v="45462"/>
    <x v="251"/>
    <x v="0"/>
    <x v="0"/>
    <x v="14"/>
    <x v="1360"/>
    <n v="11.18"/>
    <n v="1"/>
    <n v="0.84"/>
    <x v="5"/>
    <x v="3"/>
  </r>
  <r>
    <n v="45462"/>
    <x v="251"/>
    <x v="0"/>
    <x v="0"/>
    <x v="2"/>
    <x v="1054"/>
    <n v="153.58000000000001"/>
    <n v="2"/>
    <n v="-32.64"/>
    <x v="5"/>
    <x v="3"/>
  </r>
  <r>
    <n v="45462"/>
    <x v="456"/>
    <x v="0"/>
    <x v="0"/>
    <x v="12"/>
    <x v="1574"/>
    <n v="2.2599999999999998"/>
    <n v="1"/>
    <n v="-5.21"/>
    <x v="5"/>
    <x v="3"/>
  </r>
  <r>
    <n v="45462"/>
    <x v="456"/>
    <x v="0"/>
    <x v="0"/>
    <x v="12"/>
    <x v="1246"/>
    <n v="0.44"/>
    <n v="1"/>
    <n v="-1.1100000000000001"/>
    <x v="5"/>
    <x v="3"/>
  </r>
  <r>
    <n v="45462"/>
    <x v="456"/>
    <x v="0"/>
    <x v="0"/>
    <x v="0"/>
    <x v="1765"/>
    <n v="146.18"/>
    <n v="8"/>
    <n v="47.51"/>
    <x v="5"/>
    <x v="3"/>
  </r>
  <r>
    <n v="45462"/>
    <x v="121"/>
    <x v="10"/>
    <x v="1"/>
    <x v="5"/>
    <x v="1434"/>
    <n v="760.12"/>
    <n v="6"/>
    <n v="-43.44"/>
    <x v="5"/>
    <x v="3"/>
  </r>
  <r>
    <n v="45462"/>
    <x v="121"/>
    <x v="10"/>
    <x v="1"/>
    <x v="8"/>
    <x v="1527"/>
    <n v="38.78"/>
    <n v="3"/>
    <n v="7.27"/>
    <x v="5"/>
    <x v="3"/>
  </r>
  <r>
    <n v="45462"/>
    <x v="121"/>
    <x v="10"/>
    <x v="2"/>
    <x v="9"/>
    <x v="963"/>
    <n v="122.33"/>
    <n v="9"/>
    <n v="1.53"/>
    <x v="5"/>
    <x v="3"/>
  </r>
  <r>
    <n v="45462"/>
    <x v="35"/>
    <x v="0"/>
    <x v="0"/>
    <x v="3"/>
    <x v="1467"/>
    <n v="6.89"/>
    <n v="3"/>
    <n v="-11.02"/>
    <x v="5"/>
    <x v="3"/>
  </r>
  <r>
    <n v="45462"/>
    <x v="35"/>
    <x v="0"/>
    <x v="1"/>
    <x v="13"/>
    <x v="280"/>
    <n v="457.49"/>
    <n v="3"/>
    <n v="-84.96"/>
    <x v="5"/>
    <x v="3"/>
  </r>
  <r>
    <n v="45462"/>
    <x v="763"/>
    <x v="20"/>
    <x v="0"/>
    <x v="2"/>
    <x v="242"/>
    <n v="129.30000000000001"/>
    <n v="2"/>
    <n v="6.47"/>
    <x v="5"/>
    <x v="3"/>
  </r>
  <r>
    <n v="45462"/>
    <x v="763"/>
    <x v="20"/>
    <x v="0"/>
    <x v="3"/>
    <x v="96"/>
    <n v="11.57"/>
    <n v="3"/>
    <n v="3.76"/>
    <x v="5"/>
    <x v="3"/>
  </r>
  <r>
    <n v="45462"/>
    <x v="208"/>
    <x v="3"/>
    <x v="1"/>
    <x v="8"/>
    <x v="109"/>
    <n v="50.32"/>
    <n v="4"/>
    <n v="21.13"/>
    <x v="5"/>
    <x v="3"/>
  </r>
  <r>
    <n v="45462"/>
    <x v="208"/>
    <x v="3"/>
    <x v="0"/>
    <x v="0"/>
    <x v="1788"/>
    <n v="24.56"/>
    <n v="2"/>
    <n v="11.54"/>
    <x v="5"/>
    <x v="3"/>
  </r>
  <r>
    <n v="45463"/>
    <x v="546"/>
    <x v="23"/>
    <x v="2"/>
    <x v="9"/>
    <x v="1300"/>
    <n v="239.97"/>
    <n v="3"/>
    <n v="71.989999999999995"/>
    <x v="5"/>
    <x v="3"/>
  </r>
  <r>
    <n v="45463"/>
    <x v="546"/>
    <x v="23"/>
    <x v="0"/>
    <x v="1"/>
    <x v="1"/>
    <n v="9.82"/>
    <n v="2"/>
    <n v="4.8099999999999996"/>
    <x v="5"/>
    <x v="3"/>
  </r>
  <r>
    <n v="45463"/>
    <x v="617"/>
    <x v="20"/>
    <x v="2"/>
    <x v="9"/>
    <x v="1241"/>
    <n v="149.94999999999999"/>
    <n v="5"/>
    <n v="15"/>
    <x v="5"/>
    <x v="3"/>
  </r>
  <r>
    <n v="45463"/>
    <x v="617"/>
    <x v="20"/>
    <x v="0"/>
    <x v="3"/>
    <x v="583"/>
    <n v="51.31"/>
    <n v="3"/>
    <n v="18.600000000000001"/>
    <x v="5"/>
    <x v="3"/>
  </r>
  <r>
    <n v="45463"/>
    <x v="43"/>
    <x v="10"/>
    <x v="0"/>
    <x v="0"/>
    <x v="708"/>
    <n v="31.1"/>
    <n v="6"/>
    <n v="10.89"/>
    <x v="5"/>
    <x v="3"/>
  </r>
  <r>
    <n v="45463"/>
    <x v="43"/>
    <x v="10"/>
    <x v="0"/>
    <x v="4"/>
    <x v="175"/>
    <n v="5.25"/>
    <n v="2"/>
    <n v="0.59"/>
    <x v="5"/>
    <x v="3"/>
  </r>
  <r>
    <n v="45463"/>
    <x v="137"/>
    <x v="16"/>
    <x v="0"/>
    <x v="2"/>
    <x v="1811"/>
    <n v="4.46"/>
    <n v="1"/>
    <n v="0.33"/>
    <x v="5"/>
    <x v="3"/>
  </r>
  <r>
    <n v="45463"/>
    <x v="194"/>
    <x v="6"/>
    <x v="0"/>
    <x v="0"/>
    <x v="1703"/>
    <n v="32.4"/>
    <n v="5"/>
    <n v="15.55"/>
    <x v="5"/>
    <x v="3"/>
  </r>
  <r>
    <n v="45463"/>
    <x v="194"/>
    <x v="6"/>
    <x v="2"/>
    <x v="6"/>
    <x v="696"/>
    <n v="503.96"/>
    <n v="4"/>
    <n v="125.99"/>
    <x v="5"/>
    <x v="3"/>
  </r>
  <r>
    <n v="45464"/>
    <x v="83"/>
    <x v="10"/>
    <x v="1"/>
    <x v="8"/>
    <x v="289"/>
    <n v="17.920000000000002"/>
    <n v="5"/>
    <n v="2.46"/>
    <x v="5"/>
    <x v="3"/>
  </r>
  <r>
    <n v="45464"/>
    <x v="83"/>
    <x v="10"/>
    <x v="0"/>
    <x v="3"/>
    <x v="1461"/>
    <n v="41.26"/>
    <n v="6"/>
    <n v="-34.380000000000003"/>
    <x v="5"/>
    <x v="3"/>
  </r>
  <r>
    <n v="45464"/>
    <x v="469"/>
    <x v="48"/>
    <x v="0"/>
    <x v="3"/>
    <x v="275"/>
    <n v="82.4"/>
    <n v="5"/>
    <n v="40.380000000000003"/>
    <x v="5"/>
    <x v="3"/>
  </r>
  <r>
    <n v="45464"/>
    <x v="469"/>
    <x v="48"/>
    <x v="0"/>
    <x v="3"/>
    <x v="253"/>
    <n v="6.24"/>
    <n v="2"/>
    <n v="3.06"/>
    <x v="5"/>
    <x v="3"/>
  </r>
  <r>
    <n v="45464"/>
    <x v="469"/>
    <x v="48"/>
    <x v="0"/>
    <x v="0"/>
    <x v="1463"/>
    <n v="447.84"/>
    <n v="8"/>
    <n v="219.44"/>
    <x v="5"/>
    <x v="3"/>
  </r>
  <r>
    <n v="45465"/>
    <x v="284"/>
    <x v="16"/>
    <x v="0"/>
    <x v="10"/>
    <x v="858"/>
    <n v="37.61"/>
    <n v="3"/>
    <n v="12.69"/>
    <x v="5"/>
    <x v="3"/>
  </r>
  <r>
    <n v="45465"/>
    <x v="485"/>
    <x v="2"/>
    <x v="0"/>
    <x v="3"/>
    <x v="1467"/>
    <n v="10.33"/>
    <n v="3"/>
    <n v="-7.58"/>
    <x v="5"/>
    <x v="3"/>
  </r>
  <r>
    <n v="45465"/>
    <x v="485"/>
    <x v="2"/>
    <x v="0"/>
    <x v="3"/>
    <x v="471"/>
    <n v="31.16"/>
    <n v="5"/>
    <n v="-23.89"/>
    <x v="5"/>
    <x v="3"/>
  </r>
  <r>
    <n v="45465"/>
    <x v="485"/>
    <x v="2"/>
    <x v="0"/>
    <x v="2"/>
    <x v="1811"/>
    <n v="8.93"/>
    <n v="2"/>
    <n v="0.67"/>
    <x v="5"/>
    <x v="3"/>
  </r>
  <r>
    <n v="45465"/>
    <x v="519"/>
    <x v="1"/>
    <x v="0"/>
    <x v="3"/>
    <x v="753"/>
    <n v="3.04"/>
    <n v="3"/>
    <n v="-5.01"/>
    <x v="5"/>
    <x v="3"/>
  </r>
  <r>
    <n v="45465"/>
    <x v="81"/>
    <x v="14"/>
    <x v="1"/>
    <x v="5"/>
    <x v="528"/>
    <n v="487.96"/>
    <n v="2"/>
    <n v="146.38999999999999"/>
    <x v="5"/>
    <x v="3"/>
  </r>
  <r>
    <n v="45467"/>
    <x v="337"/>
    <x v="10"/>
    <x v="0"/>
    <x v="0"/>
    <x v="1674"/>
    <n v="21.74"/>
    <n v="3"/>
    <n v="6.8"/>
    <x v="5"/>
    <x v="3"/>
  </r>
  <r>
    <n v="45467"/>
    <x v="740"/>
    <x v="3"/>
    <x v="0"/>
    <x v="4"/>
    <x v="698"/>
    <n v="95.92"/>
    <n v="8"/>
    <n v="25.9"/>
    <x v="5"/>
    <x v="3"/>
  </r>
  <r>
    <n v="45467"/>
    <x v="62"/>
    <x v="3"/>
    <x v="0"/>
    <x v="4"/>
    <x v="456"/>
    <n v="385.6"/>
    <n v="8"/>
    <n v="111.82"/>
    <x v="5"/>
    <x v="3"/>
  </r>
  <r>
    <n v="45467"/>
    <x v="62"/>
    <x v="3"/>
    <x v="0"/>
    <x v="4"/>
    <x v="29"/>
    <n v="35.82"/>
    <n v="9"/>
    <n v="11.82"/>
    <x v="5"/>
    <x v="3"/>
  </r>
  <r>
    <n v="45467"/>
    <x v="208"/>
    <x v="20"/>
    <x v="1"/>
    <x v="8"/>
    <x v="1630"/>
    <n v="276.69"/>
    <n v="3"/>
    <n v="49.8"/>
    <x v="5"/>
    <x v="3"/>
  </r>
  <r>
    <n v="45467"/>
    <x v="208"/>
    <x v="20"/>
    <x v="1"/>
    <x v="5"/>
    <x v="1182"/>
    <n v="172.76"/>
    <n v="2"/>
    <n v="32.630000000000003"/>
    <x v="5"/>
    <x v="3"/>
  </r>
  <r>
    <n v="45467"/>
    <x v="543"/>
    <x v="1"/>
    <x v="0"/>
    <x v="3"/>
    <x v="8"/>
    <n v="182.99"/>
    <n v="3"/>
    <n v="-320.24"/>
    <x v="5"/>
    <x v="3"/>
  </r>
  <r>
    <n v="45467"/>
    <x v="543"/>
    <x v="1"/>
    <x v="0"/>
    <x v="0"/>
    <x v="127"/>
    <n v="10.27"/>
    <n v="3"/>
    <n v="3.21"/>
    <x v="5"/>
    <x v="3"/>
  </r>
  <r>
    <n v="45467"/>
    <x v="73"/>
    <x v="3"/>
    <x v="0"/>
    <x v="7"/>
    <x v="299"/>
    <n v="2.88"/>
    <n v="1"/>
    <n v="1.35"/>
    <x v="5"/>
    <x v="3"/>
  </r>
  <r>
    <n v="45467"/>
    <x v="256"/>
    <x v="43"/>
    <x v="0"/>
    <x v="3"/>
    <x v="213"/>
    <n v="102.93"/>
    <n v="3"/>
    <n v="48.38"/>
    <x v="5"/>
    <x v="3"/>
  </r>
  <r>
    <n v="45468"/>
    <x v="770"/>
    <x v="11"/>
    <x v="0"/>
    <x v="1"/>
    <x v="798"/>
    <n v="71.040000000000006"/>
    <n v="6"/>
    <n v="26.64"/>
    <x v="5"/>
    <x v="3"/>
  </r>
  <r>
    <n v="45468"/>
    <x v="770"/>
    <x v="11"/>
    <x v="0"/>
    <x v="4"/>
    <x v="1185"/>
    <n v="5.34"/>
    <n v="2"/>
    <n v="0.73"/>
    <x v="5"/>
    <x v="3"/>
  </r>
  <r>
    <n v="45468"/>
    <x v="770"/>
    <x v="11"/>
    <x v="0"/>
    <x v="7"/>
    <x v="122"/>
    <n v="11.3"/>
    <n v="3"/>
    <n v="-2.12"/>
    <x v="5"/>
    <x v="3"/>
  </r>
  <r>
    <n v="45468"/>
    <x v="481"/>
    <x v="22"/>
    <x v="1"/>
    <x v="13"/>
    <x v="280"/>
    <n v="871.4"/>
    <n v="4"/>
    <n v="148.13999999999999"/>
    <x v="5"/>
    <x v="3"/>
  </r>
  <r>
    <n v="45468"/>
    <x v="667"/>
    <x v="1"/>
    <x v="2"/>
    <x v="6"/>
    <x v="446"/>
    <n v="148.47999999999999"/>
    <n v="2"/>
    <n v="16.7"/>
    <x v="5"/>
    <x v="3"/>
  </r>
  <r>
    <n v="45468"/>
    <x v="417"/>
    <x v="20"/>
    <x v="1"/>
    <x v="11"/>
    <x v="853"/>
    <n v="400.78"/>
    <n v="1"/>
    <n v="-5.01"/>
    <x v="5"/>
    <x v="3"/>
  </r>
  <r>
    <n v="45469"/>
    <x v="635"/>
    <x v="3"/>
    <x v="0"/>
    <x v="2"/>
    <x v="132"/>
    <n v="83.76"/>
    <n v="12"/>
    <n v="1.68"/>
    <x v="5"/>
    <x v="3"/>
  </r>
  <r>
    <n v="45469"/>
    <x v="128"/>
    <x v="14"/>
    <x v="0"/>
    <x v="0"/>
    <x v="443"/>
    <n v="4.54"/>
    <n v="1"/>
    <n v="2.04"/>
    <x v="5"/>
    <x v="3"/>
  </r>
  <r>
    <n v="45469"/>
    <x v="128"/>
    <x v="14"/>
    <x v="0"/>
    <x v="4"/>
    <x v="581"/>
    <n v="15.92"/>
    <n v="4"/>
    <n v="5.41"/>
    <x v="5"/>
    <x v="3"/>
  </r>
  <r>
    <n v="45469"/>
    <x v="128"/>
    <x v="14"/>
    <x v="2"/>
    <x v="6"/>
    <x v="418"/>
    <n v="543.91999999999996"/>
    <n v="8"/>
    <n v="135.97999999999999"/>
    <x v="5"/>
    <x v="3"/>
  </r>
  <r>
    <n v="45469"/>
    <x v="674"/>
    <x v="18"/>
    <x v="1"/>
    <x v="8"/>
    <x v="1401"/>
    <n v="526.45000000000005"/>
    <n v="5"/>
    <n v="31.59"/>
    <x v="5"/>
    <x v="3"/>
  </r>
  <r>
    <n v="45469"/>
    <x v="377"/>
    <x v="26"/>
    <x v="2"/>
    <x v="9"/>
    <x v="1416"/>
    <n v="431.93"/>
    <n v="9"/>
    <n v="64.790000000000006"/>
    <x v="5"/>
    <x v="3"/>
  </r>
  <r>
    <n v="45469"/>
    <x v="236"/>
    <x v="20"/>
    <x v="2"/>
    <x v="6"/>
    <x v="463"/>
    <n v="239.97"/>
    <n v="3"/>
    <n v="67.19"/>
    <x v="5"/>
    <x v="3"/>
  </r>
  <r>
    <n v="45469"/>
    <x v="393"/>
    <x v="2"/>
    <x v="2"/>
    <x v="6"/>
    <x v="904"/>
    <n v="358.2"/>
    <n v="3"/>
    <n v="41.79"/>
    <x v="5"/>
    <x v="3"/>
  </r>
  <r>
    <n v="45469"/>
    <x v="393"/>
    <x v="2"/>
    <x v="2"/>
    <x v="6"/>
    <x v="980"/>
    <n v="545.91999999999996"/>
    <n v="14"/>
    <n v="72.790000000000006"/>
    <x v="5"/>
    <x v="3"/>
  </r>
  <r>
    <n v="45469"/>
    <x v="696"/>
    <x v="16"/>
    <x v="0"/>
    <x v="1"/>
    <x v="912"/>
    <n v="13.87"/>
    <n v="6"/>
    <n v="4.68"/>
    <x v="5"/>
    <x v="3"/>
  </r>
  <r>
    <n v="45469"/>
    <x v="696"/>
    <x v="16"/>
    <x v="1"/>
    <x v="5"/>
    <x v="1495"/>
    <n v="273.55"/>
    <n v="3"/>
    <n v="-13.68"/>
    <x v="5"/>
    <x v="3"/>
  </r>
  <r>
    <n v="45469"/>
    <x v="445"/>
    <x v="20"/>
    <x v="0"/>
    <x v="2"/>
    <x v="509"/>
    <n v="272.94"/>
    <n v="3"/>
    <n v="0"/>
    <x v="5"/>
    <x v="3"/>
  </r>
  <r>
    <n v="45469"/>
    <x v="134"/>
    <x v="20"/>
    <x v="0"/>
    <x v="3"/>
    <x v="413"/>
    <n v="102.37"/>
    <n v="2"/>
    <n v="37.11"/>
    <x v="5"/>
    <x v="3"/>
  </r>
  <r>
    <n v="45469"/>
    <x v="134"/>
    <x v="20"/>
    <x v="0"/>
    <x v="14"/>
    <x v="1745"/>
    <n v="28.4"/>
    <n v="5"/>
    <n v="8.24"/>
    <x v="5"/>
    <x v="3"/>
  </r>
  <r>
    <n v="45469"/>
    <x v="134"/>
    <x v="20"/>
    <x v="0"/>
    <x v="2"/>
    <x v="168"/>
    <n v="713.88"/>
    <n v="4"/>
    <n v="214.16"/>
    <x v="5"/>
    <x v="3"/>
  </r>
  <r>
    <n v="45469"/>
    <x v="134"/>
    <x v="20"/>
    <x v="0"/>
    <x v="0"/>
    <x v="1226"/>
    <n v="68.52"/>
    <n v="3"/>
    <n v="31.52"/>
    <x v="5"/>
    <x v="3"/>
  </r>
  <r>
    <n v="45470"/>
    <x v="415"/>
    <x v="20"/>
    <x v="1"/>
    <x v="5"/>
    <x v="478"/>
    <n v="191.65"/>
    <n v="3"/>
    <n v="31.94"/>
    <x v="5"/>
    <x v="3"/>
  </r>
  <r>
    <n v="45470"/>
    <x v="217"/>
    <x v="40"/>
    <x v="0"/>
    <x v="0"/>
    <x v="1089"/>
    <n v="20.07"/>
    <n v="3"/>
    <n v="9.23"/>
    <x v="5"/>
    <x v="3"/>
  </r>
  <r>
    <n v="45470"/>
    <x v="203"/>
    <x v="22"/>
    <x v="0"/>
    <x v="0"/>
    <x v="1257"/>
    <n v="19.440000000000001"/>
    <n v="3"/>
    <n v="9.33"/>
    <x v="5"/>
    <x v="3"/>
  </r>
  <r>
    <n v="45470"/>
    <x v="203"/>
    <x v="22"/>
    <x v="1"/>
    <x v="8"/>
    <x v="1306"/>
    <n v="126.3"/>
    <n v="3"/>
    <n v="40.42"/>
    <x v="5"/>
    <x v="3"/>
  </r>
  <r>
    <n v="45470"/>
    <x v="203"/>
    <x v="22"/>
    <x v="2"/>
    <x v="9"/>
    <x v="1044"/>
    <n v="1287.45"/>
    <n v="5"/>
    <n v="244.62"/>
    <x v="5"/>
    <x v="3"/>
  </r>
  <r>
    <n v="45472"/>
    <x v="78"/>
    <x v="3"/>
    <x v="0"/>
    <x v="2"/>
    <x v="1380"/>
    <n v="1295.78"/>
    <n v="2"/>
    <n v="310.99"/>
    <x v="5"/>
    <x v="3"/>
  </r>
  <r>
    <n v="45472"/>
    <x v="116"/>
    <x v="28"/>
    <x v="0"/>
    <x v="12"/>
    <x v="1532"/>
    <n v="362.94"/>
    <n v="3"/>
    <n v="90.74"/>
    <x v="5"/>
    <x v="3"/>
  </r>
  <r>
    <n v="45472"/>
    <x v="116"/>
    <x v="28"/>
    <x v="0"/>
    <x v="3"/>
    <x v="872"/>
    <n v="11.54"/>
    <n v="2"/>
    <n v="5.77"/>
    <x v="5"/>
    <x v="3"/>
  </r>
  <r>
    <n v="45472"/>
    <x v="189"/>
    <x v="3"/>
    <x v="0"/>
    <x v="3"/>
    <x v="715"/>
    <n v="312.55"/>
    <n v="9"/>
    <n v="101.58"/>
    <x v="5"/>
    <x v="3"/>
  </r>
  <r>
    <n v="45472"/>
    <x v="452"/>
    <x v="0"/>
    <x v="0"/>
    <x v="0"/>
    <x v="1587"/>
    <n v="5.18"/>
    <n v="1"/>
    <n v="1.81"/>
    <x v="5"/>
    <x v="3"/>
  </r>
  <r>
    <n v="45472"/>
    <x v="494"/>
    <x v="3"/>
    <x v="0"/>
    <x v="3"/>
    <x v="57"/>
    <n v="895.92"/>
    <n v="5"/>
    <n v="302.37"/>
    <x v="5"/>
    <x v="3"/>
  </r>
  <r>
    <n v="45472"/>
    <x v="494"/>
    <x v="3"/>
    <x v="0"/>
    <x v="2"/>
    <x v="994"/>
    <n v="130.71"/>
    <n v="3"/>
    <n v="39.21"/>
    <x v="5"/>
    <x v="3"/>
  </r>
  <r>
    <n v="45472"/>
    <x v="494"/>
    <x v="3"/>
    <x v="0"/>
    <x v="4"/>
    <x v="1759"/>
    <n v="11.68"/>
    <n v="2"/>
    <n v="3.04"/>
    <x v="5"/>
    <x v="3"/>
  </r>
  <r>
    <n v="45472"/>
    <x v="494"/>
    <x v="3"/>
    <x v="2"/>
    <x v="9"/>
    <x v="111"/>
    <n v="62.31"/>
    <n v="3"/>
    <n v="22.43"/>
    <x v="5"/>
    <x v="3"/>
  </r>
  <r>
    <n v="45472"/>
    <x v="696"/>
    <x v="37"/>
    <x v="1"/>
    <x v="11"/>
    <x v="1233"/>
    <n v="638.82000000000005"/>
    <n v="9"/>
    <n v="185.26"/>
    <x v="5"/>
    <x v="3"/>
  </r>
  <r>
    <n v="45472"/>
    <x v="696"/>
    <x v="37"/>
    <x v="0"/>
    <x v="14"/>
    <x v="654"/>
    <n v="30.69"/>
    <n v="3"/>
    <n v="7.98"/>
    <x v="5"/>
    <x v="3"/>
  </r>
  <r>
    <n v="45472"/>
    <x v="696"/>
    <x v="37"/>
    <x v="1"/>
    <x v="8"/>
    <x v="1716"/>
    <n v="25.16"/>
    <n v="2"/>
    <n v="8.5500000000000007"/>
    <x v="5"/>
    <x v="3"/>
  </r>
  <r>
    <n v="45472"/>
    <x v="297"/>
    <x v="0"/>
    <x v="0"/>
    <x v="12"/>
    <x v="316"/>
    <n v="21.39"/>
    <n v="2"/>
    <n v="-54.55"/>
    <x v="5"/>
    <x v="3"/>
  </r>
  <r>
    <n v="45472"/>
    <x v="297"/>
    <x v="0"/>
    <x v="1"/>
    <x v="13"/>
    <x v="582"/>
    <n v="307.31"/>
    <n v="3"/>
    <n v="-39.51"/>
    <x v="5"/>
    <x v="3"/>
  </r>
  <r>
    <n v="45472"/>
    <x v="297"/>
    <x v="0"/>
    <x v="1"/>
    <x v="11"/>
    <x v="1446"/>
    <n v="410"/>
    <n v="3"/>
    <n v="-96.47"/>
    <x v="5"/>
    <x v="3"/>
  </r>
  <r>
    <n v="45473"/>
    <x v="665"/>
    <x v="17"/>
    <x v="0"/>
    <x v="3"/>
    <x v="1414"/>
    <n v="75.790000000000006"/>
    <n v="3"/>
    <n v="25.58"/>
    <x v="5"/>
    <x v="3"/>
  </r>
  <r>
    <n v="45473"/>
    <x v="320"/>
    <x v="20"/>
    <x v="1"/>
    <x v="13"/>
    <x v="1091"/>
    <n v="1044.6300000000001"/>
    <n v="5"/>
    <n v="-295.98"/>
    <x v="5"/>
    <x v="3"/>
  </r>
  <r>
    <n v="45473"/>
    <x v="565"/>
    <x v="20"/>
    <x v="0"/>
    <x v="2"/>
    <x v="1303"/>
    <n v="248.57"/>
    <n v="7"/>
    <n v="67.11"/>
    <x v="5"/>
    <x v="3"/>
  </r>
  <r>
    <n v="45473"/>
    <x v="565"/>
    <x v="20"/>
    <x v="1"/>
    <x v="8"/>
    <x v="1087"/>
    <n v="22.23"/>
    <n v="1"/>
    <n v="9.7799999999999994"/>
    <x v="5"/>
    <x v="3"/>
  </r>
  <r>
    <n v="45473"/>
    <x v="292"/>
    <x v="1"/>
    <x v="2"/>
    <x v="6"/>
    <x v="1085"/>
    <n v="1001.58"/>
    <n v="2"/>
    <n v="125.2"/>
    <x v="5"/>
    <x v="3"/>
  </r>
  <r>
    <n v="45473"/>
    <x v="292"/>
    <x v="1"/>
    <x v="1"/>
    <x v="5"/>
    <x v="927"/>
    <n v="569.05999999999995"/>
    <n v="3"/>
    <n v="-178.85"/>
    <x v="5"/>
    <x v="3"/>
  </r>
  <r>
    <n v="45473"/>
    <x v="292"/>
    <x v="1"/>
    <x v="1"/>
    <x v="8"/>
    <x v="1230"/>
    <n v="14.22"/>
    <n v="2"/>
    <n v="-10.31"/>
    <x v="5"/>
    <x v="3"/>
  </r>
  <r>
    <n v="45473"/>
    <x v="762"/>
    <x v="15"/>
    <x v="1"/>
    <x v="8"/>
    <x v="557"/>
    <n v="19.52"/>
    <n v="2"/>
    <n v="5.37"/>
    <x v="5"/>
    <x v="3"/>
  </r>
  <r>
    <n v="45473"/>
    <x v="405"/>
    <x v="3"/>
    <x v="1"/>
    <x v="11"/>
    <x v="76"/>
    <n v="436"/>
    <n v="3"/>
    <n v="5.13"/>
    <x v="5"/>
    <x v="3"/>
  </r>
  <r>
    <n v="45473"/>
    <x v="426"/>
    <x v="3"/>
    <x v="0"/>
    <x v="0"/>
    <x v="207"/>
    <n v="204.95"/>
    <n v="5"/>
    <n v="100.43"/>
    <x v="5"/>
    <x v="3"/>
  </r>
  <r>
    <n v="45473"/>
    <x v="37"/>
    <x v="20"/>
    <x v="0"/>
    <x v="2"/>
    <x v="880"/>
    <n v="1085.42"/>
    <n v="7"/>
    <n v="282.20999999999998"/>
    <x v="5"/>
    <x v="3"/>
  </r>
  <r>
    <n v="45474"/>
    <x v="432"/>
    <x v="18"/>
    <x v="0"/>
    <x v="2"/>
    <x v="351"/>
    <n v="443.92"/>
    <n v="4"/>
    <n v="13.32"/>
    <x v="6"/>
    <x v="3"/>
  </r>
  <r>
    <n v="45474"/>
    <x v="432"/>
    <x v="18"/>
    <x v="0"/>
    <x v="3"/>
    <x v="313"/>
    <n v="169.99"/>
    <n v="1"/>
    <n v="78.2"/>
    <x v="6"/>
    <x v="3"/>
  </r>
  <r>
    <n v="45474"/>
    <x v="432"/>
    <x v="18"/>
    <x v="0"/>
    <x v="0"/>
    <x v="291"/>
    <n v="25.92"/>
    <n v="4"/>
    <n v="12.44"/>
    <x v="6"/>
    <x v="3"/>
  </r>
  <r>
    <n v="45475"/>
    <x v="303"/>
    <x v="0"/>
    <x v="0"/>
    <x v="0"/>
    <x v="1289"/>
    <n v="163.96"/>
    <n v="5"/>
    <n v="59.44"/>
    <x v="6"/>
    <x v="3"/>
  </r>
  <r>
    <n v="45475"/>
    <x v="303"/>
    <x v="0"/>
    <x v="0"/>
    <x v="3"/>
    <x v="558"/>
    <n v="5.23"/>
    <n v="4"/>
    <n v="-8.11"/>
    <x v="6"/>
    <x v="3"/>
  </r>
  <r>
    <n v="45476"/>
    <x v="787"/>
    <x v="4"/>
    <x v="1"/>
    <x v="8"/>
    <x v="1180"/>
    <n v="23.99"/>
    <n v="1"/>
    <n v="5.52"/>
    <x v="6"/>
    <x v="3"/>
  </r>
  <r>
    <n v="45476"/>
    <x v="787"/>
    <x v="4"/>
    <x v="2"/>
    <x v="6"/>
    <x v="307"/>
    <n v="287.97000000000003"/>
    <n v="3"/>
    <n v="77.75"/>
    <x v="6"/>
    <x v="3"/>
  </r>
  <r>
    <n v="45476"/>
    <x v="598"/>
    <x v="25"/>
    <x v="0"/>
    <x v="4"/>
    <x v="29"/>
    <n v="9.5500000000000007"/>
    <n v="3"/>
    <n v="1.55"/>
    <x v="6"/>
    <x v="3"/>
  </r>
  <r>
    <n v="45476"/>
    <x v="122"/>
    <x v="0"/>
    <x v="2"/>
    <x v="6"/>
    <x v="432"/>
    <n v="167.97"/>
    <n v="4"/>
    <n v="62.99"/>
    <x v="6"/>
    <x v="3"/>
  </r>
  <r>
    <n v="45476"/>
    <x v="136"/>
    <x v="0"/>
    <x v="0"/>
    <x v="0"/>
    <x v="141"/>
    <n v="273.89999999999998"/>
    <n v="7"/>
    <n v="92.44"/>
    <x v="6"/>
    <x v="3"/>
  </r>
  <r>
    <n v="45476"/>
    <x v="136"/>
    <x v="0"/>
    <x v="2"/>
    <x v="15"/>
    <x v="1823"/>
    <n v="597.13"/>
    <n v="3"/>
    <n v="49.76"/>
    <x v="6"/>
    <x v="3"/>
  </r>
  <r>
    <n v="45476"/>
    <x v="103"/>
    <x v="31"/>
    <x v="1"/>
    <x v="8"/>
    <x v="339"/>
    <n v="545.85"/>
    <n v="9"/>
    <n v="114.63"/>
    <x v="6"/>
    <x v="3"/>
  </r>
  <r>
    <n v="45476"/>
    <x v="381"/>
    <x v="10"/>
    <x v="0"/>
    <x v="0"/>
    <x v="0"/>
    <n v="32.9"/>
    <n v="4"/>
    <n v="11.1"/>
    <x v="6"/>
    <x v="3"/>
  </r>
  <r>
    <n v="45476"/>
    <x v="381"/>
    <x v="10"/>
    <x v="1"/>
    <x v="13"/>
    <x v="476"/>
    <n v="215.15"/>
    <n v="2"/>
    <n v="-103.99"/>
    <x v="6"/>
    <x v="3"/>
  </r>
  <r>
    <n v="45476"/>
    <x v="381"/>
    <x v="10"/>
    <x v="0"/>
    <x v="0"/>
    <x v="861"/>
    <n v="30.96"/>
    <n v="6"/>
    <n v="11.22"/>
    <x v="6"/>
    <x v="3"/>
  </r>
  <r>
    <n v="45476"/>
    <x v="412"/>
    <x v="22"/>
    <x v="2"/>
    <x v="9"/>
    <x v="33"/>
    <n v="59.98"/>
    <n v="2"/>
    <n v="26.39"/>
    <x v="6"/>
    <x v="3"/>
  </r>
  <r>
    <n v="45476"/>
    <x v="412"/>
    <x v="22"/>
    <x v="2"/>
    <x v="15"/>
    <x v="1645"/>
    <n v="2395.1999999999998"/>
    <n v="6"/>
    <n v="209.58"/>
    <x v="6"/>
    <x v="3"/>
  </r>
  <r>
    <n v="45476"/>
    <x v="412"/>
    <x v="22"/>
    <x v="2"/>
    <x v="9"/>
    <x v="1208"/>
    <n v="1687.8"/>
    <n v="4"/>
    <n v="742.63"/>
    <x v="6"/>
    <x v="3"/>
  </r>
  <r>
    <n v="45476"/>
    <x v="412"/>
    <x v="22"/>
    <x v="2"/>
    <x v="6"/>
    <x v="314"/>
    <n v="7.99"/>
    <n v="1"/>
    <n v="2.7"/>
    <x v="6"/>
    <x v="3"/>
  </r>
  <r>
    <n v="45476"/>
    <x v="365"/>
    <x v="32"/>
    <x v="2"/>
    <x v="9"/>
    <x v="1326"/>
    <n v="258.89999999999998"/>
    <n v="10"/>
    <n v="93.2"/>
    <x v="6"/>
    <x v="3"/>
  </r>
  <r>
    <n v="45476"/>
    <x v="365"/>
    <x v="32"/>
    <x v="0"/>
    <x v="0"/>
    <x v="572"/>
    <n v="24.56"/>
    <n v="2"/>
    <n v="11.54"/>
    <x v="6"/>
    <x v="3"/>
  </r>
  <r>
    <n v="45476"/>
    <x v="337"/>
    <x v="3"/>
    <x v="1"/>
    <x v="8"/>
    <x v="1261"/>
    <n v="129.38999999999999"/>
    <n v="3"/>
    <n v="54.34"/>
    <x v="6"/>
    <x v="3"/>
  </r>
  <r>
    <n v="45476"/>
    <x v="122"/>
    <x v="3"/>
    <x v="0"/>
    <x v="2"/>
    <x v="1125"/>
    <n v="87.92"/>
    <n v="4"/>
    <n v="0.88"/>
    <x v="6"/>
    <x v="3"/>
  </r>
  <r>
    <n v="45476"/>
    <x v="627"/>
    <x v="25"/>
    <x v="2"/>
    <x v="9"/>
    <x v="623"/>
    <n v="24"/>
    <n v="2"/>
    <n v="-2.7"/>
    <x v="6"/>
    <x v="3"/>
  </r>
  <r>
    <n v="45476"/>
    <x v="578"/>
    <x v="38"/>
    <x v="1"/>
    <x v="8"/>
    <x v="889"/>
    <n v="102.3"/>
    <n v="1"/>
    <n v="26.6"/>
    <x v="6"/>
    <x v="3"/>
  </r>
  <r>
    <n v="45478"/>
    <x v="637"/>
    <x v="0"/>
    <x v="1"/>
    <x v="8"/>
    <x v="1630"/>
    <n v="332.03"/>
    <n v="9"/>
    <n v="-348.63"/>
    <x v="6"/>
    <x v="3"/>
  </r>
  <r>
    <n v="45478"/>
    <x v="637"/>
    <x v="0"/>
    <x v="0"/>
    <x v="3"/>
    <x v="130"/>
    <n v="11.39"/>
    <n v="9"/>
    <n v="-17.66"/>
    <x v="6"/>
    <x v="3"/>
  </r>
  <r>
    <n v="45478"/>
    <x v="637"/>
    <x v="0"/>
    <x v="0"/>
    <x v="0"/>
    <x v="1709"/>
    <n v="15.55"/>
    <n v="3"/>
    <n v="5.64"/>
    <x v="6"/>
    <x v="3"/>
  </r>
  <r>
    <n v="45478"/>
    <x v="637"/>
    <x v="0"/>
    <x v="0"/>
    <x v="0"/>
    <x v="183"/>
    <n v="31.1"/>
    <n v="6"/>
    <n v="11.28"/>
    <x v="6"/>
    <x v="3"/>
  </r>
  <r>
    <n v="45478"/>
    <x v="637"/>
    <x v="0"/>
    <x v="0"/>
    <x v="3"/>
    <x v="1414"/>
    <n v="6.32"/>
    <n v="1"/>
    <n v="-10.42"/>
    <x v="6"/>
    <x v="3"/>
  </r>
  <r>
    <n v="45478"/>
    <x v="105"/>
    <x v="40"/>
    <x v="2"/>
    <x v="6"/>
    <x v="1605"/>
    <n v="79.959999999999994"/>
    <n v="4"/>
    <n v="22.39"/>
    <x v="6"/>
    <x v="3"/>
  </r>
  <r>
    <n v="45479"/>
    <x v="470"/>
    <x v="2"/>
    <x v="0"/>
    <x v="3"/>
    <x v="73"/>
    <n v="2.95"/>
    <n v="2"/>
    <n v="-2.2599999999999998"/>
    <x v="6"/>
    <x v="3"/>
  </r>
  <r>
    <n v="45479"/>
    <x v="470"/>
    <x v="2"/>
    <x v="0"/>
    <x v="0"/>
    <x v="1269"/>
    <n v="16.059999999999999"/>
    <n v="3"/>
    <n v="5.82"/>
    <x v="6"/>
    <x v="3"/>
  </r>
  <r>
    <n v="45479"/>
    <x v="475"/>
    <x v="16"/>
    <x v="1"/>
    <x v="5"/>
    <x v="560"/>
    <n v="239.24"/>
    <n v="1"/>
    <n v="23.92"/>
    <x v="6"/>
    <x v="3"/>
  </r>
  <r>
    <n v="45479"/>
    <x v="487"/>
    <x v="3"/>
    <x v="1"/>
    <x v="5"/>
    <x v="1748"/>
    <n v="122.14"/>
    <n v="3"/>
    <n v="-13.74"/>
    <x v="6"/>
    <x v="3"/>
  </r>
  <r>
    <n v="45480"/>
    <x v="349"/>
    <x v="20"/>
    <x v="0"/>
    <x v="3"/>
    <x v="1045"/>
    <n v="17.47"/>
    <n v="3"/>
    <n v="6.33"/>
    <x v="6"/>
    <x v="3"/>
  </r>
  <r>
    <n v="45480"/>
    <x v="634"/>
    <x v="43"/>
    <x v="2"/>
    <x v="9"/>
    <x v="128"/>
    <n v="252"/>
    <n v="4"/>
    <n v="93.24"/>
    <x v="6"/>
    <x v="3"/>
  </r>
  <r>
    <n v="45480"/>
    <x v="556"/>
    <x v="2"/>
    <x v="1"/>
    <x v="11"/>
    <x v="1317"/>
    <n v="87.21"/>
    <n v="3"/>
    <n v="-45.35"/>
    <x v="6"/>
    <x v="3"/>
  </r>
  <r>
    <n v="45480"/>
    <x v="556"/>
    <x v="2"/>
    <x v="0"/>
    <x v="0"/>
    <x v="757"/>
    <n v="15.55"/>
    <n v="3"/>
    <n v="5.44"/>
    <x v="6"/>
    <x v="3"/>
  </r>
  <r>
    <n v="45480"/>
    <x v="556"/>
    <x v="2"/>
    <x v="2"/>
    <x v="6"/>
    <x v="628"/>
    <n v="683.99"/>
    <n v="2"/>
    <n v="-114"/>
    <x v="6"/>
    <x v="3"/>
  </r>
  <r>
    <n v="45480"/>
    <x v="556"/>
    <x v="2"/>
    <x v="0"/>
    <x v="2"/>
    <x v="1811"/>
    <n v="13.39"/>
    <n v="3"/>
    <n v="1"/>
    <x v="6"/>
    <x v="3"/>
  </r>
  <r>
    <n v="45480"/>
    <x v="556"/>
    <x v="2"/>
    <x v="2"/>
    <x v="9"/>
    <x v="1541"/>
    <n v="16.78"/>
    <n v="3"/>
    <n v="4.82"/>
    <x v="6"/>
    <x v="3"/>
  </r>
  <r>
    <n v="45480"/>
    <x v="556"/>
    <x v="2"/>
    <x v="2"/>
    <x v="9"/>
    <x v="1146"/>
    <n v="527.91999999999996"/>
    <n v="2"/>
    <n v="85.79"/>
    <x v="6"/>
    <x v="3"/>
  </r>
  <r>
    <n v="45480"/>
    <x v="372"/>
    <x v="3"/>
    <x v="0"/>
    <x v="7"/>
    <x v="1525"/>
    <n v="5.94"/>
    <n v="3"/>
    <n v="0.12"/>
    <x v="6"/>
    <x v="3"/>
  </r>
  <r>
    <n v="45481"/>
    <x v="210"/>
    <x v="32"/>
    <x v="0"/>
    <x v="4"/>
    <x v="203"/>
    <n v="7.56"/>
    <n v="3"/>
    <n v="3.1"/>
    <x v="6"/>
    <x v="3"/>
  </r>
  <r>
    <n v="45481"/>
    <x v="210"/>
    <x v="32"/>
    <x v="0"/>
    <x v="0"/>
    <x v="371"/>
    <n v="24.56"/>
    <n v="2"/>
    <n v="11.54"/>
    <x v="6"/>
    <x v="3"/>
  </r>
  <r>
    <n v="45481"/>
    <x v="210"/>
    <x v="32"/>
    <x v="0"/>
    <x v="4"/>
    <x v="136"/>
    <n v="12.96"/>
    <n v="2"/>
    <n v="4.1500000000000004"/>
    <x v="6"/>
    <x v="3"/>
  </r>
  <r>
    <n v="45481"/>
    <x v="381"/>
    <x v="3"/>
    <x v="1"/>
    <x v="8"/>
    <x v="886"/>
    <n v="145.9"/>
    <n v="5"/>
    <n v="62.74"/>
    <x v="6"/>
    <x v="3"/>
  </r>
  <r>
    <n v="45481"/>
    <x v="788"/>
    <x v="22"/>
    <x v="1"/>
    <x v="8"/>
    <x v="1328"/>
    <n v="198.46"/>
    <n v="2"/>
    <n v="99.23"/>
    <x v="6"/>
    <x v="3"/>
  </r>
  <r>
    <n v="45481"/>
    <x v="788"/>
    <x v="22"/>
    <x v="0"/>
    <x v="1"/>
    <x v="493"/>
    <n v="786.48"/>
    <n v="8"/>
    <n v="385.38"/>
    <x v="6"/>
    <x v="3"/>
  </r>
  <r>
    <n v="45481"/>
    <x v="788"/>
    <x v="22"/>
    <x v="0"/>
    <x v="3"/>
    <x v="1057"/>
    <n v="23.17"/>
    <n v="2"/>
    <n v="7.82"/>
    <x v="6"/>
    <x v="3"/>
  </r>
  <r>
    <n v="45481"/>
    <x v="788"/>
    <x v="22"/>
    <x v="2"/>
    <x v="9"/>
    <x v="1598"/>
    <n v="50"/>
    <n v="2"/>
    <n v="10.5"/>
    <x v="6"/>
    <x v="3"/>
  </r>
  <r>
    <n v="45481"/>
    <x v="339"/>
    <x v="3"/>
    <x v="0"/>
    <x v="1"/>
    <x v="634"/>
    <n v="75.180000000000007"/>
    <n v="6"/>
    <n v="35.33"/>
    <x v="6"/>
    <x v="3"/>
  </r>
  <r>
    <n v="45481"/>
    <x v="58"/>
    <x v="22"/>
    <x v="1"/>
    <x v="8"/>
    <x v="984"/>
    <n v="15.84"/>
    <n v="3"/>
    <n v="4.91"/>
    <x v="6"/>
    <x v="3"/>
  </r>
  <r>
    <n v="45481"/>
    <x v="58"/>
    <x v="22"/>
    <x v="0"/>
    <x v="3"/>
    <x v="171"/>
    <n v="86.38"/>
    <n v="3"/>
    <n v="30.23"/>
    <x v="6"/>
    <x v="3"/>
  </r>
  <r>
    <n v="45481"/>
    <x v="58"/>
    <x v="22"/>
    <x v="0"/>
    <x v="4"/>
    <x v="118"/>
    <n v="18.239999999999998"/>
    <n v="3"/>
    <n v="6.2"/>
    <x v="6"/>
    <x v="3"/>
  </r>
  <r>
    <n v="45481"/>
    <x v="58"/>
    <x v="22"/>
    <x v="0"/>
    <x v="4"/>
    <x v="268"/>
    <n v="13.12"/>
    <n v="4"/>
    <n v="4.33"/>
    <x v="6"/>
    <x v="3"/>
  </r>
  <r>
    <n v="45481"/>
    <x v="736"/>
    <x v="7"/>
    <x v="1"/>
    <x v="8"/>
    <x v="1251"/>
    <n v="83.92"/>
    <n v="4"/>
    <n v="5.87"/>
    <x v="6"/>
    <x v="3"/>
  </r>
  <r>
    <n v="45481"/>
    <x v="736"/>
    <x v="7"/>
    <x v="2"/>
    <x v="9"/>
    <x v="662"/>
    <n v="141.9"/>
    <n v="5"/>
    <n v="58.18"/>
    <x v="6"/>
    <x v="3"/>
  </r>
  <r>
    <n v="45481"/>
    <x v="736"/>
    <x v="7"/>
    <x v="1"/>
    <x v="8"/>
    <x v="586"/>
    <n v="39.979999999999997"/>
    <n v="2"/>
    <n v="9.1999999999999993"/>
    <x v="6"/>
    <x v="3"/>
  </r>
  <r>
    <n v="45481"/>
    <x v="736"/>
    <x v="7"/>
    <x v="0"/>
    <x v="4"/>
    <x v="974"/>
    <n v="28.91"/>
    <n v="7"/>
    <n v="8.67"/>
    <x v="6"/>
    <x v="3"/>
  </r>
  <r>
    <n v="45481"/>
    <x v="736"/>
    <x v="7"/>
    <x v="0"/>
    <x v="4"/>
    <x v="358"/>
    <n v="174.95"/>
    <n v="5"/>
    <n v="45.49"/>
    <x v="6"/>
    <x v="3"/>
  </r>
  <r>
    <n v="45481"/>
    <x v="376"/>
    <x v="22"/>
    <x v="0"/>
    <x v="0"/>
    <x v="371"/>
    <n v="52.76"/>
    <n v="2"/>
    <n v="24.27"/>
    <x v="6"/>
    <x v="3"/>
  </r>
  <r>
    <n v="45482"/>
    <x v="210"/>
    <x v="11"/>
    <x v="0"/>
    <x v="3"/>
    <x v="106"/>
    <n v="1.08"/>
    <n v="2"/>
    <n v="-0.79"/>
    <x v="6"/>
    <x v="3"/>
  </r>
  <r>
    <n v="45482"/>
    <x v="270"/>
    <x v="1"/>
    <x v="0"/>
    <x v="4"/>
    <x v="1824"/>
    <n v="8.84"/>
    <n v="5"/>
    <n v="2.98"/>
    <x v="6"/>
    <x v="3"/>
  </r>
  <r>
    <n v="45482"/>
    <x v="270"/>
    <x v="1"/>
    <x v="0"/>
    <x v="12"/>
    <x v="1771"/>
    <n v="58.46"/>
    <n v="9"/>
    <n v="-146.16"/>
    <x v="6"/>
    <x v="3"/>
  </r>
  <r>
    <n v="45482"/>
    <x v="209"/>
    <x v="1"/>
    <x v="0"/>
    <x v="2"/>
    <x v="70"/>
    <n v="228.92"/>
    <n v="5"/>
    <n v="14.31"/>
    <x v="6"/>
    <x v="3"/>
  </r>
  <r>
    <n v="45482"/>
    <x v="88"/>
    <x v="18"/>
    <x v="1"/>
    <x v="8"/>
    <x v="1401"/>
    <n v="526.45000000000005"/>
    <n v="5"/>
    <n v="31.59"/>
    <x v="6"/>
    <x v="3"/>
  </r>
  <r>
    <n v="45482"/>
    <x v="509"/>
    <x v="37"/>
    <x v="0"/>
    <x v="0"/>
    <x v="1520"/>
    <n v="274.8"/>
    <n v="5"/>
    <n v="134.65"/>
    <x v="6"/>
    <x v="3"/>
  </r>
  <r>
    <n v="45482"/>
    <x v="509"/>
    <x v="37"/>
    <x v="0"/>
    <x v="2"/>
    <x v="1204"/>
    <n v="195.64"/>
    <n v="4"/>
    <n v="3.91"/>
    <x v="6"/>
    <x v="3"/>
  </r>
  <r>
    <n v="45482"/>
    <x v="509"/>
    <x v="37"/>
    <x v="2"/>
    <x v="6"/>
    <x v="967"/>
    <n v="257.98"/>
    <n v="2"/>
    <n v="74.81"/>
    <x v="6"/>
    <x v="3"/>
  </r>
  <r>
    <n v="45482"/>
    <x v="509"/>
    <x v="37"/>
    <x v="0"/>
    <x v="4"/>
    <x v="311"/>
    <n v="119.04"/>
    <n v="6"/>
    <n v="48.81"/>
    <x v="6"/>
    <x v="3"/>
  </r>
  <r>
    <n v="45483"/>
    <x v="652"/>
    <x v="4"/>
    <x v="1"/>
    <x v="8"/>
    <x v="734"/>
    <n v="18.84"/>
    <n v="3"/>
    <n v="7.91"/>
    <x v="6"/>
    <x v="3"/>
  </r>
  <r>
    <n v="45483"/>
    <x v="215"/>
    <x v="1"/>
    <x v="0"/>
    <x v="2"/>
    <x v="892"/>
    <n v="298.45999999999998"/>
    <n v="6"/>
    <n v="26.12"/>
    <x v="6"/>
    <x v="3"/>
  </r>
  <r>
    <n v="45483"/>
    <x v="97"/>
    <x v="4"/>
    <x v="0"/>
    <x v="12"/>
    <x v="1181"/>
    <n v="41.91"/>
    <n v="3"/>
    <n v="10.9"/>
    <x v="6"/>
    <x v="3"/>
  </r>
  <r>
    <n v="45484"/>
    <x v="549"/>
    <x v="3"/>
    <x v="0"/>
    <x v="1"/>
    <x v="18"/>
    <n v="8.67"/>
    <n v="3"/>
    <n v="4.07"/>
    <x v="6"/>
    <x v="3"/>
  </r>
  <r>
    <n v="45484"/>
    <x v="448"/>
    <x v="20"/>
    <x v="2"/>
    <x v="9"/>
    <x v="225"/>
    <n v="132.6"/>
    <n v="6"/>
    <n v="17.239999999999998"/>
    <x v="6"/>
    <x v="3"/>
  </r>
  <r>
    <n v="45484"/>
    <x v="262"/>
    <x v="30"/>
    <x v="0"/>
    <x v="4"/>
    <x v="108"/>
    <n v="30.32"/>
    <n v="4"/>
    <n v="11.82"/>
    <x v="6"/>
    <x v="3"/>
  </r>
  <r>
    <n v="45484"/>
    <x v="119"/>
    <x v="3"/>
    <x v="2"/>
    <x v="9"/>
    <x v="1044"/>
    <n v="1287.45"/>
    <n v="5"/>
    <n v="244.62"/>
    <x v="6"/>
    <x v="3"/>
  </r>
  <r>
    <n v="45484"/>
    <x v="119"/>
    <x v="3"/>
    <x v="0"/>
    <x v="12"/>
    <x v="1596"/>
    <n v="168.1"/>
    <n v="5"/>
    <n v="43.71"/>
    <x v="6"/>
    <x v="3"/>
  </r>
  <r>
    <n v="45484"/>
    <x v="324"/>
    <x v="3"/>
    <x v="2"/>
    <x v="6"/>
    <x v="1648"/>
    <n v="71.95"/>
    <n v="6"/>
    <n v="5.4"/>
    <x v="6"/>
    <x v="3"/>
  </r>
  <r>
    <n v="45484"/>
    <x v="324"/>
    <x v="3"/>
    <x v="0"/>
    <x v="3"/>
    <x v="15"/>
    <n v="29.8"/>
    <n v="5"/>
    <n v="9.31"/>
    <x v="6"/>
    <x v="3"/>
  </r>
  <r>
    <n v="45485"/>
    <x v="178"/>
    <x v="10"/>
    <x v="0"/>
    <x v="0"/>
    <x v="1236"/>
    <n v="3.82"/>
    <n v="1"/>
    <n v="1.19"/>
    <x v="6"/>
    <x v="3"/>
  </r>
  <r>
    <n v="45486"/>
    <x v="294"/>
    <x v="2"/>
    <x v="2"/>
    <x v="6"/>
    <x v="567"/>
    <n v="39.590000000000003"/>
    <n v="1"/>
    <n v="-7.26"/>
    <x v="6"/>
    <x v="3"/>
  </r>
  <r>
    <n v="45486"/>
    <x v="294"/>
    <x v="2"/>
    <x v="1"/>
    <x v="8"/>
    <x v="805"/>
    <n v="91.01"/>
    <n v="9"/>
    <n v="19.34"/>
    <x v="6"/>
    <x v="3"/>
  </r>
  <r>
    <n v="45486"/>
    <x v="390"/>
    <x v="42"/>
    <x v="0"/>
    <x v="2"/>
    <x v="1126"/>
    <n v="360.38"/>
    <n v="2"/>
    <n v="93.7"/>
    <x v="6"/>
    <x v="3"/>
  </r>
  <r>
    <n v="45486"/>
    <x v="390"/>
    <x v="42"/>
    <x v="0"/>
    <x v="0"/>
    <x v="1791"/>
    <n v="13.56"/>
    <n v="2"/>
    <n v="6.24"/>
    <x v="6"/>
    <x v="3"/>
  </r>
  <r>
    <n v="45487"/>
    <x v="460"/>
    <x v="3"/>
    <x v="0"/>
    <x v="3"/>
    <x v="816"/>
    <n v="4.45"/>
    <n v="2"/>
    <n v="1.45"/>
    <x v="6"/>
    <x v="3"/>
  </r>
  <r>
    <n v="45487"/>
    <x v="460"/>
    <x v="3"/>
    <x v="1"/>
    <x v="8"/>
    <x v="1630"/>
    <n v="276.69"/>
    <n v="3"/>
    <n v="49.8"/>
    <x v="6"/>
    <x v="3"/>
  </r>
  <r>
    <n v="45487"/>
    <x v="460"/>
    <x v="3"/>
    <x v="0"/>
    <x v="7"/>
    <x v="1152"/>
    <n v="4.96"/>
    <n v="4"/>
    <n v="2.33"/>
    <x v="6"/>
    <x v="3"/>
  </r>
  <r>
    <n v="45487"/>
    <x v="460"/>
    <x v="3"/>
    <x v="0"/>
    <x v="4"/>
    <x v="755"/>
    <n v="71.92"/>
    <n v="4"/>
    <n v="20.86"/>
    <x v="6"/>
    <x v="3"/>
  </r>
  <r>
    <n v="45487"/>
    <x v="460"/>
    <x v="3"/>
    <x v="1"/>
    <x v="8"/>
    <x v="1084"/>
    <n v="18.84"/>
    <n v="3"/>
    <n v="7.91"/>
    <x v="6"/>
    <x v="3"/>
  </r>
  <r>
    <n v="45487"/>
    <x v="460"/>
    <x v="3"/>
    <x v="2"/>
    <x v="9"/>
    <x v="1685"/>
    <n v="140.97"/>
    <n v="3"/>
    <n v="19.739999999999998"/>
    <x v="6"/>
    <x v="3"/>
  </r>
  <r>
    <n v="45487"/>
    <x v="460"/>
    <x v="3"/>
    <x v="2"/>
    <x v="6"/>
    <x v="10"/>
    <n v="470.38"/>
    <n v="3"/>
    <n v="52.92"/>
    <x v="6"/>
    <x v="3"/>
  </r>
  <r>
    <n v="45487"/>
    <x v="154"/>
    <x v="10"/>
    <x v="0"/>
    <x v="0"/>
    <x v="1611"/>
    <n v="9.25"/>
    <n v="2"/>
    <n v="3.35"/>
    <x v="6"/>
    <x v="3"/>
  </r>
  <r>
    <n v="45487"/>
    <x v="154"/>
    <x v="10"/>
    <x v="2"/>
    <x v="6"/>
    <x v="1021"/>
    <n v="1889.95"/>
    <n v="9"/>
    <n v="-377.99"/>
    <x v="6"/>
    <x v="3"/>
  </r>
  <r>
    <n v="45487"/>
    <x v="154"/>
    <x v="10"/>
    <x v="0"/>
    <x v="2"/>
    <x v="271"/>
    <n v="62.04"/>
    <n v="5"/>
    <n v="4.6500000000000004"/>
    <x v="6"/>
    <x v="3"/>
  </r>
  <r>
    <n v="45487"/>
    <x v="154"/>
    <x v="10"/>
    <x v="1"/>
    <x v="8"/>
    <x v="1328"/>
    <n v="396.92"/>
    <n v="5"/>
    <n v="148.85"/>
    <x v="6"/>
    <x v="3"/>
  </r>
  <r>
    <n v="45487"/>
    <x v="154"/>
    <x v="10"/>
    <x v="0"/>
    <x v="2"/>
    <x v="434"/>
    <n v="239.46"/>
    <n v="7"/>
    <n v="17.96"/>
    <x v="6"/>
    <x v="3"/>
  </r>
  <r>
    <n v="45487"/>
    <x v="154"/>
    <x v="10"/>
    <x v="0"/>
    <x v="4"/>
    <x v="268"/>
    <n v="13.12"/>
    <n v="5"/>
    <n v="2.13"/>
    <x v="6"/>
    <x v="3"/>
  </r>
  <r>
    <n v="45488"/>
    <x v="226"/>
    <x v="7"/>
    <x v="0"/>
    <x v="3"/>
    <x v="3"/>
    <n v="26.55"/>
    <n v="3"/>
    <n v="13.01"/>
    <x v="6"/>
    <x v="3"/>
  </r>
  <r>
    <n v="45488"/>
    <x v="226"/>
    <x v="7"/>
    <x v="1"/>
    <x v="13"/>
    <x v="848"/>
    <n v="310.44"/>
    <n v="3"/>
    <n v="-48.78"/>
    <x v="6"/>
    <x v="3"/>
  </r>
  <r>
    <n v="45488"/>
    <x v="147"/>
    <x v="20"/>
    <x v="0"/>
    <x v="4"/>
    <x v="1568"/>
    <n v="6.56"/>
    <n v="2"/>
    <n v="1.9"/>
    <x v="6"/>
    <x v="3"/>
  </r>
  <r>
    <n v="45488"/>
    <x v="147"/>
    <x v="20"/>
    <x v="0"/>
    <x v="1"/>
    <x v="1116"/>
    <n v="7.83"/>
    <n v="3"/>
    <n v="3.6"/>
    <x v="6"/>
    <x v="3"/>
  </r>
  <r>
    <n v="45488"/>
    <x v="147"/>
    <x v="20"/>
    <x v="2"/>
    <x v="9"/>
    <x v="1179"/>
    <n v="41.9"/>
    <n v="2"/>
    <n v="8.8000000000000007"/>
    <x v="6"/>
    <x v="3"/>
  </r>
  <r>
    <n v="45488"/>
    <x v="147"/>
    <x v="20"/>
    <x v="1"/>
    <x v="5"/>
    <x v="1255"/>
    <n v="664.15"/>
    <n v="6"/>
    <n v="88.55"/>
    <x v="6"/>
    <x v="3"/>
  </r>
  <r>
    <n v="45488"/>
    <x v="147"/>
    <x v="20"/>
    <x v="0"/>
    <x v="0"/>
    <x v="948"/>
    <n v="8.9600000000000009"/>
    <n v="2"/>
    <n v="4.3899999999999997"/>
    <x v="6"/>
    <x v="3"/>
  </r>
  <r>
    <n v="45488"/>
    <x v="332"/>
    <x v="6"/>
    <x v="0"/>
    <x v="12"/>
    <x v="879"/>
    <n v="179.94"/>
    <n v="3"/>
    <n v="50.38"/>
    <x v="6"/>
    <x v="3"/>
  </r>
  <r>
    <n v="45488"/>
    <x v="332"/>
    <x v="6"/>
    <x v="1"/>
    <x v="13"/>
    <x v="576"/>
    <n v="872.94"/>
    <n v="3"/>
    <n v="157.13"/>
    <x v="6"/>
    <x v="3"/>
  </r>
  <r>
    <n v="45488"/>
    <x v="332"/>
    <x v="6"/>
    <x v="0"/>
    <x v="0"/>
    <x v="423"/>
    <n v="12.96"/>
    <n v="2"/>
    <n v="6.22"/>
    <x v="6"/>
    <x v="3"/>
  </r>
  <r>
    <n v="45489"/>
    <x v="394"/>
    <x v="2"/>
    <x v="1"/>
    <x v="5"/>
    <x v="908"/>
    <n v="71.37"/>
    <n v="2"/>
    <n v="-1.02"/>
    <x v="6"/>
    <x v="3"/>
  </r>
  <r>
    <n v="45489"/>
    <x v="139"/>
    <x v="1"/>
    <x v="0"/>
    <x v="4"/>
    <x v="1559"/>
    <n v="2.91"/>
    <n v="2"/>
    <n v="0.91"/>
    <x v="6"/>
    <x v="3"/>
  </r>
  <r>
    <n v="45489"/>
    <x v="40"/>
    <x v="25"/>
    <x v="1"/>
    <x v="5"/>
    <x v="1209"/>
    <n v="242.35"/>
    <n v="3"/>
    <n v="15.15"/>
    <x v="6"/>
    <x v="3"/>
  </r>
  <r>
    <n v="45490"/>
    <x v="661"/>
    <x v="16"/>
    <x v="1"/>
    <x v="8"/>
    <x v="1659"/>
    <n v="7.9"/>
    <n v="2"/>
    <n v="2.17"/>
    <x v="6"/>
    <x v="3"/>
  </r>
  <r>
    <n v="45490"/>
    <x v="734"/>
    <x v="20"/>
    <x v="2"/>
    <x v="6"/>
    <x v="1775"/>
    <n v="269.98"/>
    <n v="2"/>
    <n v="67.5"/>
    <x v="6"/>
    <x v="3"/>
  </r>
  <r>
    <n v="45490"/>
    <x v="734"/>
    <x v="20"/>
    <x v="0"/>
    <x v="0"/>
    <x v="386"/>
    <n v="99.9"/>
    <n v="5"/>
    <n v="47.95"/>
    <x v="6"/>
    <x v="3"/>
  </r>
  <r>
    <n v="45490"/>
    <x v="734"/>
    <x v="20"/>
    <x v="1"/>
    <x v="8"/>
    <x v="1683"/>
    <n v="39.08"/>
    <n v="4"/>
    <n v="14.46"/>
    <x v="6"/>
    <x v="3"/>
  </r>
  <r>
    <n v="45490"/>
    <x v="314"/>
    <x v="3"/>
    <x v="2"/>
    <x v="16"/>
    <x v="359"/>
    <n v="479.98"/>
    <n v="2"/>
    <n v="90"/>
    <x v="6"/>
    <x v="3"/>
  </r>
  <r>
    <n v="45490"/>
    <x v="202"/>
    <x v="3"/>
    <x v="0"/>
    <x v="0"/>
    <x v="1038"/>
    <n v="32.4"/>
    <n v="5"/>
    <n v="15.55"/>
    <x v="6"/>
    <x v="3"/>
  </r>
  <r>
    <n v="45490"/>
    <x v="202"/>
    <x v="3"/>
    <x v="0"/>
    <x v="10"/>
    <x v="1068"/>
    <n v="57.9"/>
    <n v="5"/>
    <n v="28.95"/>
    <x v="6"/>
    <x v="3"/>
  </r>
  <r>
    <n v="45490"/>
    <x v="202"/>
    <x v="3"/>
    <x v="0"/>
    <x v="2"/>
    <x v="235"/>
    <n v="10.56"/>
    <n v="2"/>
    <n v="0"/>
    <x v="6"/>
    <x v="3"/>
  </r>
  <r>
    <n v="45490"/>
    <x v="202"/>
    <x v="3"/>
    <x v="1"/>
    <x v="11"/>
    <x v="1205"/>
    <n v="1194.17"/>
    <n v="5"/>
    <n v="210.74"/>
    <x v="6"/>
    <x v="3"/>
  </r>
  <r>
    <n v="45491"/>
    <x v="505"/>
    <x v="12"/>
    <x v="1"/>
    <x v="13"/>
    <x v="1161"/>
    <n v="801.6"/>
    <n v="5"/>
    <n v="-448.9"/>
    <x v="6"/>
    <x v="3"/>
  </r>
  <r>
    <n v="45491"/>
    <x v="505"/>
    <x v="12"/>
    <x v="1"/>
    <x v="5"/>
    <x v="1209"/>
    <n v="161.57"/>
    <n v="2"/>
    <n v="10.1"/>
    <x v="6"/>
    <x v="3"/>
  </r>
  <r>
    <n v="45491"/>
    <x v="505"/>
    <x v="12"/>
    <x v="0"/>
    <x v="0"/>
    <x v="716"/>
    <n v="16.100000000000001"/>
    <n v="2"/>
    <n v="5.23"/>
    <x v="6"/>
    <x v="3"/>
  </r>
  <r>
    <n v="45491"/>
    <x v="505"/>
    <x v="12"/>
    <x v="0"/>
    <x v="3"/>
    <x v="1088"/>
    <n v="7.66"/>
    <n v="4"/>
    <n v="-6.12"/>
    <x v="6"/>
    <x v="3"/>
  </r>
  <r>
    <n v="45491"/>
    <x v="505"/>
    <x v="12"/>
    <x v="1"/>
    <x v="5"/>
    <x v="1155"/>
    <n v="311.98"/>
    <n v="3"/>
    <n v="-42.9"/>
    <x v="6"/>
    <x v="3"/>
  </r>
  <r>
    <n v="45491"/>
    <x v="9"/>
    <x v="2"/>
    <x v="2"/>
    <x v="16"/>
    <x v="1308"/>
    <n v="599.97"/>
    <n v="5"/>
    <n v="70"/>
    <x v="6"/>
    <x v="3"/>
  </r>
  <r>
    <n v="45491"/>
    <x v="9"/>
    <x v="2"/>
    <x v="1"/>
    <x v="5"/>
    <x v="478"/>
    <n v="198.74"/>
    <n v="4"/>
    <n v="-14.2"/>
    <x v="6"/>
    <x v="3"/>
  </r>
  <r>
    <n v="45491"/>
    <x v="9"/>
    <x v="2"/>
    <x v="0"/>
    <x v="14"/>
    <x v="714"/>
    <n v="9.18"/>
    <n v="2"/>
    <n v="1.1499999999999999"/>
    <x v="6"/>
    <x v="3"/>
  </r>
  <r>
    <n v="45493"/>
    <x v="246"/>
    <x v="1"/>
    <x v="0"/>
    <x v="2"/>
    <x v="994"/>
    <n v="69.709999999999994"/>
    <n v="2"/>
    <n v="8.7100000000000009"/>
    <x v="6"/>
    <x v="3"/>
  </r>
  <r>
    <n v="45493"/>
    <x v="246"/>
    <x v="1"/>
    <x v="1"/>
    <x v="8"/>
    <x v="466"/>
    <n v="8.7899999999999991"/>
    <n v="1"/>
    <n v="-5.71"/>
    <x v="6"/>
    <x v="3"/>
  </r>
  <r>
    <n v="45493"/>
    <x v="551"/>
    <x v="19"/>
    <x v="0"/>
    <x v="1"/>
    <x v="1323"/>
    <n v="14.62"/>
    <n v="2"/>
    <n v="6.87"/>
    <x v="6"/>
    <x v="3"/>
  </r>
  <r>
    <n v="45493"/>
    <x v="551"/>
    <x v="19"/>
    <x v="0"/>
    <x v="12"/>
    <x v="425"/>
    <n v="416.32"/>
    <n v="2"/>
    <n v="112.41"/>
    <x v="6"/>
    <x v="3"/>
  </r>
  <r>
    <n v="45493"/>
    <x v="551"/>
    <x v="19"/>
    <x v="0"/>
    <x v="3"/>
    <x v="1513"/>
    <n v="43"/>
    <n v="5"/>
    <n v="20.21"/>
    <x v="6"/>
    <x v="3"/>
  </r>
  <r>
    <n v="45493"/>
    <x v="551"/>
    <x v="19"/>
    <x v="1"/>
    <x v="5"/>
    <x v="707"/>
    <n v="182.94"/>
    <n v="3"/>
    <n v="27.44"/>
    <x v="6"/>
    <x v="3"/>
  </r>
  <r>
    <n v="45493"/>
    <x v="551"/>
    <x v="19"/>
    <x v="0"/>
    <x v="3"/>
    <x v="1296"/>
    <n v="60.83"/>
    <n v="7"/>
    <n v="30.42"/>
    <x v="6"/>
    <x v="3"/>
  </r>
  <r>
    <n v="45493"/>
    <x v="551"/>
    <x v="19"/>
    <x v="2"/>
    <x v="9"/>
    <x v="1361"/>
    <n v="389.97"/>
    <n v="3"/>
    <n v="132.59"/>
    <x v="6"/>
    <x v="3"/>
  </r>
  <r>
    <n v="45493"/>
    <x v="436"/>
    <x v="28"/>
    <x v="0"/>
    <x v="3"/>
    <x v="688"/>
    <n v="735.98"/>
    <n v="2"/>
    <n v="331.19"/>
    <x v="6"/>
    <x v="3"/>
  </r>
  <r>
    <n v="45493"/>
    <x v="278"/>
    <x v="20"/>
    <x v="0"/>
    <x v="0"/>
    <x v="1282"/>
    <n v="13.36"/>
    <n v="2"/>
    <n v="6.41"/>
    <x v="6"/>
    <x v="3"/>
  </r>
  <r>
    <n v="45493"/>
    <x v="278"/>
    <x v="20"/>
    <x v="1"/>
    <x v="5"/>
    <x v="148"/>
    <n v="163.76"/>
    <n v="2"/>
    <n v="25.47"/>
    <x v="6"/>
    <x v="3"/>
  </r>
  <r>
    <n v="45493"/>
    <x v="278"/>
    <x v="20"/>
    <x v="1"/>
    <x v="8"/>
    <x v="282"/>
    <n v="183.92"/>
    <n v="4"/>
    <n v="31.27"/>
    <x v="6"/>
    <x v="3"/>
  </r>
  <r>
    <n v="45494"/>
    <x v="581"/>
    <x v="23"/>
    <x v="0"/>
    <x v="0"/>
    <x v="729"/>
    <n v="6.48"/>
    <n v="1"/>
    <n v="3.18"/>
    <x v="6"/>
    <x v="3"/>
  </r>
  <r>
    <n v="45494"/>
    <x v="582"/>
    <x v="27"/>
    <x v="2"/>
    <x v="6"/>
    <x v="1755"/>
    <n v="71.930000000000007"/>
    <n v="9"/>
    <n v="6.29"/>
    <x v="6"/>
    <x v="3"/>
  </r>
  <r>
    <n v="45494"/>
    <x v="582"/>
    <x v="27"/>
    <x v="0"/>
    <x v="4"/>
    <x v="151"/>
    <n v="25.99"/>
    <n v="1"/>
    <n v="7.54"/>
    <x v="6"/>
    <x v="3"/>
  </r>
  <r>
    <n v="45494"/>
    <x v="746"/>
    <x v="10"/>
    <x v="0"/>
    <x v="3"/>
    <x v="556"/>
    <n v="33.93"/>
    <n v="3"/>
    <n v="-22.62"/>
    <x v="6"/>
    <x v="3"/>
  </r>
  <r>
    <n v="45494"/>
    <x v="746"/>
    <x v="10"/>
    <x v="0"/>
    <x v="2"/>
    <x v="1760"/>
    <n v="222.32"/>
    <n v="7"/>
    <n v="25.01"/>
    <x v="6"/>
    <x v="3"/>
  </r>
  <r>
    <n v="45494"/>
    <x v="746"/>
    <x v="10"/>
    <x v="2"/>
    <x v="6"/>
    <x v="1377"/>
    <n v="210.56"/>
    <n v="6"/>
    <n v="-52.64"/>
    <x v="6"/>
    <x v="3"/>
  </r>
  <r>
    <n v="45494"/>
    <x v="481"/>
    <x v="6"/>
    <x v="0"/>
    <x v="4"/>
    <x v="1638"/>
    <n v="101.94"/>
    <n v="6"/>
    <n v="29.56"/>
    <x v="6"/>
    <x v="3"/>
  </r>
  <r>
    <n v="45494"/>
    <x v="481"/>
    <x v="6"/>
    <x v="2"/>
    <x v="6"/>
    <x v="418"/>
    <n v="271.95999999999998"/>
    <n v="4"/>
    <n v="67.989999999999995"/>
    <x v="6"/>
    <x v="3"/>
  </r>
  <r>
    <n v="45494"/>
    <x v="481"/>
    <x v="6"/>
    <x v="1"/>
    <x v="8"/>
    <x v="725"/>
    <n v="8.8000000000000007"/>
    <n v="5"/>
    <n v="3.87"/>
    <x v="6"/>
    <x v="3"/>
  </r>
  <r>
    <n v="45494"/>
    <x v="481"/>
    <x v="6"/>
    <x v="0"/>
    <x v="4"/>
    <x v="175"/>
    <n v="19.68"/>
    <n v="6"/>
    <n v="5.71"/>
    <x v="6"/>
    <x v="3"/>
  </r>
  <r>
    <n v="45494"/>
    <x v="481"/>
    <x v="6"/>
    <x v="1"/>
    <x v="11"/>
    <x v="1671"/>
    <n v="302.94"/>
    <n v="3"/>
    <n v="69.680000000000007"/>
    <x v="6"/>
    <x v="3"/>
  </r>
  <r>
    <n v="45494"/>
    <x v="481"/>
    <x v="6"/>
    <x v="0"/>
    <x v="3"/>
    <x v="547"/>
    <n v="14.94"/>
    <n v="3"/>
    <n v="7.17"/>
    <x v="6"/>
    <x v="3"/>
  </r>
  <r>
    <n v="45494"/>
    <x v="481"/>
    <x v="6"/>
    <x v="0"/>
    <x v="14"/>
    <x v="1673"/>
    <n v="231.72"/>
    <n v="2"/>
    <n v="11.59"/>
    <x v="6"/>
    <x v="3"/>
  </r>
  <r>
    <n v="45494"/>
    <x v="661"/>
    <x v="3"/>
    <x v="0"/>
    <x v="0"/>
    <x v="1825"/>
    <n v="16.34"/>
    <n v="2"/>
    <n v="7.68"/>
    <x v="6"/>
    <x v="3"/>
  </r>
  <r>
    <n v="45494"/>
    <x v="661"/>
    <x v="3"/>
    <x v="1"/>
    <x v="5"/>
    <x v="433"/>
    <n v="225.3"/>
    <n v="2"/>
    <n v="22.53"/>
    <x v="6"/>
    <x v="3"/>
  </r>
  <r>
    <n v="45494"/>
    <x v="661"/>
    <x v="3"/>
    <x v="0"/>
    <x v="3"/>
    <x v="637"/>
    <n v="50.35"/>
    <n v="3"/>
    <n v="17.62"/>
    <x v="6"/>
    <x v="3"/>
  </r>
  <r>
    <n v="45494"/>
    <x v="178"/>
    <x v="20"/>
    <x v="0"/>
    <x v="12"/>
    <x v="1277"/>
    <n v="17.48"/>
    <n v="4"/>
    <n v="4.54"/>
    <x v="6"/>
    <x v="3"/>
  </r>
  <r>
    <n v="45494"/>
    <x v="278"/>
    <x v="3"/>
    <x v="0"/>
    <x v="4"/>
    <x v="510"/>
    <n v="3.52"/>
    <n v="2"/>
    <n v="1.69"/>
    <x v="6"/>
    <x v="3"/>
  </r>
  <r>
    <n v="45494"/>
    <x v="278"/>
    <x v="3"/>
    <x v="2"/>
    <x v="6"/>
    <x v="803"/>
    <n v="1626.19"/>
    <n v="9"/>
    <n v="121.96"/>
    <x v="6"/>
    <x v="3"/>
  </r>
  <r>
    <n v="45494"/>
    <x v="344"/>
    <x v="0"/>
    <x v="1"/>
    <x v="13"/>
    <x v="1174"/>
    <n v="124.4"/>
    <n v="4"/>
    <n v="-21.33"/>
    <x v="6"/>
    <x v="3"/>
  </r>
  <r>
    <n v="45494"/>
    <x v="254"/>
    <x v="1"/>
    <x v="0"/>
    <x v="3"/>
    <x v="824"/>
    <n v="2.86"/>
    <n v="4"/>
    <n v="-4.58"/>
    <x v="6"/>
    <x v="3"/>
  </r>
  <r>
    <n v="45494"/>
    <x v="254"/>
    <x v="1"/>
    <x v="0"/>
    <x v="3"/>
    <x v="145"/>
    <n v="94.19"/>
    <n v="7"/>
    <n v="-164.84"/>
    <x v="6"/>
    <x v="3"/>
  </r>
  <r>
    <n v="45494"/>
    <x v="397"/>
    <x v="1"/>
    <x v="0"/>
    <x v="3"/>
    <x v="515"/>
    <n v="2.11"/>
    <n v="2"/>
    <n v="-3.38"/>
    <x v="6"/>
    <x v="3"/>
  </r>
  <r>
    <n v="45495"/>
    <x v="470"/>
    <x v="20"/>
    <x v="2"/>
    <x v="6"/>
    <x v="314"/>
    <n v="29.97"/>
    <n v="3"/>
    <n v="14.09"/>
    <x v="6"/>
    <x v="3"/>
  </r>
  <r>
    <n v="45495"/>
    <x v="34"/>
    <x v="1"/>
    <x v="1"/>
    <x v="5"/>
    <x v="612"/>
    <n v="526.34"/>
    <n v="4"/>
    <n v="-75.19"/>
    <x v="6"/>
    <x v="3"/>
  </r>
  <r>
    <n v="45496"/>
    <x v="85"/>
    <x v="20"/>
    <x v="0"/>
    <x v="3"/>
    <x v="420"/>
    <n v="13.13"/>
    <n v="3"/>
    <n v="4.2699999999999996"/>
    <x v="6"/>
    <x v="3"/>
  </r>
  <r>
    <n v="45496"/>
    <x v="352"/>
    <x v="18"/>
    <x v="0"/>
    <x v="4"/>
    <x v="1451"/>
    <n v="11.68"/>
    <n v="2"/>
    <n v="5.49"/>
    <x v="6"/>
    <x v="3"/>
  </r>
  <r>
    <n v="45496"/>
    <x v="352"/>
    <x v="18"/>
    <x v="2"/>
    <x v="9"/>
    <x v="1106"/>
    <n v="159.75"/>
    <n v="5"/>
    <n v="11.18"/>
    <x v="6"/>
    <x v="3"/>
  </r>
  <r>
    <n v="45496"/>
    <x v="382"/>
    <x v="20"/>
    <x v="0"/>
    <x v="1"/>
    <x v="1096"/>
    <n v="41.4"/>
    <n v="4"/>
    <n v="19.87"/>
    <x v="6"/>
    <x v="3"/>
  </r>
  <r>
    <n v="45496"/>
    <x v="39"/>
    <x v="20"/>
    <x v="0"/>
    <x v="3"/>
    <x v="1447"/>
    <n v="13.92"/>
    <n v="3"/>
    <n v="4.3499999999999996"/>
    <x v="6"/>
    <x v="3"/>
  </r>
  <r>
    <n v="45496"/>
    <x v="706"/>
    <x v="1"/>
    <x v="0"/>
    <x v="0"/>
    <x v="189"/>
    <n v="63.31"/>
    <n v="3"/>
    <n v="20.58"/>
    <x v="6"/>
    <x v="3"/>
  </r>
  <r>
    <n v="45496"/>
    <x v="675"/>
    <x v="21"/>
    <x v="2"/>
    <x v="9"/>
    <x v="102"/>
    <n v="399.95"/>
    <n v="5"/>
    <n v="143.97999999999999"/>
    <x v="6"/>
    <x v="3"/>
  </r>
  <r>
    <n v="45496"/>
    <x v="463"/>
    <x v="3"/>
    <x v="0"/>
    <x v="3"/>
    <x v="130"/>
    <n v="15.19"/>
    <n v="3"/>
    <n v="5.51"/>
    <x v="6"/>
    <x v="3"/>
  </r>
  <r>
    <n v="45496"/>
    <x v="463"/>
    <x v="3"/>
    <x v="0"/>
    <x v="0"/>
    <x v="381"/>
    <n v="58.32"/>
    <n v="9"/>
    <n v="27.99"/>
    <x v="6"/>
    <x v="3"/>
  </r>
  <r>
    <n v="45496"/>
    <x v="86"/>
    <x v="1"/>
    <x v="0"/>
    <x v="4"/>
    <x v="794"/>
    <n v="121.54"/>
    <n v="4"/>
    <n v="15.19"/>
    <x v="6"/>
    <x v="3"/>
  </r>
  <r>
    <n v="45497"/>
    <x v="535"/>
    <x v="3"/>
    <x v="2"/>
    <x v="16"/>
    <x v="377"/>
    <n v="2399.96"/>
    <n v="5"/>
    <n v="839.99"/>
    <x v="6"/>
    <x v="3"/>
  </r>
  <r>
    <n v="45498"/>
    <x v="745"/>
    <x v="19"/>
    <x v="0"/>
    <x v="1"/>
    <x v="1731"/>
    <n v="20.23"/>
    <n v="7"/>
    <n v="9.51"/>
    <x v="6"/>
    <x v="3"/>
  </r>
  <r>
    <n v="45498"/>
    <x v="118"/>
    <x v="2"/>
    <x v="0"/>
    <x v="1"/>
    <x v="1374"/>
    <n v="3.3"/>
    <n v="1"/>
    <n v="1.07"/>
    <x v="6"/>
    <x v="3"/>
  </r>
  <r>
    <n v="45498"/>
    <x v="405"/>
    <x v="2"/>
    <x v="1"/>
    <x v="8"/>
    <x v="1387"/>
    <n v="20.100000000000001"/>
    <n v="4"/>
    <n v="3.01"/>
    <x v="6"/>
    <x v="3"/>
  </r>
  <r>
    <n v="45498"/>
    <x v="405"/>
    <x v="2"/>
    <x v="0"/>
    <x v="14"/>
    <x v="1501"/>
    <n v="37.75"/>
    <n v="3"/>
    <n v="4.25"/>
    <x v="6"/>
    <x v="3"/>
  </r>
  <r>
    <n v="45498"/>
    <x v="405"/>
    <x v="2"/>
    <x v="1"/>
    <x v="13"/>
    <x v="1706"/>
    <n v="138.59"/>
    <n v="1"/>
    <n v="-34.65"/>
    <x v="6"/>
    <x v="3"/>
  </r>
  <r>
    <n v="45498"/>
    <x v="405"/>
    <x v="2"/>
    <x v="0"/>
    <x v="2"/>
    <x v="1567"/>
    <n v="259.92"/>
    <n v="5"/>
    <n v="-25.99"/>
    <x v="6"/>
    <x v="3"/>
  </r>
  <r>
    <n v="45498"/>
    <x v="405"/>
    <x v="2"/>
    <x v="0"/>
    <x v="0"/>
    <x v="757"/>
    <n v="20.74"/>
    <n v="4"/>
    <n v="7.26"/>
    <x v="6"/>
    <x v="3"/>
  </r>
  <r>
    <n v="45498"/>
    <x v="726"/>
    <x v="0"/>
    <x v="1"/>
    <x v="13"/>
    <x v="618"/>
    <n v="298.12"/>
    <n v="6"/>
    <n v="-4.26"/>
    <x v="6"/>
    <x v="3"/>
  </r>
  <r>
    <n v="45499"/>
    <x v="434"/>
    <x v="3"/>
    <x v="2"/>
    <x v="9"/>
    <x v="1375"/>
    <n v="1649.95"/>
    <n v="5"/>
    <n v="659.98"/>
    <x v="6"/>
    <x v="3"/>
  </r>
  <r>
    <n v="45499"/>
    <x v="434"/>
    <x v="3"/>
    <x v="1"/>
    <x v="5"/>
    <x v="1022"/>
    <n v="362.35"/>
    <n v="3"/>
    <n v="45.29"/>
    <x v="6"/>
    <x v="3"/>
  </r>
  <r>
    <n v="45500"/>
    <x v="110"/>
    <x v="16"/>
    <x v="1"/>
    <x v="8"/>
    <x v="676"/>
    <n v="91.03"/>
    <n v="3"/>
    <n v="-2.2799999999999998"/>
    <x v="6"/>
    <x v="3"/>
  </r>
  <r>
    <n v="45500"/>
    <x v="784"/>
    <x v="20"/>
    <x v="1"/>
    <x v="8"/>
    <x v="630"/>
    <n v="14.89"/>
    <n v="1"/>
    <n v="4.0199999999999996"/>
    <x v="6"/>
    <x v="3"/>
  </r>
  <r>
    <n v="45500"/>
    <x v="784"/>
    <x v="20"/>
    <x v="2"/>
    <x v="6"/>
    <x v="418"/>
    <n v="543.91999999999996"/>
    <n v="8"/>
    <n v="135.97999999999999"/>
    <x v="6"/>
    <x v="3"/>
  </r>
  <r>
    <n v="45500"/>
    <x v="380"/>
    <x v="22"/>
    <x v="1"/>
    <x v="8"/>
    <x v="626"/>
    <n v="23.88"/>
    <n v="3"/>
    <n v="10.51"/>
    <x v="6"/>
    <x v="3"/>
  </r>
  <r>
    <n v="45500"/>
    <x v="380"/>
    <x v="22"/>
    <x v="0"/>
    <x v="0"/>
    <x v="521"/>
    <n v="26.2"/>
    <n v="4"/>
    <n v="12.05"/>
    <x v="6"/>
    <x v="3"/>
  </r>
  <r>
    <n v="45500"/>
    <x v="380"/>
    <x v="22"/>
    <x v="0"/>
    <x v="0"/>
    <x v="1444"/>
    <n v="12.96"/>
    <n v="2"/>
    <n v="6.22"/>
    <x v="6"/>
    <x v="3"/>
  </r>
  <r>
    <n v="45500"/>
    <x v="380"/>
    <x v="22"/>
    <x v="2"/>
    <x v="9"/>
    <x v="1685"/>
    <n v="234.95"/>
    <n v="5"/>
    <n v="32.89"/>
    <x v="6"/>
    <x v="3"/>
  </r>
  <r>
    <n v="45500"/>
    <x v="677"/>
    <x v="25"/>
    <x v="1"/>
    <x v="5"/>
    <x v="94"/>
    <n v="194.85"/>
    <n v="4"/>
    <n v="12.18"/>
    <x v="6"/>
    <x v="3"/>
  </r>
  <r>
    <n v="45501"/>
    <x v="719"/>
    <x v="3"/>
    <x v="0"/>
    <x v="3"/>
    <x v="253"/>
    <n v="9.98"/>
    <n v="4"/>
    <n v="3.62"/>
    <x v="6"/>
    <x v="3"/>
  </r>
  <r>
    <n v="45501"/>
    <x v="719"/>
    <x v="3"/>
    <x v="0"/>
    <x v="2"/>
    <x v="1677"/>
    <n v="14.98"/>
    <n v="1"/>
    <n v="4.1900000000000004"/>
    <x v="6"/>
    <x v="3"/>
  </r>
  <r>
    <n v="45501"/>
    <x v="719"/>
    <x v="3"/>
    <x v="2"/>
    <x v="6"/>
    <x v="387"/>
    <n v="1145.5999999999999"/>
    <n v="4"/>
    <n v="100.24"/>
    <x v="6"/>
    <x v="3"/>
  </r>
  <r>
    <n v="45502"/>
    <x v="643"/>
    <x v="25"/>
    <x v="0"/>
    <x v="12"/>
    <x v="1500"/>
    <n v="34.85"/>
    <n v="2"/>
    <n v="6.53"/>
    <x v="6"/>
    <x v="3"/>
  </r>
  <r>
    <n v="45502"/>
    <x v="643"/>
    <x v="25"/>
    <x v="2"/>
    <x v="6"/>
    <x v="1740"/>
    <n v="22"/>
    <n v="5"/>
    <n v="1.38"/>
    <x v="6"/>
    <x v="3"/>
  </r>
  <r>
    <n v="45502"/>
    <x v="643"/>
    <x v="25"/>
    <x v="0"/>
    <x v="4"/>
    <x v="481"/>
    <n v="4.37"/>
    <n v="3"/>
    <n v="0.38"/>
    <x v="6"/>
    <x v="3"/>
  </r>
  <r>
    <n v="45502"/>
    <x v="60"/>
    <x v="22"/>
    <x v="2"/>
    <x v="9"/>
    <x v="1623"/>
    <n v="90.57"/>
    <n v="3"/>
    <n v="11.77"/>
    <x v="6"/>
    <x v="3"/>
  </r>
  <r>
    <n v="45502"/>
    <x v="174"/>
    <x v="0"/>
    <x v="0"/>
    <x v="7"/>
    <x v="1144"/>
    <n v="2.9"/>
    <n v="2"/>
    <n v="0.47"/>
    <x v="6"/>
    <x v="3"/>
  </r>
  <r>
    <n v="45502"/>
    <x v="174"/>
    <x v="0"/>
    <x v="2"/>
    <x v="6"/>
    <x v="1379"/>
    <n v="124.79"/>
    <n v="1"/>
    <n v="15.6"/>
    <x v="6"/>
    <x v="3"/>
  </r>
  <r>
    <n v="45502"/>
    <x v="95"/>
    <x v="20"/>
    <x v="0"/>
    <x v="4"/>
    <x v="470"/>
    <n v="60.12"/>
    <n v="9"/>
    <n v="22.24"/>
    <x v="6"/>
    <x v="3"/>
  </r>
  <r>
    <n v="45502"/>
    <x v="334"/>
    <x v="39"/>
    <x v="0"/>
    <x v="3"/>
    <x v="361"/>
    <n v="33.479999999999997"/>
    <n v="2"/>
    <n v="16.41"/>
    <x v="6"/>
    <x v="3"/>
  </r>
  <r>
    <n v="45502"/>
    <x v="334"/>
    <x v="39"/>
    <x v="2"/>
    <x v="6"/>
    <x v="855"/>
    <n v="461.97"/>
    <n v="3"/>
    <n v="133.97"/>
    <x v="6"/>
    <x v="3"/>
  </r>
  <r>
    <n v="45502"/>
    <x v="334"/>
    <x v="39"/>
    <x v="0"/>
    <x v="12"/>
    <x v="52"/>
    <n v="137.62"/>
    <n v="2"/>
    <n v="60.55"/>
    <x v="6"/>
    <x v="3"/>
  </r>
  <r>
    <n v="45502"/>
    <x v="334"/>
    <x v="39"/>
    <x v="1"/>
    <x v="5"/>
    <x v="946"/>
    <n v="302.67"/>
    <n v="3"/>
    <n v="72.64"/>
    <x v="6"/>
    <x v="3"/>
  </r>
  <r>
    <n v="45502"/>
    <x v="339"/>
    <x v="22"/>
    <x v="1"/>
    <x v="11"/>
    <x v="1419"/>
    <n v="115.96"/>
    <n v="2"/>
    <n v="25.51"/>
    <x v="6"/>
    <x v="3"/>
  </r>
  <r>
    <n v="45503"/>
    <x v="154"/>
    <x v="3"/>
    <x v="0"/>
    <x v="2"/>
    <x v="216"/>
    <n v="330.4"/>
    <n v="2"/>
    <n v="85.9"/>
    <x v="6"/>
    <x v="3"/>
  </r>
  <r>
    <n v="45503"/>
    <x v="154"/>
    <x v="3"/>
    <x v="0"/>
    <x v="1"/>
    <x v="85"/>
    <n v="26.25"/>
    <n v="7"/>
    <n v="12.6"/>
    <x v="6"/>
    <x v="3"/>
  </r>
  <r>
    <n v="45503"/>
    <x v="529"/>
    <x v="10"/>
    <x v="0"/>
    <x v="3"/>
    <x v="413"/>
    <n v="76.78"/>
    <n v="4"/>
    <n v="-53.74"/>
    <x v="6"/>
    <x v="3"/>
  </r>
  <r>
    <n v="45503"/>
    <x v="705"/>
    <x v="36"/>
    <x v="2"/>
    <x v="6"/>
    <x v="764"/>
    <n v="89.95"/>
    <n v="5"/>
    <n v="43.18"/>
    <x v="6"/>
    <x v="3"/>
  </r>
  <r>
    <n v="45504"/>
    <x v="400"/>
    <x v="2"/>
    <x v="0"/>
    <x v="0"/>
    <x v="1226"/>
    <n v="54.82"/>
    <n v="3"/>
    <n v="17.82"/>
    <x v="6"/>
    <x v="3"/>
  </r>
  <r>
    <n v="45504"/>
    <x v="469"/>
    <x v="16"/>
    <x v="2"/>
    <x v="9"/>
    <x v="1326"/>
    <n v="41.42"/>
    <n v="2"/>
    <n v="8.2799999999999994"/>
    <x v="6"/>
    <x v="3"/>
  </r>
  <r>
    <n v="45504"/>
    <x v="682"/>
    <x v="1"/>
    <x v="2"/>
    <x v="6"/>
    <x v="422"/>
    <n v="36.79"/>
    <n v="1"/>
    <n v="4.1399999999999997"/>
    <x v="6"/>
    <x v="3"/>
  </r>
  <r>
    <n v="45504"/>
    <x v="574"/>
    <x v="3"/>
    <x v="0"/>
    <x v="2"/>
    <x v="370"/>
    <n v="56.56"/>
    <n v="2"/>
    <n v="15.27"/>
    <x v="6"/>
    <x v="3"/>
  </r>
  <r>
    <n v="45504"/>
    <x v="574"/>
    <x v="3"/>
    <x v="1"/>
    <x v="8"/>
    <x v="984"/>
    <n v="36.96"/>
    <n v="7"/>
    <n v="11.46"/>
    <x v="6"/>
    <x v="3"/>
  </r>
  <r>
    <n v="45504"/>
    <x v="465"/>
    <x v="21"/>
    <x v="0"/>
    <x v="3"/>
    <x v="878"/>
    <n v="17.52"/>
    <n v="4"/>
    <n v="8.41"/>
    <x v="6"/>
    <x v="3"/>
  </r>
  <r>
    <n v="45504"/>
    <x v="465"/>
    <x v="21"/>
    <x v="0"/>
    <x v="12"/>
    <x v="1601"/>
    <n v="155.88"/>
    <n v="6"/>
    <n v="54.56"/>
    <x v="6"/>
    <x v="3"/>
  </r>
  <r>
    <n v="45504"/>
    <x v="193"/>
    <x v="2"/>
    <x v="2"/>
    <x v="6"/>
    <x v="996"/>
    <n v="285.58"/>
    <n v="4"/>
    <n v="-57.12"/>
    <x v="6"/>
    <x v="3"/>
  </r>
  <r>
    <n v="45504"/>
    <x v="162"/>
    <x v="7"/>
    <x v="0"/>
    <x v="0"/>
    <x v="1593"/>
    <n v="11.54"/>
    <n v="1"/>
    <n v="5.54"/>
    <x v="6"/>
    <x v="3"/>
  </r>
  <r>
    <n v="45504"/>
    <x v="162"/>
    <x v="7"/>
    <x v="0"/>
    <x v="3"/>
    <x v="313"/>
    <n v="849.95"/>
    <n v="5"/>
    <n v="390.98"/>
    <x v="6"/>
    <x v="3"/>
  </r>
  <r>
    <n v="45504"/>
    <x v="162"/>
    <x v="7"/>
    <x v="0"/>
    <x v="3"/>
    <x v="1239"/>
    <n v="11.01"/>
    <n v="3"/>
    <n v="5.39"/>
    <x v="6"/>
    <x v="3"/>
  </r>
  <r>
    <n v="45505"/>
    <x v="372"/>
    <x v="1"/>
    <x v="2"/>
    <x v="6"/>
    <x v="784"/>
    <n v="95.98"/>
    <n v="2"/>
    <n v="6"/>
    <x v="7"/>
    <x v="3"/>
  </r>
  <r>
    <n v="45505"/>
    <x v="420"/>
    <x v="25"/>
    <x v="2"/>
    <x v="6"/>
    <x v="418"/>
    <n v="271.95999999999998"/>
    <n v="5"/>
    <n v="17"/>
    <x v="7"/>
    <x v="3"/>
  </r>
  <r>
    <n v="45505"/>
    <x v="322"/>
    <x v="0"/>
    <x v="2"/>
    <x v="15"/>
    <x v="1229"/>
    <n v="1439.98"/>
    <n v="3"/>
    <n v="-264"/>
    <x v="7"/>
    <x v="3"/>
  </r>
  <r>
    <n v="45505"/>
    <x v="322"/>
    <x v="0"/>
    <x v="0"/>
    <x v="0"/>
    <x v="1826"/>
    <n v="36.29"/>
    <n v="7"/>
    <n v="12.7"/>
    <x v="7"/>
    <x v="3"/>
  </r>
  <r>
    <n v="45505"/>
    <x v="252"/>
    <x v="3"/>
    <x v="0"/>
    <x v="3"/>
    <x v="213"/>
    <n v="54.9"/>
    <n v="2"/>
    <n v="18.53"/>
    <x v="7"/>
    <x v="3"/>
  </r>
  <r>
    <n v="45505"/>
    <x v="699"/>
    <x v="3"/>
    <x v="0"/>
    <x v="2"/>
    <x v="892"/>
    <n v="186.54"/>
    <n v="3"/>
    <n v="50.37"/>
    <x v="7"/>
    <x v="3"/>
  </r>
  <r>
    <n v="45507"/>
    <x v="693"/>
    <x v="1"/>
    <x v="1"/>
    <x v="11"/>
    <x v="28"/>
    <n v="183.37"/>
    <n v="2"/>
    <n v="-36.67"/>
    <x v="7"/>
    <x v="3"/>
  </r>
  <r>
    <n v="45507"/>
    <x v="664"/>
    <x v="3"/>
    <x v="0"/>
    <x v="1"/>
    <x v="1655"/>
    <n v="51.75"/>
    <n v="5"/>
    <n v="24.84"/>
    <x v="7"/>
    <x v="3"/>
  </r>
  <r>
    <n v="45507"/>
    <x v="664"/>
    <x v="3"/>
    <x v="1"/>
    <x v="8"/>
    <x v="392"/>
    <n v="123.96"/>
    <n v="3"/>
    <n v="11.16"/>
    <x v="7"/>
    <x v="3"/>
  </r>
  <r>
    <n v="45507"/>
    <x v="208"/>
    <x v="3"/>
    <x v="0"/>
    <x v="2"/>
    <x v="53"/>
    <n v="99.87"/>
    <n v="3"/>
    <n v="23.97"/>
    <x v="7"/>
    <x v="3"/>
  </r>
  <r>
    <n v="45507"/>
    <x v="579"/>
    <x v="1"/>
    <x v="2"/>
    <x v="9"/>
    <x v="1487"/>
    <n v="39.82"/>
    <n v="3"/>
    <n v="7.47"/>
    <x v="7"/>
    <x v="3"/>
  </r>
  <r>
    <n v="45507"/>
    <x v="759"/>
    <x v="22"/>
    <x v="0"/>
    <x v="2"/>
    <x v="969"/>
    <n v="16.059999999999999"/>
    <n v="1"/>
    <n v="4.18"/>
    <x v="7"/>
    <x v="3"/>
  </r>
  <r>
    <n v="45507"/>
    <x v="764"/>
    <x v="10"/>
    <x v="0"/>
    <x v="1"/>
    <x v="218"/>
    <n v="16.52"/>
    <n v="5"/>
    <n v="5.37"/>
    <x v="7"/>
    <x v="3"/>
  </r>
  <r>
    <n v="45508"/>
    <x v="312"/>
    <x v="26"/>
    <x v="0"/>
    <x v="0"/>
    <x v="1074"/>
    <n v="7.97"/>
    <n v="2"/>
    <n v="2.89"/>
    <x v="7"/>
    <x v="3"/>
  </r>
  <r>
    <n v="45508"/>
    <x v="312"/>
    <x v="26"/>
    <x v="0"/>
    <x v="10"/>
    <x v="1690"/>
    <n v="8.7799999999999994"/>
    <n v="1"/>
    <n v="3.18"/>
    <x v="7"/>
    <x v="3"/>
  </r>
  <r>
    <n v="45508"/>
    <x v="312"/>
    <x v="0"/>
    <x v="0"/>
    <x v="3"/>
    <x v="82"/>
    <n v="3.32"/>
    <n v="3"/>
    <n v="-5.64"/>
    <x v="7"/>
    <x v="3"/>
  </r>
  <r>
    <n v="45509"/>
    <x v="203"/>
    <x v="5"/>
    <x v="0"/>
    <x v="0"/>
    <x v="1589"/>
    <n v="13.76"/>
    <n v="2"/>
    <n v="6.33"/>
    <x v="7"/>
    <x v="3"/>
  </r>
  <r>
    <n v="45509"/>
    <x v="327"/>
    <x v="0"/>
    <x v="0"/>
    <x v="2"/>
    <x v="1271"/>
    <n v="151.06"/>
    <n v="9"/>
    <n v="7.55"/>
    <x v="7"/>
    <x v="3"/>
  </r>
  <r>
    <n v="45509"/>
    <x v="99"/>
    <x v="18"/>
    <x v="0"/>
    <x v="3"/>
    <x v="702"/>
    <n v="125.88"/>
    <n v="6"/>
    <n v="60.42"/>
    <x v="7"/>
    <x v="3"/>
  </r>
  <r>
    <n v="45509"/>
    <x v="99"/>
    <x v="18"/>
    <x v="2"/>
    <x v="9"/>
    <x v="1617"/>
    <n v="79.78"/>
    <n v="2"/>
    <n v="29.52"/>
    <x v="7"/>
    <x v="3"/>
  </r>
  <r>
    <n v="45509"/>
    <x v="99"/>
    <x v="18"/>
    <x v="0"/>
    <x v="1"/>
    <x v="983"/>
    <n v="133.19999999999999"/>
    <n v="9"/>
    <n v="66.599999999999994"/>
    <x v="7"/>
    <x v="3"/>
  </r>
  <r>
    <n v="45510"/>
    <x v="9"/>
    <x v="8"/>
    <x v="1"/>
    <x v="11"/>
    <x v="683"/>
    <n v="145.74"/>
    <n v="3"/>
    <n v="23.32"/>
    <x v="7"/>
    <x v="3"/>
  </r>
  <r>
    <n v="45510"/>
    <x v="9"/>
    <x v="8"/>
    <x v="1"/>
    <x v="8"/>
    <x v="895"/>
    <n v="15.4"/>
    <n v="5"/>
    <n v="7.39"/>
    <x v="7"/>
    <x v="3"/>
  </r>
  <r>
    <n v="45510"/>
    <x v="735"/>
    <x v="0"/>
    <x v="0"/>
    <x v="0"/>
    <x v="1747"/>
    <n v="115.3"/>
    <n v="3"/>
    <n v="40.35"/>
    <x v="7"/>
    <x v="3"/>
  </r>
  <r>
    <n v="45510"/>
    <x v="146"/>
    <x v="38"/>
    <x v="2"/>
    <x v="6"/>
    <x v="1432"/>
    <n v="824.95"/>
    <n v="5"/>
    <n v="247.49"/>
    <x v="7"/>
    <x v="3"/>
  </r>
  <r>
    <n v="45510"/>
    <x v="146"/>
    <x v="38"/>
    <x v="0"/>
    <x v="1"/>
    <x v="360"/>
    <n v="24.64"/>
    <n v="8"/>
    <n v="11.83"/>
    <x v="7"/>
    <x v="3"/>
  </r>
  <r>
    <n v="45510"/>
    <x v="146"/>
    <x v="38"/>
    <x v="0"/>
    <x v="4"/>
    <x v="794"/>
    <n v="227.88"/>
    <n v="6"/>
    <n v="68.36"/>
    <x v="7"/>
    <x v="3"/>
  </r>
  <r>
    <n v="45510"/>
    <x v="489"/>
    <x v="20"/>
    <x v="0"/>
    <x v="14"/>
    <x v="1342"/>
    <n v="70.12"/>
    <n v="4"/>
    <n v="21.04"/>
    <x v="7"/>
    <x v="3"/>
  </r>
  <r>
    <n v="45511"/>
    <x v="667"/>
    <x v="25"/>
    <x v="2"/>
    <x v="9"/>
    <x v="671"/>
    <n v="79.989999999999995"/>
    <n v="1"/>
    <n v="22"/>
    <x v="7"/>
    <x v="3"/>
  </r>
  <r>
    <n v="45511"/>
    <x v="677"/>
    <x v="20"/>
    <x v="0"/>
    <x v="4"/>
    <x v="1451"/>
    <n v="11.68"/>
    <n v="2"/>
    <n v="5.49"/>
    <x v="7"/>
    <x v="3"/>
  </r>
  <r>
    <n v="45511"/>
    <x v="677"/>
    <x v="20"/>
    <x v="0"/>
    <x v="4"/>
    <x v="108"/>
    <n v="104.8"/>
    <n v="10"/>
    <n v="26.2"/>
    <x v="7"/>
    <x v="3"/>
  </r>
  <r>
    <n v="45511"/>
    <x v="144"/>
    <x v="3"/>
    <x v="2"/>
    <x v="6"/>
    <x v="577"/>
    <n v="159.96"/>
    <n v="5"/>
    <n v="18"/>
    <x v="7"/>
    <x v="3"/>
  </r>
  <r>
    <n v="45511"/>
    <x v="144"/>
    <x v="3"/>
    <x v="0"/>
    <x v="3"/>
    <x v="1513"/>
    <n v="13.76"/>
    <n v="2"/>
    <n v="4.6399999999999997"/>
    <x v="7"/>
    <x v="3"/>
  </r>
  <r>
    <n v="45511"/>
    <x v="204"/>
    <x v="28"/>
    <x v="2"/>
    <x v="9"/>
    <x v="632"/>
    <n v="63.96"/>
    <n v="4"/>
    <n v="19.829999999999998"/>
    <x v="7"/>
    <x v="3"/>
  </r>
  <r>
    <n v="45511"/>
    <x v="550"/>
    <x v="3"/>
    <x v="0"/>
    <x v="0"/>
    <x v="141"/>
    <n v="244.55"/>
    <n v="5"/>
    <n v="114.94"/>
    <x v="7"/>
    <x v="3"/>
  </r>
  <r>
    <n v="45511"/>
    <x v="74"/>
    <x v="0"/>
    <x v="2"/>
    <x v="9"/>
    <x v="1526"/>
    <n v="119.45"/>
    <n v="3"/>
    <n v="-13.44"/>
    <x v="7"/>
    <x v="3"/>
  </r>
  <r>
    <n v="45511"/>
    <x v="74"/>
    <x v="0"/>
    <x v="0"/>
    <x v="2"/>
    <x v="1191"/>
    <n v="118.16"/>
    <n v="2"/>
    <n v="-25.11"/>
    <x v="7"/>
    <x v="3"/>
  </r>
  <r>
    <n v="45511"/>
    <x v="506"/>
    <x v="3"/>
    <x v="2"/>
    <x v="6"/>
    <x v="173"/>
    <n v="707.88"/>
    <n v="3"/>
    <n v="44.24"/>
    <x v="7"/>
    <x v="3"/>
  </r>
  <r>
    <n v="45511"/>
    <x v="506"/>
    <x v="3"/>
    <x v="0"/>
    <x v="3"/>
    <x v="547"/>
    <n v="11.95"/>
    <n v="3"/>
    <n v="4.18"/>
    <x v="7"/>
    <x v="3"/>
  </r>
  <r>
    <n v="45511"/>
    <x v="506"/>
    <x v="3"/>
    <x v="0"/>
    <x v="3"/>
    <x v="1827"/>
    <n v="31.13"/>
    <n v="3"/>
    <n v="11.67"/>
    <x v="7"/>
    <x v="3"/>
  </r>
  <r>
    <n v="45511"/>
    <x v="506"/>
    <x v="3"/>
    <x v="2"/>
    <x v="9"/>
    <x v="1734"/>
    <n v="55.76"/>
    <n v="4"/>
    <n v="7.81"/>
    <x v="7"/>
    <x v="3"/>
  </r>
  <r>
    <n v="45511"/>
    <x v="506"/>
    <x v="3"/>
    <x v="0"/>
    <x v="0"/>
    <x v="572"/>
    <n v="24.56"/>
    <n v="2"/>
    <n v="11.54"/>
    <x v="7"/>
    <x v="3"/>
  </r>
  <r>
    <n v="45511"/>
    <x v="506"/>
    <x v="3"/>
    <x v="1"/>
    <x v="8"/>
    <x v="1412"/>
    <n v="51.75"/>
    <n v="1"/>
    <n v="15.53"/>
    <x v="7"/>
    <x v="3"/>
  </r>
  <r>
    <n v="45511"/>
    <x v="506"/>
    <x v="3"/>
    <x v="1"/>
    <x v="5"/>
    <x v="1828"/>
    <n v="207.18"/>
    <n v="1"/>
    <n v="25.9"/>
    <x v="7"/>
    <x v="3"/>
  </r>
  <r>
    <n v="45511"/>
    <x v="506"/>
    <x v="3"/>
    <x v="0"/>
    <x v="12"/>
    <x v="133"/>
    <n v="1473.1"/>
    <n v="5"/>
    <n v="412.47"/>
    <x v="7"/>
    <x v="3"/>
  </r>
  <r>
    <n v="45514"/>
    <x v="325"/>
    <x v="18"/>
    <x v="0"/>
    <x v="10"/>
    <x v="21"/>
    <n v="70.08"/>
    <n v="6"/>
    <n v="35.04"/>
    <x v="7"/>
    <x v="3"/>
  </r>
  <r>
    <n v="45514"/>
    <x v="325"/>
    <x v="18"/>
    <x v="1"/>
    <x v="8"/>
    <x v="339"/>
    <n v="121.3"/>
    <n v="2"/>
    <n v="25.47"/>
    <x v="7"/>
    <x v="3"/>
  </r>
  <r>
    <n v="45514"/>
    <x v="325"/>
    <x v="18"/>
    <x v="2"/>
    <x v="6"/>
    <x v="86"/>
    <n v="1454.49"/>
    <n v="9"/>
    <n v="378.17"/>
    <x v="7"/>
    <x v="3"/>
  </r>
  <r>
    <n v="45514"/>
    <x v="571"/>
    <x v="18"/>
    <x v="0"/>
    <x v="0"/>
    <x v="1195"/>
    <n v="177.2"/>
    <n v="5"/>
    <n v="83.28"/>
    <x v="7"/>
    <x v="3"/>
  </r>
  <r>
    <n v="45515"/>
    <x v="472"/>
    <x v="0"/>
    <x v="0"/>
    <x v="0"/>
    <x v="1032"/>
    <n v="29.66"/>
    <n v="4"/>
    <n v="10.01"/>
    <x v="7"/>
    <x v="3"/>
  </r>
  <r>
    <n v="45515"/>
    <x v="472"/>
    <x v="0"/>
    <x v="0"/>
    <x v="4"/>
    <x v="543"/>
    <n v="9.18"/>
    <n v="7"/>
    <n v="2.87"/>
    <x v="7"/>
    <x v="3"/>
  </r>
  <r>
    <n v="45515"/>
    <x v="472"/>
    <x v="0"/>
    <x v="2"/>
    <x v="6"/>
    <x v="307"/>
    <n v="153.58000000000001"/>
    <n v="2"/>
    <n v="13.44"/>
    <x v="7"/>
    <x v="3"/>
  </r>
  <r>
    <n v="45515"/>
    <x v="472"/>
    <x v="0"/>
    <x v="0"/>
    <x v="3"/>
    <x v="274"/>
    <n v="12.86"/>
    <n v="8"/>
    <n v="-22.51"/>
    <x v="7"/>
    <x v="3"/>
  </r>
  <r>
    <n v="45515"/>
    <x v="108"/>
    <x v="8"/>
    <x v="0"/>
    <x v="3"/>
    <x v="715"/>
    <n v="477.51"/>
    <n v="11"/>
    <n v="219.65"/>
    <x v="7"/>
    <x v="3"/>
  </r>
  <r>
    <n v="45515"/>
    <x v="694"/>
    <x v="20"/>
    <x v="0"/>
    <x v="0"/>
    <x v="291"/>
    <n v="25.92"/>
    <n v="4"/>
    <n v="12.44"/>
    <x v="7"/>
    <x v="3"/>
  </r>
  <r>
    <n v="45516"/>
    <x v="356"/>
    <x v="16"/>
    <x v="0"/>
    <x v="0"/>
    <x v="768"/>
    <n v="20.74"/>
    <n v="4"/>
    <n v="7.26"/>
    <x v="7"/>
    <x v="3"/>
  </r>
  <r>
    <n v="45516"/>
    <x v="176"/>
    <x v="3"/>
    <x v="0"/>
    <x v="12"/>
    <x v="1178"/>
    <n v="542.94000000000005"/>
    <n v="3"/>
    <n v="152.02000000000001"/>
    <x v="7"/>
    <x v="3"/>
  </r>
  <r>
    <n v="45516"/>
    <x v="176"/>
    <x v="3"/>
    <x v="1"/>
    <x v="8"/>
    <x v="211"/>
    <n v="54.92"/>
    <n v="4"/>
    <n v="19.77"/>
    <x v="7"/>
    <x v="3"/>
  </r>
  <r>
    <n v="45516"/>
    <x v="653"/>
    <x v="36"/>
    <x v="0"/>
    <x v="4"/>
    <x v="16"/>
    <n v="17.52"/>
    <n v="3"/>
    <n v="5.26"/>
    <x v="7"/>
    <x v="3"/>
  </r>
  <r>
    <n v="45516"/>
    <x v="653"/>
    <x v="36"/>
    <x v="1"/>
    <x v="5"/>
    <x v="47"/>
    <n v="1779.9"/>
    <n v="5"/>
    <n v="373.78"/>
    <x v="7"/>
    <x v="3"/>
  </r>
  <r>
    <n v="45516"/>
    <x v="653"/>
    <x v="36"/>
    <x v="0"/>
    <x v="4"/>
    <x v="487"/>
    <n v="219.9"/>
    <n v="5"/>
    <n v="59.37"/>
    <x v="7"/>
    <x v="3"/>
  </r>
  <r>
    <n v="45516"/>
    <x v="613"/>
    <x v="22"/>
    <x v="2"/>
    <x v="16"/>
    <x v="1478"/>
    <n v="299.99"/>
    <n v="1"/>
    <n v="90"/>
    <x v="7"/>
    <x v="3"/>
  </r>
  <r>
    <n v="45516"/>
    <x v="613"/>
    <x v="22"/>
    <x v="0"/>
    <x v="0"/>
    <x v="1362"/>
    <n v="192.16"/>
    <n v="4"/>
    <n v="92.24"/>
    <x v="7"/>
    <x v="3"/>
  </r>
  <r>
    <n v="45516"/>
    <x v="613"/>
    <x v="22"/>
    <x v="2"/>
    <x v="6"/>
    <x v="450"/>
    <n v="242.62"/>
    <n v="8"/>
    <n v="27.3"/>
    <x v="7"/>
    <x v="3"/>
  </r>
  <r>
    <n v="45516"/>
    <x v="613"/>
    <x v="22"/>
    <x v="0"/>
    <x v="2"/>
    <x v="1260"/>
    <n v="46.74"/>
    <n v="3"/>
    <n v="11.69"/>
    <x v="7"/>
    <x v="3"/>
  </r>
  <r>
    <n v="45516"/>
    <x v="613"/>
    <x v="22"/>
    <x v="2"/>
    <x v="9"/>
    <x v="1571"/>
    <n v="174.95"/>
    <n v="5"/>
    <n v="12.25"/>
    <x v="7"/>
    <x v="3"/>
  </r>
  <r>
    <n v="45516"/>
    <x v="613"/>
    <x v="22"/>
    <x v="0"/>
    <x v="3"/>
    <x v="778"/>
    <n v="100.7"/>
    <n v="6"/>
    <n v="37.76"/>
    <x v="7"/>
    <x v="3"/>
  </r>
  <r>
    <n v="45517"/>
    <x v="144"/>
    <x v="3"/>
    <x v="0"/>
    <x v="2"/>
    <x v="1462"/>
    <n v="31.44"/>
    <n v="3"/>
    <n v="8.49"/>
    <x v="7"/>
    <x v="3"/>
  </r>
  <r>
    <n v="45517"/>
    <x v="144"/>
    <x v="3"/>
    <x v="0"/>
    <x v="12"/>
    <x v="394"/>
    <n v="83.79"/>
    <n v="7"/>
    <n v="22.62"/>
    <x v="7"/>
    <x v="3"/>
  </r>
  <r>
    <n v="45517"/>
    <x v="144"/>
    <x v="3"/>
    <x v="0"/>
    <x v="4"/>
    <x v="137"/>
    <n v="59.52"/>
    <n v="3"/>
    <n v="15.48"/>
    <x v="7"/>
    <x v="3"/>
  </r>
  <r>
    <n v="45517"/>
    <x v="144"/>
    <x v="3"/>
    <x v="0"/>
    <x v="14"/>
    <x v="488"/>
    <n v="31.92"/>
    <n v="4"/>
    <n v="9.26"/>
    <x v="7"/>
    <x v="3"/>
  </r>
  <r>
    <n v="45517"/>
    <x v="435"/>
    <x v="2"/>
    <x v="0"/>
    <x v="1"/>
    <x v="1323"/>
    <n v="17.54"/>
    <n v="3"/>
    <n v="5.92"/>
    <x v="7"/>
    <x v="3"/>
  </r>
  <r>
    <n v="45517"/>
    <x v="521"/>
    <x v="3"/>
    <x v="0"/>
    <x v="3"/>
    <x v="520"/>
    <n v="36.020000000000003"/>
    <n v="3"/>
    <n v="11.71"/>
    <x v="7"/>
    <x v="3"/>
  </r>
  <r>
    <n v="45517"/>
    <x v="284"/>
    <x v="15"/>
    <x v="0"/>
    <x v="12"/>
    <x v="1167"/>
    <n v="272.05"/>
    <n v="7"/>
    <n v="30.61"/>
    <x v="7"/>
    <x v="3"/>
  </r>
  <r>
    <n v="45517"/>
    <x v="284"/>
    <x v="15"/>
    <x v="0"/>
    <x v="3"/>
    <x v="717"/>
    <n v="1614.58"/>
    <n v="6"/>
    <n v="-1237.8499999999999"/>
    <x v="7"/>
    <x v="3"/>
  </r>
  <r>
    <n v="45517"/>
    <x v="284"/>
    <x v="15"/>
    <x v="0"/>
    <x v="7"/>
    <x v="78"/>
    <n v="24.32"/>
    <n v="5"/>
    <n v="9.1199999999999992"/>
    <x v="7"/>
    <x v="3"/>
  </r>
  <r>
    <n v="45517"/>
    <x v="284"/>
    <x v="15"/>
    <x v="2"/>
    <x v="9"/>
    <x v="589"/>
    <n v="1.58"/>
    <n v="2"/>
    <n v="0.48"/>
    <x v="7"/>
    <x v="3"/>
  </r>
  <r>
    <n v="45517"/>
    <x v="284"/>
    <x v="15"/>
    <x v="1"/>
    <x v="8"/>
    <x v="1098"/>
    <n v="31.98"/>
    <n v="1"/>
    <n v="0"/>
    <x v="7"/>
    <x v="3"/>
  </r>
  <r>
    <n v="45517"/>
    <x v="284"/>
    <x v="15"/>
    <x v="0"/>
    <x v="10"/>
    <x v="822"/>
    <n v="14.76"/>
    <n v="5"/>
    <n v="4.8"/>
    <x v="7"/>
    <x v="3"/>
  </r>
  <r>
    <n v="45517"/>
    <x v="284"/>
    <x v="15"/>
    <x v="1"/>
    <x v="5"/>
    <x v="1528"/>
    <n v="423.65"/>
    <n v="2"/>
    <n v="47.66"/>
    <x v="7"/>
    <x v="3"/>
  </r>
  <r>
    <n v="45518"/>
    <x v="377"/>
    <x v="3"/>
    <x v="0"/>
    <x v="1"/>
    <x v="349"/>
    <n v="5.76"/>
    <n v="2"/>
    <n v="2.82"/>
    <x v="7"/>
    <x v="3"/>
  </r>
  <r>
    <n v="45518"/>
    <x v="377"/>
    <x v="3"/>
    <x v="0"/>
    <x v="4"/>
    <x v="1785"/>
    <n v="16.68"/>
    <n v="6"/>
    <n v="4.34"/>
    <x v="7"/>
    <x v="3"/>
  </r>
  <r>
    <n v="45518"/>
    <x v="744"/>
    <x v="3"/>
    <x v="1"/>
    <x v="13"/>
    <x v="1348"/>
    <n v="418.3"/>
    <n v="3"/>
    <n v="5.23"/>
    <x v="7"/>
    <x v="3"/>
  </r>
  <r>
    <n v="45519"/>
    <x v="229"/>
    <x v="23"/>
    <x v="0"/>
    <x v="12"/>
    <x v="155"/>
    <n v="97.84"/>
    <n v="2"/>
    <n v="25.44"/>
    <x v="7"/>
    <x v="3"/>
  </r>
  <r>
    <n v="45519"/>
    <x v="729"/>
    <x v="2"/>
    <x v="0"/>
    <x v="2"/>
    <x v="694"/>
    <n v="1801.63"/>
    <n v="6"/>
    <n v="-337.81"/>
    <x v="7"/>
    <x v="3"/>
  </r>
  <r>
    <n v="45519"/>
    <x v="731"/>
    <x v="28"/>
    <x v="0"/>
    <x v="1"/>
    <x v="131"/>
    <n v="50.4"/>
    <n v="8"/>
    <n v="23.18"/>
    <x v="7"/>
    <x v="3"/>
  </r>
  <r>
    <n v="45520"/>
    <x v="605"/>
    <x v="15"/>
    <x v="0"/>
    <x v="3"/>
    <x v="1171"/>
    <n v="13.43"/>
    <n v="3"/>
    <n v="-11.19"/>
    <x v="7"/>
    <x v="3"/>
  </r>
  <r>
    <n v="45520"/>
    <x v="605"/>
    <x v="15"/>
    <x v="0"/>
    <x v="2"/>
    <x v="1019"/>
    <n v="67.14"/>
    <n v="4"/>
    <n v="-0.84"/>
    <x v="7"/>
    <x v="3"/>
  </r>
  <r>
    <n v="45521"/>
    <x v="150"/>
    <x v="20"/>
    <x v="0"/>
    <x v="3"/>
    <x v="57"/>
    <n v="895.92"/>
    <n v="5"/>
    <n v="302.37"/>
    <x v="7"/>
    <x v="3"/>
  </r>
  <r>
    <n v="45521"/>
    <x v="150"/>
    <x v="20"/>
    <x v="1"/>
    <x v="5"/>
    <x v="435"/>
    <n v="462.56"/>
    <n v="2"/>
    <n v="97.65"/>
    <x v="7"/>
    <x v="3"/>
  </r>
  <r>
    <n v="45521"/>
    <x v="303"/>
    <x v="5"/>
    <x v="0"/>
    <x v="3"/>
    <x v="213"/>
    <n v="102.93"/>
    <n v="3"/>
    <n v="48.38"/>
    <x v="7"/>
    <x v="3"/>
  </r>
  <r>
    <n v="45521"/>
    <x v="303"/>
    <x v="5"/>
    <x v="2"/>
    <x v="9"/>
    <x v="665"/>
    <n v="98.16"/>
    <n v="6"/>
    <n v="9.82"/>
    <x v="7"/>
    <x v="3"/>
  </r>
  <r>
    <n v="45521"/>
    <x v="341"/>
    <x v="0"/>
    <x v="0"/>
    <x v="14"/>
    <x v="700"/>
    <n v="5.55"/>
    <n v="2"/>
    <n v="-1.04"/>
    <x v="7"/>
    <x v="3"/>
  </r>
  <r>
    <n v="45521"/>
    <x v="341"/>
    <x v="0"/>
    <x v="0"/>
    <x v="4"/>
    <x v="191"/>
    <n v="8.02"/>
    <n v="3"/>
    <n v="1"/>
    <x v="7"/>
    <x v="3"/>
  </r>
  <r>
    <n v="45521"/>
    <x v="341"/>
    <x v="0"/>
    <x v="1"/>
    <x v="5"/>
    <x v="1047"/>
    <n v="74.59"/>
    <n v="4"/>
    <n v="-2.13"/>
    <x v="7"/>
    <x v="3"/>
  </r>
  <r>
    <n v="45521"/>
    <x v="341"/>
    <x v="0"/>
    <x v="1"/>
    <x v="8"/>
    <x v="1251"/>
    <n v="16.78"/>
    <n v="2"/>
    <n v="-22.24"/>
    <x v="7"/>
    <x v="3"/>
  </r>
  <r>
    <n v="45521"/>
    <x v="341"/>
    <x v="0"/>
    <x v="0"/>
    <x v="12"/>
    <x v="1167"/>
    <n v="38.86"/>
    <n v="4"/>
    <n v="-99.1"/>
    <x v="7"/>
    <x v="3"/>
  </r>
  <r>
    <n v="45521"/>
    <x v="717"/>
    <x v="2"/>
    <x v="1"/>
    <x v="5"/>
    <x v="599"/>
    <n v="4416.17"/>
    <n v="9"/>
    <n v="-630.88"/>
    <x v="7"/>
    <x v="3"/>
  </r>
  <r>
    <n v="45521"/>
    <x v="602"/>
    <x v="3"/>
    <x v="0"/>
    <x v="10"/>
    <x v="21"/>
    <n v="23.36"/>
    <n v="2"/>
    <n v="11.68"/>
    <x v="7"/>
    <x v="3"/>
  </r>
  <r>
    <n v="45521"/>
    <x v="602"/>
    <x v="3"/>
    <x v="2"/>
    <x v="6"/>
    <x v="1511"/>
    <n v="71.98"/>
    <n v="3"/>
    <n v="9"/>
    <x v="7"/>
    <x v="3"/>
  </r>
  <r>
    <n v="45521"/>
    <x v="602"/>
    <x v="3"/>
    <x v="0"/>
    <x v="0"/>
    <x v="1351"/>
    <n v="8.56"/>
    <n v="2"/>
    <n v="3.85"/>
    <x v="7"/>
    <x v="3"/>
  </r>
  <r>
    <n v="45521"/>
    <x v="602"/>
    <x v="3"/>
    <x v="0"/>
    <x v="3"/>
    <x v="541"/>
    <n v="13.92"/>
    <n v="3"/>
    <n v="4.87"/>
    <x v="7"/>
    <x v="3"/>
  </r>
  <r>
    <n v="45521"/>
    <x v="602"/>
    <x v="3"/>
    <x v="0"/>
    <x v="12"/>
    <x v="1712"/>
    <n v="2518.29"/>
    <n v="9"/>
    <n v="654.76"/>
    <x v="7"/>
    <x v="3"/>
  </r>
  <r>
    <n v="45521"/>
    <x v="602"/>
    <x v="3"/>
    <x v="0"/>
    <x v="2"/>
    <x v="1126"/>
    <n v="540.57000000000005"/>
    <n v="3"/>
    <n v="140.55000000000001"/>
    <x v="7"/>
    <x v="3"/>
  </r>
  <r>
    <n v="45521"/>
    <x v="602"/>
    <x v="3"/>
    <x v="0"/>
    <x v="3"/>
    <x v="83"/>
    <n v="221.06"/>
    <n v="8"/>
    <n v="77.37"/>
    <x v="7"/>
    <x v="3"/>
  </r>
  <r>
    <n v="45522"/>
    <x v="537"/>
    <x v="20"/>
    <x v="1"/>
    <x v="8"/>
    <x v="1115"/>
    <n v="40.479999999999997"/>
    <n v="2"/>
    <n v="15.79"/>
    <x v="7"/>
    <x v="3"/>
  </r>
  <r>
    <n v="45522"/>
    <x v="537"/>
    <x v="20"/>
    <x v="1"/>
    <x v="8"/>
    <x v="20"/>
    <n v="9.94"/>
    <n v="2"/>
    <n v="3.08"/>
    <x v="7"/>
    <x v="3"/>
  </r>
  <r>
    <n v="45522"/>
    <x v="537"/>
    <x v="20"/>
    <x v="0"/>
    <x v="3"/>
    <x v="1171"/>
    <n v="107.42"/>
    <n v="9"/>
    <n v="33.57"/>
    <x v="7"/>
    <x v="3"/>
  </r>
  <r>
    <n v="45522"/>
    <x v="537"/>
    <x v="20"/>
    <x v="2"/>
    <x v="6"/>
    <x v="450"/>
    <n v="37.909999999999997"/>
    <n v="1"/>
    <n v="10.99"/>
    <x v="7"/>
    <x v="3"/>
  </r>
  <r>
    <n v="45522"/>
    <x v="537"/>
    <x v="20"/>
    <x v="1"/>
    <x v="8"/>
    <x v="896"/>
    <n v="88.02"/>
    <n v="3"/>
    <n v="27.29"/>
    <x v="7"/>
    <x v="3"/>
  </r>
  <r>
    <n v="45522"/>
    <x v="277"/>
    <x v="0"/>
    <x v="0"/>
    <x v="2"/>
    <x v="451"/>
    <n v="200.06"/>
    <n v="3"/>
    <n v="12.5"/>
    <x v="7"/>
    <x v="3"/>
  </r>
  <r>
    <n v="45522"/>
    <x v="277"/>
    <x v="0"/>
    <x v="0"/>
    <x v="3"/>
    <x v="583"/>
    <n v="21.38"/>
    <n v="5"/>
    <n v="-33.14"/>
    <x v="7"/>
    <x v="3"/>
  </r>
  <r>
    <n v="45522"/>
    <x v="277"/>
    <x v="0"/>
    <x v="0"/>
    <x v="3"/>
    <x v="250"/>
    <n v="6.74"/>
    <n v="4"/>
    <n v="-11.46"/>
    <x v="7"/>
    <x v="3"/>
  </r>
  <r>
    <n v="45522"/>
    <x v="155"/>
    <x v="22"/>
    <x v="0"/>
    <x v="2"/>
    <x v="899"/>
    <n v="323.10000000000002"/>
    <n v="2"/>
    <n v="61.39"/>
    <x v="7"/>
    <x v="3"/>
  </r>
  <r>
    <n v="45522"/>
    <x v="698"/>
    <x v="22"/>
    <x v="2"/>
    <x v="9"/>
    <x v="1208"/>
    <n v="843.9"/>
    <n v="2"/>
    <n v="371.32"/>
    <x v="7"/>
    <x v="3"/>
  </r>
  <r>
    <n v="45522"/>
    <x v="698"/>
    <x v="22"/>
    <x v="2"/>
    <x v="9"/>
    <x v="1281"/>
    <n v="1496.16"/>
    <n v="9"/>
    <n v="224.42"/>
    <x v="7"/>
    <x v="3"/>
  </r>
  <r>
    <n v="45522"/>
    <x v="598"/>
    <x v="22"/>
    <x v="0"/>
    <x v="3"/>
    <x v="411"/>
    <n v="2793.53"/>
    <n v="9"/>
    <n v="942.82"/>
    <x v="7"/>
    <x v="3"/>
  </r>
  <r>
    <n v="45522"/>
    <x v="598"/>
    <x v="22"/>
    <x v="0"/>
    <x v="2"/>
    <x v="597"/>
    <n v="1000.02"/>
    <n v="7"/>
    <n v="290.01"/>
    <x v="7"/>
    <x v="3"/>
  </r>
  <r>
    <n v="45522"/>
    <x v="598"/>
    <x v="22"/>
    <x v="1"/>
    <x v="8"/>
    <x v="466"/>
    <n v="65.94"/>
    <n v="3"/>
    <n v="22.42"/>
    <x v="7"/>
    <x v="3"/>
  </r>
  <r>
    <n v="45522"/>
    <x v="137"/>
    <x v="10"/>
    <x v="0"/>
    <x v="4"/>
    <x v="974"/>
    <n v="9.91"/>
    <n v="3"/>
    <n v="1.24"/>
    <x v="7"/>
    <x v="3"/>
  </r>
  <r>
    <n v="45522"/>
    <x v="74"/>
    <x v="10"/>
    <x v="0"/>
    <x v="3"/>
    <x v="302"/>
    <n v="10.78"/>
    <n v="3"/>
    <n v="-7.91"/>
    <x v="7"/>
    <x v="3"/>
  </r>
  <r>
    <n v="45522"/>
    <x v="773"/>
    <x v="32"/>
    <x v="2"/>
    <x v="9"/>
    <x v="1211"/>
    <n v="23.18"/>
    <n v="2"/>
    <n v="7.65"/>
    <x v="7"/>
    <x v="3"/>
  </r>
  <r>
    <n v="45523"/>
    <x v="403"/>
    <x v="32"/>
    <x v="0"/>
    <x v="3"/>
    <x v="411"/>
    <n v="387.99"/>
    <n v="1"/>
    <n v="182.36"/>
    <x v="7"/>
    <x v="3"/>
  </r>
  <r>
    <n v="45523"/>
    <x v="256"/>
    <x v="1"/>
    <x v="0"/>
    <x v="3"/>
    <x v="1540"/>
    <n v="2.2999999999999998"/>
    <n v="2"/>
    <n v="-3.9"/>
    <x v="7"/>
    <x v="3"/>
  </r>
  <r>
    <n v="45523"/>
    <x v="712"/>
    <x v="32"/>
    <x v="0"/>
    <x v="0"/>
    <x v="571"/>
    <n v="19.440000000000001"/>
    <n v="3"/>
    <n v="9.33"/>
    <x v="7"/>
    <x v="3"/>
  </r>
  <r>
    <n v="45523"/>
    <x v="445"/>
    <x v="27"/>
    <x v="0"/>
    <x v="3"/>
    <x v="738"/>
    <n v="102.72"/>
    <n v="3"/>
    <n v="37.24"/>
    <x v="7"/>
    <x v="3"/>
  </r>
  <r>
    <n v="45524"/>
    <x v="344"/>
    <x v="3"/>
    <x v="0"/>
    <x v="3"/>
    <x v="542"/>
    <n v="239.12"/>
    <n v="5"/>
    <n v="77.709999999999994"/>
    <x v="7"/>
    <x v="3"/>
  </r>
  <r>
    <n v="45524"/>
    <x v="654"/>
    <x v="32"/>
    <x v="0"/>
    <x v="2"/>
    <x v="1314"/>
    <n v="40.29"/>
    <n v="3"/>
    <n v="10.48"/>
    <x v="7"/>
    <x v="3"/>
  </r>
  <r>
    <n v="45524"/>
    <x v="382"/>
    <x v="3"/>
    <x v="0"/>
    <x v="14"/>
    <x v="714"/>
    <n v="17.22"/>
    <n v="3"/>
    <n v="5.17"/>
    <x v="7"/>
    <x v="3"/>
  </r>
  <r>
    <n v="45524"/>
    <x v="382"/>
    <x v="3"/>
    <x v="0"/>
    <x v="2"/>
    <x v="1128"/>
    <n v="226.56"/>
    <n v="6"/>
    <n v="63.44"/>
    <x v="7"/>
    <x v="3"/>
  </r>
  <r>
    <n v="45524"/>
    <x v="382"/>
    <x v="3"/>
    <x v="2"/>
    <x v="6"/>
    <x v="419"/>
    <n v="107.88"/>
    <n v="3"/>
    <n v="10.79"/>
    <x v="7"/>
    <x v="3"/>
  </r>
  <r>
    <n v="45524"/>
    <x v="73"/>
    <x v="3"/>
    <x v="0"/>
    <x v="0"/>
    <x v="708"/>
    <n v="25.92"/>
    <n v="4"/>
    <n v="12.44"/>
    <x v="7"/>
    <x v="3"/>
  </r>
  <r>
    <n v="45524"/>
    <x v="722"/>
    <x v="25"/>
    <x v="2"/>
    <x v="6"/>
    <x v="419"/>
    <n v="35.96"/>
    <n v="1"/>
    <n v="3.6"/>
    <x v="7"/>
    <x v="3"/>
  </r>
  <r>
    <n v="45525"/>
    <x v="40"/>
    <x v="29"/>
    <x v="1"/>
    <x v="5"/>
    <x v="395"/>
    <n v="866.4"/>
    <n v="4"/>
    <n v="225.26"/>
    <x v="7"/>
    <x v="3"/>
  </r>
  <r>
    <n v="45525"/>
    <x v="217"/>
    <x v="28"/>
    <x v="0"/>
    <x v="7"/>
    <x v="790"/>
    <n v="35"/>
    <n v="7"/>
    <n v="16.8"/>
    <x v="7"/>
    <x v="3"/>
  </r>
  <r>
    <n v="45525"/>
    <x v="217"/>
    <x v="28"/>
    <x v="0"/>
    <x v="14"/>
    <x v="139"/>
    <n v="37.24"/>
    <n v="4"/>
    <n v="10.8"/>
    <x v="7"/>
    <x v="3"/>
  </r>
  <r>
    <n v="45525"/>
    <x v="217"/>
    <x v="28"/>
    <x v="0"/>
    <x v="10"/>
    <x v="464"/>
    <n v="15.28"/>
    <n v="2"/>
    <n v="7.49"/>
    <x v="7"/>
    <x v="3"/>
  </r>
  <r>
    <n v="45525"/>
    <x v="378"/>
    <x v="3"/>
    <x v="0"/>
    <x v="4"/>
    <x v="1448"/>
    <n v="17.12"/>
    <n v="4"/>
    <n v="4.96"/>
    <x v="7"/>
    <x v="3"/>
  </r>
  <r>
    <n v="45525"/>
    <x v="378"/>
    <x v="3"/>
    <x v="2"/>
    <x v="6"/>
    <x v="197"/>
    <n v="431.97"/>
    <n v="4"/>
    <n v="37.799999999999997"/>
    <x v="7"/>
    <x v="3"/>
  </r>
  <r>
    <n v="45525"/>
    <x v="378"/>
    <x v="3"/>
    <x v="1"/>
    <x v="8"/>
    <x v="960"/>
    <n v="129.91999999999999"/>
    <n v="4"/>
    <n v="10.39"/>
    <x v="7"/>
    <x v="3"/>
  </r>
  <r>
    <n v="45525"/>
    <x v="378"/>
    <x v="3"/>
    <x v="1"/>
    <x v="13"/>
    <x v="444"/>
    <n v="568.73"/>
    <n v="3"/>
    <n v="28.44"/>
    <x v="7"/>
    <x v="3"/>
  </r>
  <r>
    <n v="45525"/>
    <x v="378"/>
    <x v="3"/>
    <x v="0"/>
    <x v="3"/>
    <x v="999"/>
    <n v="117.14"/>
    <n v="9"/>
    <n v="42.46"/>
    <x v="7"/>
    <x v="3"/>
  </r>
  <r>
    <n v="45525"/>
    <x v="378"/>
    <x v="3"/>
    <x v="0"/>
    <x v="12"/>
    <x v="1562"/>
    <n v="203.52"/>
    <n v="3"/>
    <n v="54.95"/>
    <x v="7"/>
    <x v="3"/>
  </r>
  <r>
    <n v="45525"/>
    <x v="378"/>
    <x v="3"/>
    <x v="0"/>
    <x v="1"/>
    <x v="1096"/>
    <n v="51.75"/>
    <n v="5"/>
    <n v="24.84"/>
    <x v="7"/>
    <x v="3"/>
  </r>
  <r>
    <n v="45525"/>
    <x v="128"/>
    <x v="36"/>
    <x v="0"/>
    <x v="0"/>
    <x v="1066"/>
    <n v="277.39999999999998"/>
    <n v="5"/>
    <n v="133.15"/>
    <x v="7"/>
    <x v="3"/>
  </r>
  <r>
    <n v="45525"/>
    <x v="128"/>
    <x v="36"/>
    <x v="1"/>
    <x v="8"/>
    <x v="1716"/>
    <n v="25.16"/>
    <n v="2"/>
    <n v="8.5500000000000007"/>
    <x v="7"/>
    <x v="3"/>
  </r>
  <r>
    <n v="45525"/>
    <x v="128"/>
    <x v="36"/>
    <x v="1"/>
    <x v="8"/>
    <x v="1790"/>
    <n v="91.92"/>
    <n v="4"/>
    <n v="31.25"/>
    <x v="7"/>
    <x v="3"/>
  </r>
  <r>
    <n v="45525"/>
    <x v="729"/>
    <x v="12"/>
    <x v="0"/>
    <x v="0"/>
    <x v="539"/>
    <n v="83.88"/>
    <n v="1"/>
    <n v="29.36"/>
    <x v="7"/>
    <x v="3"/>
  </r>
  <r>
    <n v="45525"/>
    <x v="507"/>
    <x v="22"/>
    <x v="1"/>
    <x v="5"/>
    <x v="526"/>
    <n v="388.7"/>
    <n v="6"/>
    <n v="38.869999999999997"/>
    <x v="7"/>
    <x v="3"/>
  </r>
  <r>
    <n v="45525"/>
    <x v="507"/>
    <x v="22"/>
    <x v="0"/>
    <x v="2"/>
    <x v="25"/>
    <n v="572.58000000000004"/>
    <n v="6"/>
    <n v="34.35"/>
    <x v="7"/>
    <x v="3"/>
  </r>
  <r>
    <n v="45525"/>
    <x v="507"/>
    <x v="22"/>
    <x v="2"/>
    <x v="9"/>
    <x v="1487"/>
    <n v="33.18"/>
    <n v="2"/>
    <n v="11.61"/>
    <x v="7"/>
    <x v="3"/>
  </r>
  <r>
    <n v="45525"/>
    <x v="500"/>
    <x v="20"/>
    <x v="0"/>
    <x v="3"/>
    <x v="31"/>
    <n v="32.090000000000003"/>
    <n v="7"/>
    <n v="11.23"/>
    <x v="7"/>
    <x v="3"/>
  </r>
  <r>
    <n v="45525"/>
    <x v="500"/>
    <x v="20"/>
    <x v="0"/>
    <x v="3"/>
    <x v="717"/>
    <n v="4305.55"/>
    <n v="6"/>
    <n v="1453.12"/>
    <x v="7"/>
    <x v="3"/>
  </r>
  <r>
    <n v="45525"/>
    <x v="774"/>
    <x v="26"/>
    <x v="0"/>
    <x v="2"/>
    <x v="1080"/>
    <n v="237.1"/>
    <n v="3"/>
    <n v="20.75"/>
    <x v="7"/>
    <x v="3"/>
  </r>
  <r>
    <n v="45525"/>
    <x v="774"/>
    <x v="26"/>
    <x v="1"/>
    <x v="8"/>
    <x v="1298"/>
    <n v="22.75"/>
    <n v="3"/>
    <n v="7.11"/>
    <x v="7"/>
    <x v="3"/>
  </r>
  <r>
    <n v="45525"/>
    <x v="774"/>
    <x v="26"/>
    <x v="0"/>
    <x v="0"/>
    <x v="1279"/>
    <n v="6.67"/>
    <n v="1"/>
    <n v="2.09"/>
    <x v="7"/>
    <x v="3"/>
  </r>
  <r>
    <n v="45526"/>
    <x v="784"/>
    <x v="3"/>
    <x v="1"/>
    <x v="13"/>
    <x v="989"/>
    <n v="210.01"/>
    <n v="1"/>
    <n v="2.63"/>
    <x v="7"/>
    <x v="3"/>
  </r>
  <r>
    <n v="45526"/>
    <x v="222"/>
    <x v="2"/>
    <x v="1"/>
    <x v="13"/>
    <x v="1036"/>
    <n v="314.52999999999997"/>
    <n v="2"/>
    <n v="-83.88"/>
    <x v="7"/>
    <x v="3"/>
  </r>
  <r>
    <n v="45527"/>
    <x v="487"/>
    <x v="16"/>
    <x v="2"/>
    <x v="6"/>
    <x v="352"/>
    <n v="4367.8999999999996"/>
    <n v="13"/>
    <n v="327.58999999999997"/>
    <x v="7"/>
    <x v="3"/>
  </r>
  <r>
    <n v="45527"/>
    <x v="487"/>
    <x v="16"/>
    <x v="0"/>
    <x v="0"/>
    <x v="1708"/>
    <n v="49.57"/>
    <n v="2"/>
    <n v="15.49"/>
    <x v="7"/>
    <x v="3"/>
  </r>
  <r>
    <n v="45527"/>
    <x v="487"/>
    <x v="16"/>
    <x v="0"/>
    <x v="12"/>
    <x v="1596"/>
    <n v="161.38"/>
    <n v="6"/>
    <n v="12.1"/>
    <x v="7"/>
    <x v="3"/>
  </r>
  <r>
    <n v="45527"/>
    <x v="487"/>
    <x v="16"/>
    <x v="1"/>
    <x v="8"/>
    <x v="365"/>
    <n v="2.78"/>
    <n v="2"/>
    <n v="0.42"/>
    <x v="7"/>
    <x v="3"/>
  </r>
  <r>
    <n v="45527"/>
    <x v="487"/>
    <x v="16"/>
    <x v="0"/>
    <x v="0"/>
    <x v="988"/>
    <n v="8.7200000000000006"/>
    <n v="5"/>
    <n v="2.94"/>
    <x v="7"/>
    <x v="3"/>
  </r>
  <r>
    <n v="45528"/>
    <x v="611"/>
    <x v="20"/>
    <x v="0"/>
    <x v="3"/>
    <x v="483"/>
    <n v="24.67"/>
    <n v="4"/>
    <n v="7.71"/>
    <x v="7"/>
    <x v="3"/>
  </r>
  <r>
    <n v="45528"/>
    <x v="611"/>
    <x v="20"/>
    <x v="0"/>
    <x v="3"/>
    <x v="701"/>
    <n v="3.74"/>
    <n v="1"/>
    <n v="1.31"/>
    <x v="7"/>
    <x v="3"/>
  </r>
  <r>
    <n v="45528"/>
    <x v="406"/>
    <x v="10"/>
    <x v="0"/>
    <x v="12"/>
    <x v="1718"/>
    <n v="646.27"/>
    <n v="8"/>
    <n v="64.63"/>
    <x v="7"/>
    <x v="3"/>
  </r>
  <r>
    <n v="45528"/>
    <x v="406"/>
    <x v="10"/>
    <x v="0"/>
    <x v="0"/>
    <x v="183"/>
    <n v="10.37"/>
    <n v="2"/>
    <n v="3.76"/>
    <x v="7"/>
    <x v="3"/>
  </r>
  <r>
    <n v="45529"/>
    <x v="41"/>
    <x v="25"/>
    <x v="0"/>
    <x v="0"/>
    <x v="1544"/>
    <n v="192.16"/>
    <n v="5"/>
    <n v="67.260000000000005"/>
    <x v="7"/>
    <x v="3"/>
  </r>
  <r>
    <n v="45529"/>
    <x v="738"/>
    <x v="15"/>
    <x v="0"/>
    <x v="4"/>
    <x v="118"/>
    <n v="9.73"/>
    <n v="2"/>
    <n v="1.7"/>
    <x v="7"/>
    <x v="3"/>
  </r>
  <r>
    <n v="45529"/>
    <x v="738"/>
    <x v="15"/>
    <x v="0"/>
    <x v="0"/>
    <x v="1017"/>
    <n v="3.42"/>
    <n v="1"/>
    <n v="1.07"/>
    <x v="7"/>
    <x v="3"/>
  </r>
  <r>
    <n v="45529"/>
    <x v="364"/>
    <x v="10"/>
    <x v="0"/>
    <x v="2"/>
    <x v="969"/>
    <n v="25.7"/>
    <n v="2"/>
    <n v="1.93"/>
    <x v="7"/>
    <x v="3"/>
  </r>
  <r>
    <n v="45529"/>
    <x v="9"/>
    <x v="2"/>
    <x v="1"/>
    <x v="11"/>
    <x v="1662"/>
    <n v="130.97999999999999"/>
    <n v="2"/>
    <n v="-89.07"/>
    <x v="7"/>
    <x v="3"/>
  </r>
  <r>
    <n v="45530"/>
    <x v="528"/>
    <x v="4"/>
    <x v="2"/>
    <x v="9"/>
    <x v="530"/>
    <n v="71.98"/>
    <n v="2"/>
    <n v="15.12"/>
    <x v="7"/>
    <x v="3"/>
  </r>
  <r>
    <n v="45530"/>
    <x v="0"/>
    <x v="1"/>
    <x v="1"/>
    <x v="8"/>
    <x v="831"/>
    <n v="64.959999999999994"/>
    <n v="5"/>
    <n v="-43.85"/>
    <x v="7"/>
    <x v="3"/>
  </r>
  <r>
    <n v="45530"/>
    <x v="631"/>
    <x v="14"/>
    <x v="0"/>
    <x v="2"/>
    <x v="1314"/>
    <n v="53.72"/>
    <n v="4"/>
    <n v="13.97"/>
    <x v="7"/>
    <x v="3"/>
  </r>
  <r>
    <n v="45531"/>
    <x v="444"/>
    <x v="32"/>
    <x v="1"/>
    <x v="13"/>
    <x v="1637"/>
    <n v="1488.42"/>
    <n v="7"/>
    <n v="-297.68"/>
    <x v="7"/>
    <x v="3"/>
  </r>
  <r>
    <n v="45531"/>
    <x v="376"/>
    <x v="20"/>
    <x v="0"/>
    <x v="2"/>
    <x v="926"/>
    <n v="63.84"/>
    <n v="8"/>
    <n v="16.600000000000001"/>
    <x v="7"/>
    <x v="3"/>
  </r>
  <r>
    <n v="45531"/>
    <x v="376"/>
    <x v="20"/>
    <x v="2"/>
    <x v="6"/>
    <x v="746"/>
    <n v="347.97"/>
    <n v="3"/>
    <n v="100.91"/>
    <x v="7"/>
    <x v="3"/>
  </r>
  <r>
    <n v="45531"/>
    <x v="376"/>
    <x v="20"/>
    <x v="0"/>
    <x v="3"/>
    <x v="483"/>
    <n v="37.01"/>
    <n v="6"/>
    <n v="11.57"/>
    <x v="7"/>
    <x v="3"/>
  </r>
  <r>
    <n v="45531"/>
    <x v="145"/>
    <x v="0"/>
    <x v="0"/>
    <x v="4"/>
    <x v="222"/>
    <n v="5.95"/>
    <n v="1"/>
    <n v="0.37"/>
    <x v="7"/>
    <x v="3"/>
  </r>
  <r>
    <n v="45531"/>
    <x v="386"/>
    <x v="16"/>
    <x v="0"/>
    <x v="10"/>
    <x v="909"/>
    <n v="2.9"/>
    <n v="1"/>
    <n v="0.98"/>
    <x v="7"/>
    <x v="3"/>
  </r>
  <r>
    <n v="45531"/>
    <x v="696"/>
    <x v="3"/>
    <x v="1"/>
    <x v="8"/>
    <x v="1328"/>
    <n v="198.46"/>
    <n v="2"/>
    <n v="99.23"/>
    <x v="7"/>
    <x v="3"/>
  </r>
  <r>
    <n v="45531"/>
    <x v="696"/>
    <x v="3"/>
    <x v="0"/>
    <x v="12"/>
    <x v="1051"/>
    <n v="321.92"/>
    <n v="4"/>
    <n v="96.58"/>
    <x v="7"/>
    <x v="3"/>
  </r>
  <r>
    <n v="45531"/>
    <x v="696"/>
    <x v="3"/>
    <x v="2"/>
    <x v="16"/>
    <x v="679"/>
    <n v="879.98"/>
    <n v="2"/>
    <n v="329.99"/>
    <x v="7"/>
    <x v="3"/>
  </r>
  <r>
    <n v="45531"/>
    <x v="696"/>
    <x v="3"/>
    <x v="0"/>
    <x v="14"/>
    <x v="1745"/>
    <n v="28.4"/>
    <n v="5"/>
    <n v="8.24"/>
    <x v="7"/>
    <x v="3"/>
  </r>
  <r>
    <n v="45531"/>
    <x v="696"/>
    <x v="3"/>
    <x v="1"/>
    <x v="5"/>
    <x v="342"/>
    <n v="230.28"/>
    <n v="3"/>
    <n v="23.03"/>
    <x v="7"/>
    <x v="3"/>
  </r>
  <r>
    <n v="45531"/>
    <x v="696"/>
    <x v="3"/>
    <x v="0"/>
    <x v="0"/>
    <x v="655"/>
    <n v="116.28"/>
    <n v="3"/>
    <n v="56.98"/>
    <x v="7"/>
    <x v="3"/>
  </r>
  <r>
    <n v="45531"/>
    <x v="696"/>
    <x v="3"/>
    <x v="0"/>
    <x v="3"/>
    <x v="1140"/>
    <n v="841.57"/>
    <n v="2"/>
    <n v="294.55"/>
    <x v="7"/>
    <x v="3"/>
  </r>
  <r>
    <n v="45531"/>
    <x v="696"/>
    <x v="3"/>
    <x v="0"/>
    <x v="2"/>
    <x v="135"/>
    <n v="354.9"/>
    <n v="5"/>
    <n v="17.75"/>
    <x v="7"/>
    <x v="3"/>
  </r>
  <r>
    <n v="45531"/>
    <x v="613"/>
    <x v="15"/>
    <x v="0"/>
    <x v="0"/>
    <x v="869"/>
    <n v="5.18"/>
    <n v="1"/>
    <n v="1.81"/>
    <x v="7"/>
    <x v="3"/>
  </r>
  <r>
    <n v="45531"/>
    <x v="43"/>
    <x v="16"/>
    <x v="0"/>
    <x v="12"/>
    <x v="1242"/>
    <n v="14.34"/>
    <n v="4"/>
    <n v="0.9"/>
    <x v="7"/>
    <x v="3"/>
  </r>
  <r>
    <n v="45531"/>
    <x v="624"/>
    <x v="2"/>
    <x v="0"/>
    <x v="0"/>
    <x v="1196"/>
    <n v="12.67"/>
    <n v="3"/>
    <n v="3.96"/>
    <x v="7"/>
    <x v="3"/>
  </r>
  <r>
    <n v="45531"/>
    <x v="624"/>
    <x v="2"/>
    <x v="2"/>
    <x v="9"/>
    <x v="297"/>
    <n v="1119.8900000000001"/>
    <n v="14"/>
    <n v="209.98"/>
    <x v="7"/>
    <x v="3"/>
  </r>
  <r>
    <n v="45531"/>
    <x v="582"/>
    <x v="12"/>
    <x v="1"/>
    <x v="8"/>
    <x v="1310"/>
    <n v="120.58"/>
    <n v="8"/>
    <n v="33.159999999999997"/>
    <x v="7"/>
    <x v="3"/>
  </r>
  <r>
    <n v="45532"/>
    <x v="61"/>
    <x v="22"/>
    <x v="2"/>
    <x v="6"/>
    <x v="1220"/>
    <n v="35.17"/>
    <n v="4"/>
    <n v="11.43"/>
    <x v="7"/>
    <x v="3"/>
  </r>
  <r>
    <n v="45532"/>
    <x v="61"/>
    <x v="22"/>
    <x v="1"/>
    <x v="13"/>
    <x v="957"/>
    <n v="1137.75"/>
    <n v="5"/>
    <n v="250.31"/>
    <x v="7"/>
    <x v="3"/>
  </r>
  <r>
    <n v="45532"/>
    <x v="61"/>
    <x v="22"/>
    <x v="0"/>
    <x v="3"/>
    <x v="461"/>
    <n v="99.68"/>
    <n v="5"/>
    <n v="32.4"/>
    <x v="7"/>
    <x v="3"/>
  </r>
  <r>
    <n v="45532"/>
    <x v="61"/>
    <x v="22"/>
    <x v="0"/>
    <x v="4"/>
    <x v="1259"/>
    <n v="5.56"/>
    <n v="2"/>
    <n v="1.45"/>
    <x v="7"/>
    <x v="3"/>
  </r>
  <r>
    <n v="45532"/>
    <x v="573"/>
    <x v="1"/>
    <x v="0"/>
    <x v="0"/>
    <x v="1018"/>
    <n v="25.34"/>
    <n v="6"/>
    <n v="7.92"/>
    <x v="7"/>
    <x v="3"/>
  </r>
  <r>
    <n v="45532"/>
    <x v="573"/>
    <x v="1"/>
    <x v="0"/>
    <x v="0"/>
    <x v="1723"/>
    <n v="26.72"/>
    <n v="5"/>
    <n v="9.35"/>
    <x v="7"/>
    <x v="3"/>
  </r>
  <r>
    <n v="45532"/>
    <x v="342"/>
    <x v="21"/>
    <x v="0"/>
    <x v="14"/>
    <x v="1006"/>
    <n v="21.81"/>
    <n v="3"/>
    <n v="5.89"/>
    <x v="7"/>
    <x v="3"/>
  </r>
  <r>
    <n v="45532"/>
    <x v="342"/>
    <x v="21"/>
    <x v="0"/>
    <x v="12"/>
    <x v="1284"/>
    <n v="91.6"/>
    <n v="5"/>
    <n v="26.56"/>
    <x v="7"/>
    <x v="3"/>
  </r>
  <r>
    <n v="45533"/>
    <x v="552"/>
    <x v="1"/>
    <x v="0"/>
    <x v="1"/>
    <x v="210"/>
    <n v="47.36"/>
    <n v="4"/>
    <n v="17.760000000000002"/>
    <x v="7"/>
    <x v="3"/>
  </r>
  <r>
    <n v="45533"/>
    <x v="552"/>
    <x v="1"/>
    <x v="0"/>
    <x v="2"/>
    <x v="1187"/>
    <n v="27.44"/>
    <n v="2"/>
    <n v="2.4"/>
    <x v="7"/>
    <x v="3"/>
  </r>
  <r>
    <n v="45533"/>
    <x v="552"/>
    <x v="1"/>
    <x v="0"/>
    <x v="3"/>
    <x v="106"/>
    <n v="3.24"/>
    <n v="9"/>
    <n v="-5.18"/>
    <x v="7"/>
    <x v="3"/>
  </r>
  <r>
    <n v="45533"/>
    <x v="548"/>
    <x v="2"/>
    <x v="0"/>
    <x v="4"/>
    <x v="1488"/>
    <n v="9.41"/>
    <n v="7"/>
    <n v="0.71"/>
    <x v="7"/>
    <x v="3"/>
  </r>
  <r>
    <n v="45533"/>
    <x v="602"/>
    <x v="3"/>
    <x v="1"/>
    <x v="8"/>
    <x v="1622"/>
    <n v="148.02000000000001"/>
    <n v="3"/>
    <n v="41.45"/>
    <x v="7"/>
    <x v="3"/>
  </r>
  <r>
    <n v="45535"/>
    <x v="467"/>
    <x v="12"/>
    <x v="0"/>
    <x v="2"/>
    <x v="1314"/>
    <n v="10.74"/>
    <n v="1"/>
    <n v="0.81"/>
    <x v="7"/>
    <x v="3"/>
  </r>
  <r>
    <n v="45535"/>
    <x v="467"/>
    <x v="12"/>
    <x v="0"/>
    <x v="7"/>
    <x v="995"/>
    <n v="8.3800000000000008"/>
    <n v="3"/>
    <n v="2.72"/>
    <x v="7"/>
    <x v="3"/>
  </r>
  <r>
    <n v="45535"/>
    <x v="556"/>
    <x v="25"/>
    <x v="0"/>
    <x v="0"/>
    <x v="290"/>
    <n v="229.54"/>
    <n v="7"/>
    <n v="83.21"/>
    <x v="7"/>
    <x v="3"/>
  </r>
  <r>
    <n v="45535"/>
    <x v="63"/>
    <x v="18"/>
    <x v="0"/>
    <x v="12"/>
    <x v="1349"/>
    <n v="638.73"/>
    <n v="9"/>
    <n v="166.07"/>
    <x v="7"/>
    <x v="3"/>
  </r>
  <r>
    <n v="45535"/>
    <x v="299"/>
    <x v="3"/>
    <x v="0"/>
    <x v="3"/>
    <x v="816"/>
    <n v="6.67"/>
    <n v="3"/>
    <n v="2.17"/>
    <x v="7"/>
    <x v="3"/>
  </r>
  <r>
    <n v="45535"/>
    <x v="299"/>
    <x v="3"/>
    <x v="2"/>
    <x v="6"/>
    <x v="1529"/>
    <n v="689.41"/>
    <n v="4"/>
    <n v="77.56"/>
    <x v="7"/>
    <x v="3"/>
  </r>
  <r>
    <n v="45535"/>
    <x v="497"/>
    <x v="8"/>
    <x v="2"/>
    <x v="9"/>
    <x v="1146"/>
    <n v="659.9"/>
    <n v="2"/>
    <n v="217.77"/>
    <x v="7"/>
    <x v="3"/>
  </r>
  <r>
    <n v="45535"/>
    <x v="620"/>
    <x v="22"/>
    <x v="1"/>
    <x v="5"/>
    <x v="47"/>
    <n v="569.57000000000005"/>
    <n v="2"/>
    <n v="7.12"/>
    <x v="7"/>
    <x v="3"/>
  </r>
  <r>
    <n v="45535"/>
    <x v="620"/>
    <x v="22"/>
    <x v="0"/>
    <x v="2"/>
    <x v="929"/>
    <n v="149.72999999999999"/>
    <n v="7"/>
    <n v="43.42"/>
    <x v="7"/>
    <x v="3"/>
  </r>
  <r>
    <n v="45535"/>
    <x v="588"/>
    <x v="11"/>
    <x v="0"/>
    <x v="14"/>
    <x v="532"/>
    <n v="6.21"/>
    <n v="2"/>
    <n v="0.7"/>
    <x v="7"/>
    <x v="3"/>
  </r>
  <r>
    <n v="45535"/>
    <x v="282"/>
    <x v="3"/>
    <x v="0"/>
    <x v="2"/>
    <x v="24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h="1" x="1"/>
        <item h="1"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formats count="8">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N3:O8"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7">
    <format>
      <pivotArea type="all" dataOnly="0" outline="0" fieldPosition="0"/>
    </format>
    <format>
      <pivotArea outline="0" collapsedLevelsAreSubtotals="1" fieldPosition="0"/>
    </format>
    <format>
      <pivotArea field="1" type="button" dataOnly="0" labelOnly="1" outline="0" axis="axisRow" fieldPosition="0"/>
    </format>
    <format>
      <pivotArea dataOnly="0" labelOnly="1" outline="0" axis="axisValues" fieldPosition="0"/>
    </format>
    <format>
      <pivotArea dataOnly="0" labelOnly="1" fieldPosition="0">
        <references count="1">
          <reference field="1" count="0"/>
        </references>
      </pivotArea>
    </format>
    <format>
      <pivotArea dataOnly="0" labelOnly="1" grandRow="1" outline="0" fieldPosition="0"/>
    </format>
    <format>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W4:X15"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axis="axisRow" showAll="0">
      <items count="13">
        <item x="0"/>
        <item h="1" x="1"/>
        <item h="1" x="2"/>
        <item x="3"/>
        <item x="4"/>
        <item x="5"/>
        <item x="6"/>
        <item x="7"/>
        <item x="8"/>
        <item x="9"/>
        <item x="10"/>
        <item x="11"/>
        <item t="default"/>
      </items>
    </pivotField>
    <pivotField showAll="0">
      <items count="5">
        <item x="0"/>
        <item x="1"/>
        <item x="2"/>
        <item x="3"/>
        <item t="default"/>
      </items>
    </pivotField>
  </pivotFields>
  <rowFields count="1">
    <field x="9"/>
  </rowFields>
  <rowItems count="11">
    <i>
      <x/>
    </i>
    <i>
      <x v="3"/>
    </i>
    <i>
      <x v="4"/>
    </i>
    <i>
      <x v="5"/>
    </i>
    <i>
      <x v="6"/>
    </i>
    <i>
      <x v="7"/>
    </i>
    <i>
      <x v="8"/>
    </i>
    <i>
      <x v="9"/>
    </i>
    <i>
      <x v="10"/>
    </i>
    <i>
      <x v="11"/>
    </i>
    <i t="grand">
      <x/>
    </i>
  </rowItems>
  <colItems count="1">
    <i/>
  </colItems>
  <dataFields count="1">
    <dataField name="Sum of Sales" fld="6" baseField="0" baseItem="0"/>
  </dataFields>
  <formats count="13">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field="9" type="button" dataOnly="0" labelOnly="1" outline="0" axis="axisRow" fieldPosition="0"/>
    </format>
    <format>
      <pivotArea dataOnly="0" labelOnly="1" outline="0" axis="axisValues" fieldPosition="0"/>
    </format>
    <format>
      <pivotArea dataOnly="0" labelOnly="1" fieldPosition="0">
        <references count="1">
          <reference field="9" count="0"/>
        </references>
      </pivotArea>
    </format>
    <format>
      <pivotArea dataOnly="0" labelOnly="1" grandRow="1" outline="0" fieldPosition="0"/>
    </format>
    <format>
      <pivotArea dataOnly="0" labelOnly="1" outline="0" axis="axisValues" fieldPosition="0"/>
    </format>
    <format>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T4:U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dataField="1" showAll="0"/>
    <pivotField showAll="0">
      <items count="13">
        <item x="0"/>
        <item h="1" x="1"/>
        <item h="1" x="2"/>
        <item x="3"/>
        <item x="4"/>
        <item x="5"/>
        <item x="6"/>
        <item x="7"/>
        <item x="8"/>
        <item x="9"/>
        <item x="10"/>
        <item x="11"/>
        <item t="default"/>
      </items>
    </pivotField>
    <pivotField showAll="0">
      <items count="5">
        <item x="0"/>
        <item x="1"/>
        <item x="2"/>
        <item x="3"/>
        <item t="default"/>
      </items>
    </pivotField>
  </pivotFields>
  <rowFields count="1">
    <field x="1"/>
  </rowFields>
  <rowItems count="6">
    <i>
      <x v="192"/>
    </i>
    <i>
      <x v="428"/>
    </i>
    <i>
      <x v="6"/>
    </i>
    <i>
      <x v="668"/>
    </i>
    <i>
      <x v="727"/>
    </i>
    <i t="grand">
      <x/>
    </i>
  </rowItems>
  <colItems count="1">
    <i/>
  </colItems>
  <dataFields count="1">
    <dataField name="Sum of Profit" fld="8" baseField="0" baseItem="0"/>
  </dataFields>
  <formats count="12">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field="1" type="button" dataOnly="0" labelOnly="1" outline="0" axis="axisRow" fieldPosition="0"/>
    </format>
    <format>
      <pivotArea dataOnly="0" labelOnly="1" outline="0" axis="axisValues" fieldPosition="0"/>
    </format>
    <format>
      <pivotArea dataOnly="0" labelOnly="1" fieldPosition="0">
        <references count="1">
          <reference field="1" count="5">
            <x v="6"/>
            <x v="495"/>
            <x v="619"/>
            <x v="668"/>
            <x v="727"/>
          </reference>
        </references>
      </pivotArea>
    </format>
    <format>
      <pivotArea dataOnly="0" labelOnly="1" grandRow="1" outline="0" fieldPosition="0"/>
    </format>
    <format>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29"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items count="13">
        <item x="0"/>
        <item h="1" x="1"/>
        <item h="1" x="2"/>
        <item x="3"/>
        <item x="4"/>
        <item x="5"/>
        <item x="6"/>
        <item x="7"/>
        <item x="8"/>
        <item x="9"/>
        <item x="10"/>
        <item x="11"/>
        <item t="default"/>
      </items>
    </pivotField>
    <pivotField showAll="0">
      <items count="5">
        <item x="0"/>
        <item x="1"/>
        <item x="2"/>
        <item x="3"/>
        <item t="default"/>
      </items>
    </pivotField>
  </pivotFields>
  <rowFields count="1">
    <field x="4"/>
  </rowFields>
  <rowItems count="18">
    <i>
      <x v="5"/>
    </i>
    <i>
      <x v="13"/>
    </i>
    <i>
      <x v="14"/>
    </i>
    <i>
      <x v="3"/>
    </i>
    <i>
      <x v="16"/>
    </i>
    <i>
      <x/>
    </i>
    <i>
      <x v="11"/>
    </i>
    <i>
      <x v="6"/>
    </i>
    <i>
      <x v="4"/>
    </i>
    <i>
      <x v="1"/>
    </i>
    <i>
      <x v="9"/>
    </i>
    <i>
      <x v="12"/>
    </i>
    <i>
      <x v="15"/>
    </i>
    <i>
      <x v="2"/>
    </i>
    <i>
      <x v="7"/>
    </i>
    <i>
      <x v="10"/>
    </i>
    <i>
      <x v="8"/>
    </i>
    <i t="grand">
      <x/>
    </i>
  </rowItems>
  <colItems count="1">
    <i/>
  </colItems>
  <dataFields count="1">
    <dataField name="Sum of Sales" fld="6" baseField="0" baseItem="0"/>
  </dataFields>
  <formats count="12">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field="4" type="button" dataOnly="0" labelOnly="1" outline="0" axis="axisRow" fieldPosition="0"/>
    </format>
    <format>
      <pivotArea dataOnly="0" labelOnly="1" outline="0" axis="axisValues" fieldPosition="0"/>
    </format>
    <format>
      <pivotArea dataOnly="0" labelOnly="1" fieldPosition="0">
        <references count="1">
          <reference field="4" count="0"/>
        </references>
      </pivotArea>
    </format>
    <format>
      <pivotArea dataOnly="0" labelOnly="1" grandRow="1" outline="0" fieldPosition="0"/>
    </format>
    <format>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h="1" x="1"/>
        <item h="1"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formats count="6">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C3:G9" firstHeaderRow="1" firstDataRow="2"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pivotField showAll="0"/>
    <pivotField showAll="0"/>
    <pivotField showAll="0"/>
    <pivotField dataField="1" showAll="0"/>
    <pivotField showAll="0">
      <items count="13">
        <item x="0"/>
        <item h="1" x="1"/>
        <item h="1"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16">
    <format>
      <pivotArea type="all" dataOnly="0" outline="0" fieldPosition="0"/>
    </format>
    <format>
      <pivotArea outline="0" collapsedLevelsAreSubtotals="1" fieldPosition="0"/>
    </format>
    <format>
      <pivotArea field="10" type="button" dataOnly="0" labelOnly="1" outline="0" axis="axisRow" fieldPosition="0"/>
    </format>
    <format>
      <pivotArea dataOnly="0" labelOnly="1" outline="0" axis="axisValues" fieldPosition="0"/>
    </format>
    <format>
      <pivotArea dataOnly="0" labelOnly="1" fieldPosition="0">
        <references count="1">
          <reference field="10" count="0"/>
        </references>
      </pivotArea>
    </format>
    <format>
      <pivotArea dataOnly="0" labelOnly="1" grandRow="1" outline="0" fieldPosition="0"/>
    </format>
    <format>
      <pivotArea dataOnly="0" labelOnly="1" outline="0" axis="axisValues" fieldPosition="0"/>
    </format>
    <format>
      <pivotArea outline="0" collapsedLevelsAreSubtotals="1" fieldPosition="0"/>
    </format>
    <format>
      <pivotArea dataOnly="0" labelOnly="1" outline="0" axis="axisValues" fieldPosition="0"/>
    </format>
    <format>
      <pivotArea dataOnly="0" labelOnly="1" outline="0" axis="axisValues" fieldPosition="0"/>
    </format>
    <format>
      <pivotArea outline="0" collapsedLevelsAreSubtotals="1" fieldPosition="0"/>
    </format>
    <format>
      <pivotArea dataOnly="0" labelOnly="1" outline="0" axis="axisValues" fieldPosition="0"/>
    </format>
    <format>
      <pivotArea dataOnly="0" labelOnly="1" outline="0" axis="axisValues" fieldPosition="0"/>
    </format>
    <format>
      <pivotArea outline="0" collapsedLevelsAreSubtotals="1" fieldPosition="0"/>
    </format>
    <format>
      <pivotArea dataOnly="0" labelOnly="1" outline="0" axis="axisValues" fieldPosition="0"/>
    </format>
    <format>
      <pivotArea dataOnly="0" labelOnly="1" outline="0" axis="axisValues"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5" format="9" series="1">
      <pivotArea type="data" outline="0" fieldPosition="0">
        <references count="2">
          <reference field="4294967294" count="1" selected="0">
            <x v="0"/>
          </reference>
          <reference field="3" count="1" selected="0">
            <x v="2"/>
          </reference>
        </references>
      </pivotArea>
    </chartFormat>
    <chartFormat chart="5" format="10" series="1">
      <pivotArea type="data" outline="0" fieldPosition="0">
        <references count="2">
          <reference field="4294967294" count="1" selected="0">
            <x v="0"/>
          </reference>
          <reference field="3" count="1" selected="0">
            <x v="1"/>
          </reference>
        </references>
      </pivotArea>
    </chartFormat>
    <chartFormat chart="5" format="11"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N13:O19" firstHeaderRow="1" firstDataRow="1" firstDataCol="1"/>
  <pivotFields count="11">
    <pivotField showAll="0"/>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items count="13">
        <item x="0"/>
        <item h="1" x="1"/>
        <item h="1" x="2"/>
        <item x="3"/>
        <item x="4"/>
        <item x="5"/>
        <item x="6"/>
        <item x="7"/>
        <item x="8"/>
        <item x="9"/>
        <item x="10"/>
        <item x="11"/>
        <item t="default"/>
      </items>
    </pivotField>
    <pivotField showAll="0">
      <items count="5">
        <item x="0"/>
        <item x="1"/>
        <item x="2"/>
        <item x="3"/>
        <item t="default"/>
      </items>
    </pivotField>
  </pivotFields>
  <rowFields count="1">
    <field x="2"/>
  </rowFields>
  <rowItems count="6">
    <i>
      <x v="3"/>
    </i>
    <i>
      <x v="30"/>
    </i>
    <i>
      <x v="36"/>
    </i>
    <i>
      <x v="41"/>
    </i>
    <i>
      <x v="45"/>
    </i>
    <i t="grand">
      <x/>
    </i>
  </rowItems>
  <colItems count="1">
    <i/>
  </colItems>
  <dataFields count="1">
    <dataField name="Sum of Sales" fld="6" baseField="0" baseItem="0"/>
  </dataFields>
  <formats count="10">
    <format>
      <pivotArea outline="0" collapsedLevelsAreSubtotals="1"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field="2" type="button" dataOnly="0" labelOnly="1" outline="0" axis="axisRow" fieldPosition="0"/>
    </format>
    <format>
      <pivotArea dataOnly="0" labelOnly="1" outline="0" axis="axisValues"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93" firstHeaderRow="1" firstDataRow="1" firstDataCol="1"/>
  <pivotFields count="2">
    <pivotField axis="axisRow"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dataField="1" showAll="0"/>
  </pivotFields>
  <rowFields count="1">
    <field x="0"/>
  </rowFields>
  <rowItems count="7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t="grand">
      <x/>
    </i>
  </rowItems>
  <colItems count="1">
    <i/>
  </colItems>
  <dataFields count="1">
    <dataField name="Sum of Yea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1">
      <items count="12">
        <i x="0" s="1"/>
        <i x="1"/>
        <i x="2"/>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8"/>
    <pivotTable tabId="2" name="PivotTable1"/>
    <pivotTable tabId="2" name="PivotTable2"/>
    <pivotTable tabId="2" name="PivotTable3"/>
    <pivotTable tabId="2" name="PivotTable4"/>
    <pivotTable tabId="2" name="PivotTable7"/>
    <pivotTable tabId="2" name="PivotTable9"/>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8"/>
    <pivotTable tabId="2" name="PivotTable1"/>
    <pivotTable tabId="2" name="PivotTable2"/>
    <pivotTable tabId="2" name="PivotTable3"/>
    <pivotTable tabId="2" name="PivotTable4"/>
    <pivotTable tabId="2" name="PivotTable7"/>
    <pivotTable tabId="2" name="PivotTable9"/>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2" style="SlicerStyleDark1 2" rowHeight="234950"/>
  <slicer name="Category" cache="Slicer_Category" caption="Category" style="SlicerStyleDark1 2" rowHeight="234950"/>
  <slicer name="Year" cache="Slicer_Year" caption="Year" style="SlicerStyleDark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U15"/>
  <sheetViews>
    <sheetView showGridLines="0" tabSelected="1" zoomScale="76" zoomScaleNormal="90" workbookViewId="0">
      <selection activeCell="V7" sqref="V7"/>
    </sheetView>
  </sheetViews>
  <sheetFormatPr defaultRowHeight="13.8"/>
  <sheetData>
    <row r="15" spans="21:21">
      <c r="U15" t="s">
        <v>2728</v>
      </c>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workbookViewId="0">
      <selection activeCell="J2" sqref="A1:XFD1048576"/>
    </sheetView>
  </sheetViews>
  <sheetFormatPr defaultRowHeight="13.8"/>
  <cols>
    <col min="1" max="1" width="9.59765625" bestFit="1" customWidth="1"/>
    <col min="2" max="2" width="20.296875" bestFit="1" customWidth="1"/>
    <col min="3" max="3" width="16.796875" bestFit="1" customWidth="1"/>
    <col min="4" max="4" width="13" bestFit="1" customWidth="1"/>
    <col min="5" max="5" width="11.796875" bestFit="1" customWidth="1"/>
    <col min="6" max="6" width="67.59765625" customWidth="1"/>
    <col min="7" max="7" width="8.796875" bestFit="1" customWidth="1"/>
    <col min="8" max="8" width="7.69921875" bestFit="1" customWidth="1"/>
    <col min="9" max="9" width="8.5" bestFit="1" customWidth="1"/>
    <col min="10" max="10" width="5.8984375" bestFit="1" customWidth="1"/>
    <col min="11" max="11" width="4.8984375" bestFit="1"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321"/>
  <sheetViews>
    <sheetView showGridLines="0" topLeftCell="M1" workbookViewId="0">
      <selection activeCell="U22" sqref="U22"/>
    </sheetView>
  </sheetViews>
  <sheetFormatPr defaultRowHeight="13.8"/>
  <cols>
    <col min="1" max="1" width="13.09765625" customWidth="1"/>
    <col min="2" max="2" width="12.3984375" customWidth="1"/>
    <col min="3" max="3" width="13.09765625" customWidth="1"/>
    <col min="4" max="4" width="16.09765625" customWidth="1"/>
    <col min="5" max="5" width="14.296875" customWidth="1"/>
    <col min="6" max="6" width="11.19921875" customWidth="1"/>
    <col min="7" max="7" width="11" customWidth="1"/>
    <col min="8" max="8" width="4.796875" bestFit="1" customWidth="1"/>
    <col min="10" max="10" width="23" bestFit="1" customWidth="1"/>
    <col min="11" max="11" width="18.3984375" bestFit="1" customWidth="1"/>
    <col min="12" max="12" width="12.3984375" bestFit="1" customWidth="1"/>
    <col min="13" max="13" width="16.5" bestFit="1" customWidth="1"/>
    <col min="14" max="14" width="13.09765625" customWidth="1"/>
    <col min="15" max="15" width="12.3984375" customWidth="1"/>
    <col min="16" max="16" width="20.19921875" bestFit="1" customWidth="1"/>
    <col min="17" max="17" width="12.296875" customWidth="1"/>
    <col min="18" max="18" width="12.296875" bestFit="1" customWidth="1"/>
    <col min="19" max="20" width="13.09765625" customWidth="1"/>
    <col min="21" max="21" width="12.296875" customWidth="1"/>
    <col min="23" max="23" width="13.09765625" customWidth="1"/>
    <col min="24" max="24" width="12.3984375" bestFit="1" customWidth="1"/>
  </cols>
  <sheetData>
    <row r="1" spans="1:24">
      <c r="K1" t="s">
        <v>2719</v>
      </c>
    </row>
    <row r="2" spans="1:24">
      <c r="A2" t="s">
        <v>2724</v>
      </c>
      <c r="C2" t="s">
        <v>2725</v>
      </c>
      <c r="K2" t="s">
        <v>1</v>
      </c>
      <c r="L2" t="s">
        <v>10</v>
      </c>
      <c r="N2" t="s">
        <v>2720</v>
      </c>
    </row>
    <row r="3" spans="1:24">
      <c r="A3" t="s">
        <v>2710</v>
      </c>
      <c r="C3" s="1" t="s">
        <v>2713</v>
      </c>
      <c r="D3" s="1" t="s">
        <v>2726</v>
      </c>
      <c r="K3" t="s">
        <v>11</v>
      </c>
      <c r="L3">
        <v>2021</v>
      </c>
      <c r="N3" t="s">
        <v>2711</v>
      </c>
      <c r="O3" t="s">
        <v>2715</v>
      </c>
      <c r="T3" t="s">
        <v>2722</v>
      </c>
      <c r="W3" t="s">
        <v>2717</v>
      </c>
    </row>
    <row r="4" spans="1:24">
      <c r="A4" s="3">
        <v>1664242.1899999701</v>
      </c>
      <c r="C4" s="1" t="s">
        <v>2711</v>
      </c>
      <c r="D4" t="s">
        <v>36</v>
      </c>
      <c r="E4" t="s">
        <v>13</v>
      </c>
      <c r="F4" t="s">
        <v>41</v>
      </c>
      <c r="G4" t="s">
        <v>2712</v>
      </c>
      <c r="K4" t="s">
        <v>16</v>
      </c>
      <c r="L4">
        <v>2021</v>
      </c>
      <c r="N4">
        <v>2021</v>
      </c>
      <c r="O4">
        <v>595</v>
      </c>
      <c r="T4" s="1" t="s">
        <v>2711</v>
      </c>
      <c r="U4" t="s">
        <v>2713</v>
      </c>
      <c r="W4" s="1" t="s">
        <v>2711</v>
      </c>
      <c r="X4" t="s">
        <v>2710</v>
      </c>
    </row>
    <row r="5" spans="1:24">
      <c r="C5" s="2">
        <v>2021</v>
      </c>
      <c r="D5" s="3">
        <v>6477.73</v>
      </c>
      <c r="E5" s="3">
        <v>21146.929999999978</v>
      </c>
      <c r="F5" s="3">
        <v>20570.440000000013</v>
      </c>
      <c r="G5" s="3">
        <v>48195.099999999991</v>
      </c>
      <c r="K5" t="s">
        <v>24</v>
      </c>
      <c r="L5">
        <v>2021</v>
      </c>
      <c r="N5">
        <v>2022</v>
      </c>
      <c r="O5">
        <v>573</v>
      </c>
      <c r="T5" s="2" t="s">
        <v>400</v>
      </c>
      <c r="U5" s="3">
        <v>2964.1000000000004</v>
      </c>
      <c r="W5" s="2" t="s">
        <v>2698</v>
      </c>
      <c r="X5" s="3">
        <v>94924.87</v>
      </c>
    </row>
    <row r="6" spans="1:24">
      <c r="A6" t="s">
        <v>2723</v>
      </c>
      <c r="C6" s="2">
        <v>2022</v>
      </c>
      <c r="D6" s="3">
        <v>1165.2099999999996</v>
      </c>
      <c r="E6" s="3">
        <v>17877.649999999991</v>
      </c>
      <c r="F6" s="3">
        <v>30029.920000000002</v>
      </c>
      <c r="G6" s="3">
        <v>49072.779999999992</v>
      </c>
      <c r="K6" t="s">
        <v>28</v>
      </c>
      <c r="L6">
        <v>2021</v>
      </c>
      <c r="N6">
        <v>2023</v>
      </c>
      <c r="O6">
        <v>638</v>
      </c>
      <c r="T6" s="2" t="s">
        <v>1396</v>
      </c>
      <c r="U6" s="3">
        <v>3014.61</v>
      </c>
      <c r="W6" s="2" t="s">
        <v>2701</v>
      </c>
      <c r="X6" s="3">
        <v>137480.79</v>
      </c>
    </row>
    <row r="7" spans="1:24">
      <c r="A7" t="s">
        <v>2713</v>
      </c>
      <c r="C7" s="2">
        <v>2023</v>
      </c>
      <c r="D7" s="3">
        <v>7138.1699999999964</v>
      </c>
      <c r="E7" s="3">
        <v>32669.840000000018</v>
      </c>
      <c r="F7" s="3">
        <v>33370.690000000024</v>
      </c>
      <c r="G7" s="3">
        <v>73178.700000000041</v>
      </c>
      <c r="K7" t="s">
        <v>31</v>
      </c>
      <c r="L7">
        <v>2021</v>
      </c>
      <c r="N7">
        <v>2024</v>
      </c>
      <c r="O7">
        <v>513</v>
      </c>
      <c r="T7" s="2" t="s">
        <v>1819</v>
      </c>
      <c r="U7" s="3">
        <v>5196.9399999999996</v>
      </c>
      <c r="W7" s="2" t="s">
        <v>2702</v>
      </c>
      <c r="X7" s="3">
        <v>155028.82999999999</v>
      </c>
    </row>
    <row r="8" spans="1:24">
      <c r="A8" s="3">
        <v>209080.14000000051</v>
      </c>
      <c r="C8" s="2">
        <v>2024</v>
      </c>
      <c r="D8" s="3">
        <v>1642.0199999999993</v>
      </c>
      <c r="E8" s="3">
        <v>21795.039999999983</v>
      </c>
      <c r="F8" s="3">
        <v>15196.499999999998</v>
      </c>
      <c r="G8" s="3">
        <v>38633.559999999983</v>
      </c>
      <c r="K8" t="s">
        <v>34</v>
      </c>
      <c r="L8">
        <v>2021</v>
      </c>
      <c r="N8" t="s">
        <v>2712</v>
      </c>
      <c r="O8">
        <v>2319</v>
      </c>
      <c r="T8" s="2" t="s">
        <v>195</v>
      </c>
      <c r="U8" s="3">
        <v>5779.38</v>
      </c>
      <c r="W8" s="2" t="s">
        <v>2703</v>
      </c>
      <c r="X8" s="3">
        <v>152718.71999999986</v>
      </c>
    </row>
    <row r="9" spans="1:24">
      <c r="C9" s="2" t="s">
        <v>2712</v>
      </c>
      <c r="D9" s="3">
        <v>16423.129999999994</v>
      </c>
      <c r="E9" s="3">
        <v>93489.459999999963</v>
      </c>
      <c r="F9" s="3">
        <v>99167.550000000047</v>
      </c>
      <c r="G9" s="3">
        <v>209080.14</v>
      </c>
      <c r="K9" t="s">
        <v>48</v>
      </c>
      <c r="L9">
        <v>2021</v>
      </c>
      <c r="T9" s="2" t="s">
        <v>1578</v>
      </c>
      <c r="U9" s="3">
        <v>8981.32</v>
      </c>
      <c r="W9" s="2" t="s">
        <v>2704</v>
      </c>
      <c r="X9" s="3">
        <v>147238.11000000019</v>
      </c>
    </row>
    <row r="10" spans="1:24">
      <c r="K10" t="s">
        <v>52</v>
      </c>
      <c r="L10">
        <v>2021</v>
      </c>
      <c r="Q10" t="s">
        <v>2716</v>
      </c>
      <c r="R10" t="s">
        <v>6</v>
      </c>
      <c r="T10" s="2" t="s">
        <v>2712</v>
      </c>
      <c r="U10" s="3">
        <v>25936.35</v>
      </c>
      <c r="W10" s="2" t="s">
        <v>2705</v>
      </c>
      <c r="X10" s="3">
        <v>159043.99000000005</v>
      </c>
    </row>
    <row r="11" spans="1:24">
      <c r="A11" s="1" t="s">
        <v>2711</v>
      </c>
      <c r="B11" t="s">
        <v>2710</v>
      </c>
      <c r="D11" t="s">
        <v>2718</v>
      </c>
      <c r="K11" t="s">
        <v>56</v>
      </c>
      <c r="L11">
        <v>2021</v>
      </c>
      <c r="Q11" t="str">
        <f t="shared" ref="Q11:Q42" si="0">N14</f>
        <v>California</v>
      </c>
      <c r="R11">
        <f t="shared" ref="R11:R42" si="1">GETPIVOTDATA("Sales",$N$13,"State",Q11)</f>
        <v>338406.93000000116</v>
      </c>
      <c r="W11" s="2" t="s">
        <v>2706</v>
      </c>
      <c r="X11" s="3">
        <v>219783.30000000057</v>
      </c>
    </row>
    <row r="12" spans="1:24">
      <c r="A12" s="2" t="s">
        <v>37</v>
      </c>
      <c r="B12" s="3">
        <v>248131.69000000038</v>
      </c>
      <c r="D12" t="s">
        <v>2727</v>
      </c>
      <c r="E12" t="s">
        <v>6</v>
      </c>
      <c r="K12" t="s">
        <v>60</v>
      </c>
      <c r="L12">
        <v>2021</v>
      </c>
      <c r="N12" t="s">
        <v>2721</v>
      </c>
      <c r="Q12" t="str">
        <f t="shared" si="0"/>
        <v>New York</v>
      </c>
      <c r="R12">
        <f t="shared" si="1"/>
        <v>222542.68000000034</v>
      </c>
      <c r="W12" s="2" t="s">
        <v>2707</v>
      </c>
      <c r="X12" s="3">
        <v>122546.06999999989</v>
      </c>
    </row>
    <row r="13" spans="1:24">
      <c r="A13" s="2" t="s">
        <v>42</v>
      </c>
      <c r="B13" s="3">
        <v>242036.89000000028</v>
      </c>
      <c r="D13" t="str">
        <f t="shared" ref="D13:D29" si="2">A12</f>
        <v>Chairs</v>
      </c>
      <c r="E13">
        <f>GETPIVOTDATA("Sales",$A$11,"Sub-Category","Phones")</f>
        <v>242036.89000000028</v>
      </c>
      <c r="K13" t="s">
        <v>63</v>
      </c>
      <c r="L13">
        <v>2021</v>
      </c>
      <c r="N13" s="1" t="s">
        <v>2711</v>
      </c>
      <c r="O13" t="s">
        <v>2710</v>
      </c>
      <c r="Q13" t="str">
        <f t="shared" si="0"/>
        <v>Pennsylvania</v>
      </c>
      <c r="R13">
        <f t="shared" si="1"/>
        <v>88118.789999999964</v>
      </c>
      <c r="W13" s="2" t="s">
        <v>2708</v>
      </c>
      <c r="X13" s="3">
        <v>234013.28000000012</v>
      </c>
    </row>
    <row r="14" spans="1:24">
      <c r="A14" s="2" t="s">
        <v>20</v>
      </c>
      <c r="B14" s="3">
        <v>169762.18000000008</v>
      </c>
      <c r="D14" t="str">
        <f t="shared" si="2"/>
        <v>Phones</v>
      </c>
      <c r="E14">
        <v>277058.98000000045</v>
      </c>
      <c r="K14" t="s">
        <v>71</v>
      </c>
      <c r="L14">
        <v>2021</v>
      </c>
      <c r="N14" s="2" t="s">
        <v>29</v>
      </c>
      <c r="O14" s="3">
        <v>338406.93000000116</v>
      </c>
      <c r="Q14" t="str">
        <f t="shared" si="0"/>
        <v>Texas</v>
      </c>
      <c r="R14">
        <f t="shared" si="1"/>
        <v>127230.67000000003</v>
      </c>
      <c r="W14" s="2" t="s">
        <v>2709</v>
      </c>
      <c r="X14" s="3">
        <v>241464.23000000027</v>
      </c>
    </row>
    <row r="15" spans="1:24">
      <c r="A15" s="2" t="s">
        <v>22</v>
      </c>
      <c r="B15" s="3">
        <v>150963.97999999989</v>
      </c>
      <c r="D15" t="str">
        <f t="shared" si="2"/>
        <v>Storage</v>
      </c>
      <c r="E15">
        <v>190679.61000000019</v>
      </c>
      <c r="K15" t="s">
        <v>74</v>
      </c>
      <c r="L15">
        <v>2021</v>
      </c>
      <c r="N15" s="2" t="s">
        <v>151</v>
      </c>
      <c r="O15" s="3">
        <v>222542.68000000034</v>
      </c>
      <c r="Q15" t="str">
        <f t="shared" si="0"/>
        <v>Washington</v>
      </c>
      <c r="R15">
        <f t="shared" si="1"/>
        <v>86596.900000000009</v>
      </c>
      <c r="W15" s="2" t="s">
        <v>2712</v>
      </c>
      <c r="X15" s="3">
        <v>1664242.1900000006</v>
      </c>
    </row>
    <row r="16" spans="1:24">
      <c r="A16" s="2" t="s">
        <v>147</v>
      </c>
      <c r="B16" s="3">
        <v>146542.08000000002</v>
      </c>
      <c r="D16" t="str">
        <f t="shared" si="2"/>
        <v>Binders</v>
      </c>
      <c r="E16">
        <v>169089.72999999995</v>
      </c>
      <c r="K16" t="s">
        <v>79</v>
      </c>
      <c r="L16">
        <v>2021</v>
      </c>
      <c r="N16" s="2" t="s">
        <v>25</v>
      </c>
      <c r="O16" s="3">
        <v>88118.789999999964</v>
      </c>
      <c r="Q16" t="str">
        <f t="shared" si="0"/>
        <v>Grand Total</v>
      </c>
      <c r="R16" t="e">
        <f t="shared" si="1"/>
        <v>#REF!</v>
      </c>
    </row>
    <row r="17" spans="1:18">
      <c r="A17" s="2" t="s">
        <v>54</v>
      </c>
      <c r="B17" s="3">
        <v>125105.80999999997</v>
      </c>
      <c r="D17" t="str">
        <f t="shared" si="2"/>
        <v>Tables</v>
      </c>
      <c r="E17">
        <v>167672.76</v>
      </c>
      <c r="K17" t="s">
        <v>83</v>
      </c>
      <c r="L17">
        <v>2021</v>
      </c>
      <c r="N17" s="2" t="s">
        <v>12</v>
      </c>
      <c r="O17" s="3">
        <v>127230.67000000003</v>
      </c>
      <c r="Q17">
        <f t="shared" si="0"/>
        <v>0</v>
      </c>
      <c r="R17" t="e">
        <f t="shared" si="1"/>
        <v>#REF!</v>
      </c>
    </row>
    <row r="18" spans="1:18">
      <c r="A18" s="2" t="s">
        <v>304</v>
      </c>
      <c r="B18" s="3">
        <v>122735.94</v>
      </c>
      <c r="D18" t="str">
        <f t="shared" si="2"/>
        <v>Accessories</v>
      </c>
      <c r="E18">
        <v>166777.78000000003</v>
      </c>
      <c r="K18" t="s">
        <v>85</v>
      </c>
      <c r="L18">
        <v>2021</v>
      </c>
      <c r="N18" s="2" t="s">
        <v>166</v>
      </c>
      <c r="O18" s="3">
        <v>86596.900000000009</v>
      </c>
      <c r="Q18">
        <f t="shared" si="0"/>
        <v>0</v>
      </c>
      <c r="R18" t="e">
        <f t="shared" si="1"/>
        <v>#REF!</v>
      </c>
    </row>
    <row r="19" spans="1:18">
      <c r="A19" s="2" t="s">
        <v>605</v>
      </c>
      <c r="B19" s="3">
        <v>93378.51999999999</v>
      </c>
      <c r="D19" t="str">
        <f t="shared" si="2"/>
        <v>Machines</v>
      </c>
      <c r="E19">
        <v>139241.71000000002</v>
      </c>
      <c r="K19" t="s">
        <v>87</v>
      </c>
      <c r="L19">
        <v>2021</v>
      </c>
      <c r="N19" s="2" t="s">
        <v>2712</v>
      </c>
      <c r="O19" s="3">
        <v>862895.97000000149</v>
      </c>
      <c r="Q19">
        <f t="shared" si="0"/>
        <v>0</v>
      </c>
      <c r="R19" t="e">
        <f t="shared" si="1"/>
        <v>#REF!</v>
      </c>
    </row>
    <row r="20" spans="1:18">
      <c r="A20" s="2" t="s">
        <v>76</v>
      </c>
      <c r="B20" s="3">
        <v>92386.130000000107</v>
      </c>
      <c r="D20" t="str">
        <f t="shared" si="2"/>
        <v>Copiers</v>
      </c>
      <c r="E20">
        <v>118968.23999999999</v>
      </c>
      <c r="K20" t="s">
        <v>92</v>
      </c>
      <c r="L20">
        <v>2021</v>
      </c>
      <c r="Q20">
        <f t="shared" si="0"/>
        <v>0</v>
      </c>
      <c r="R20" t="e">
        <f t="shared" si="1"/>
        <v>#REF!</v>
      </c>
    </row>
    <row r="21" spans="1:18">
      <c r="A21" s="2" t="s">
        <v>94</v>
      </c>
      <c r="B21" s="3">
        <v>76179.509999999995</v>
      </c>
      <c r="D21" t="str">
        <f t="shared" si="2"/>
        <v>Bookcases</v>
      </c>
      <c r="E21">
        <v>101387.67000000013</v>
      </c>
      <c r="K21" t="s">
        <v>96</v>
      </c>
      <c r="L21">
        <v>2021</v>
      </c>
      <c r="Q21">
        <f t="shared" si="0"/>
        <v>0</v>
      </c>
      <c r="R21" t="e">
        <f t="shared" si="1"/>
        <v>#REF!</v>
      </c>
    </row>
    <row r="22" spans="1:18">
      <c r="A22" s="2" t="s">
        <v>49</v>
      </c>
      <c r="B22" s="3">
        <v>68747.989999999947</v>
      </c>
      <c r="D22" t="str">
        <f t="shared" si="2"/>
        <v>Appliances</v>
      </c>
      <c r="E22">
        <v>87846.099999999991</v>
      </c>
      <c r="K22" t="s">
        <v>102</v>
      </c>
      <c r="L22">
        <v>2021</v>
      </c>
      <c r="Q22">
        <f t="shared" si="0"/>
        <v>0</v>
      </c>
      <c r="R22" t="e">
        <f t="shared" si="1"/>
        <v>#REF!</v>
      </c>
    </row>
    <row r="23" spans="1:18">
      <c r="A23" s="2" t="s">
        <v>14</v>
      </c>
      <c r="B23" s="3">
        <v>55431.820000000029</v>
      </c>
      <c r="D23" t="str">
        <f t="shared" si="2"/>
        <v>Furnishings</v>
      </c>
      <c r="E23">
        <v>76222.689999999944</v>
      </c>
      <c r="K23" t="s">
        <v>109</v>
      </c>
      <c r="L23">
        <v>2021</v>
      </c>
      <c r="Q23">
        <f t="shared" si="0"/>
        <v>0</v>
      </c>
      <c r="R23" t="e">
        <f t="shared" si="1"/>
        <v>#REF!</v>
      </c>
    </row>
    <row r="24" spans="1:18">
      <c r="A24" s="2" t="s">
        <v>202</v>
      </c>
      <c r="B24" s="3">
        <v>27628.710000000014</v>
      </c>
      <c r="D24" t="str">
        <f t="shared" si="2"/>
        <v>Paper</v>
      </c>
      <c r="E24">
        <v>64529.990000000034</v>
      </c>
      <c r="K24" t="s">
        <v>111</v>
      </c>
      <c r="L24">
        <v>2021</v>
      </c>
      <c r="Q24">
        <f t="shared" si="0"/>
        <v>0</v>
      </c>
      <c r="R24" t="e">
        <f t="shared" si="1"/>
        <v>#REF!</v>
      </c>
    </row>
    <row r="25" spans="1:18">
      <c r="A25" s="2" t="s">
        <v>26</v>
      </c>
      <c r="B25" s="3">
        <v>20837.100000000006</v>
      </c>
      <c r="D25" t="str">
        <f t="shared" si="2"/>
        <v>Supplies</v>
      </c>
      <c r="E25">
        <v>38554.810000000027</v>
      </c>
      <c r="K25" t="s">
        <v>121</v>
      </c>
      <c r="L25">
        <v>2021</v>
      </c>
      <c r="Q25">
        <f t="shared" si="0"/>
        <v>0</v>
      </c>
      <c r="R25" t="e">
        <f t="shared" si="1"/>
        <v>#REF!</v>
      </c>
    </row>
    <row r="26" spans="1:18">
      <c r="A26" s="2" t="s">
        <v>65</v>
      </c>
      <c r="B26" s="3">
        <v>12392.299999999997</v>
      </c>
      <c r="D26" t="str">
        <f t="shared" si="2"/>
        <v>Art</v>
      </c>
      <c r="E26">
        <v>23145.500000000011</v>
      </c>
      <c r="K26" t="s">
        <v>124</v>
      </c>
      <c r="L26">
        <v>2021</v>
      </c>
      <c r="Q26">
        <f t="shared" si="0"/>
        <v>0</v>
      </c>
      <c r="R26" t="e">
        <f t="shared" si="1"/>
        <v>#REF!</v>
      </c>
    </row>
    <row r="27" spans="1:18">
      <c r="A27" s="2" t="s">
        <v>18</v>
      </c>
      <c r="B27" s="3">
        <v>9805.5500000000084</v>
      </c>
      <c r="D27" t="str">
        <f t="shared" si="2"/>
        <v>Envelopes</v>
      </c>
      <c r="E27">
        <v>14717.39</v>
      </c>
      <c r="K27" t="s">
        <v>127</v>
      </c>
      <c r="L27">
        <v>2021</v>
      </c>
      <c r="Q27">
        <f t="shared" si="0"/>
        <v>0</v>
      </c>
      <c r="R27" t="e">
        <f t="shared" si="1"/>
        <v>#REF!</v>
      </c>
    </row>
    <row r="28" spans="1:18">
      <c r="A28" s="2" t="s">
        <v>45</v>
      </c>
      <c r="B28" s="3">
        <v>2175.9899999999993</v>
      </c>
      <c r="D28" t="str">
        <f t="shared" si="2"/>
        <v>Labels</v>
      </c>
      <c r="E28">
        <v>11045.550000000012</v>
      </c>
      <c r="K28" t="s">
        <v>130</v>
      </c>
      <c r="L28">
        <v>2021</v>
      </c>
      <c r="Q28">
        <f t="shared" si="0"/>
        <v>0</v>
      </c>
      <c r="R28" t="e">
        <f t="shared" si="1"/>
        <v>#REF!</v>
      </c>
    </row>
    <row r="29" spans="1:18">
      <c r="A29" s="2" t="s">
        <v>2712</v>
      </c>
      <c r="B29" s="3">
        <v>1664242.1900000011</v>
      </c>
      <c r="D29" t="str">
        <f t="shared" si="2"/>
        <v>Fasteners</v>
      </c>
      <c r="E29">
        <v>2484.9300000000003</v>
      </c>
      <c r="K29" t="s">
        <v>133</v>
      </c>
      <c r="L29">
        <v>2021</v>
      </c>
      <c r="Q29">
        <f t="shared" si="0"/>
        <v>0</v>
      </c>
      <c r="R29" t="e">
        <f t="shared" si="1"/>
        <v>#REF!</v>
      </c>
    </row>
    <row r="30" spans="1:18">
      <c r="K30" t="s">
        <v>141</v>
      </c>
      <c r="L30">
        <v>2021</v>
      </c>
      <c r="Q30">
        <f t="shared" si="0"/>
        <v>0</v>
      </c>
      <c r="R30" t="e">
        <f t="shared" si="1"/>
        <v>#REF!</v>
      </c>
    </row>
    <row r="31" spans="1:18">
      <c r="A31">
        <f>GETPIVOTDATA("Sales",$A$3)</f>
        <v>1664242.1899999701</v>
      </c>
      <c r="K31" t="s">
        <v>145</v>
      </c>
      <c r="L31">
        <v>2021</v>
      </c>
      <c r="Q31">
        <f t="shared" si="0"/>
        <v>0</v>
      </c>
      <c r="R31" t="e">
        <f t="shared" si="1"/>
        <v>#REF!</v>
      </c>
    </row>
    <row r="32" spans="1:18">
      <c r="A32">
        <f>GETPIVOTDATA("Profit",$C$3)</f>
        <v>209080.14</v>
      </c>
      <c r="K32" t="s">
        <v>150</v>
      </c>
      <c r="L32">
        <v>2021</v>
      </c>
      <c r="Q32">
        <f t="shared" si="0"/>
        <v>0</v>
      </c>
      <c r="R32" t="e">
        <f t="shared" si="1"/>
        <v>#REF!</v>
      </c>
    </row>
    <row r="33" spans="11:18">
      <c r="K33" t="s">
        <v>153</v>
      </c>
      <c r="L33">
        <v>2021</v>
      </c>
      <c r="Q33">
        <f t="shared" si="0"/>
        <v>0</v>
      </c>
      <c r="R33" t="e">
        <f t="shared" si="1"/>
        <v>#REF!</v>
      </c>
    </row>
    <row r="34" spans="11:18">
      <c r="K34" t="s">
        <v>156</v>
      </c>
      <c r="L34">
        <v>2021</v>
      </c>
      <c r="Q34">
        <f t="shared" si="0"/>
        <v>0</v>
      </c>
      <c r="R34" t="e">
        <f t="shared" si="1"/>
        <v>#REF!</v>
      </c>
    </row>
    <row r="35" spans="11:18">
      <c r="K35" t="s">
        <v>158</v>
      </c>
      <c r="L35">
        <v>2021</v>
      </c>
      <c r="Q35">
        <f t="shared" si="0"/>
        <v>0</v>
      </c>
      <c r="R35" t="e">
        <f t="shared" si="1"/>
        <v>#REF!</v>
      </c>
    </row>
    <row r="36" spans="11:18">
      <c r="K36" t="s">
        <v>161</v>
      </c>
      <c r="L36">
        <v>2021</v>
      </c>
      <c r="Q36">
        <f t="shared" si="0"/>
        <v>0</v>
      </c>
      <c r="R36" t="e">
        <f t="shared" si="1"/>
        <v>#REF!</v>
      </c>
    </row>
    <row r="37" spans="11:18">
      <c r="K37" t="s">
        <v>163</v>
      </c>
      <c r="L37">
        <v>2021</v>
      </c>
      <c r="Q37">
        <f t="shared" si="0"/>
        <v>0</v>
      </c>
      <c r="R37" t="e">
        <f t="shared" si="1"/>
        <v>#REF!</v>
      </c>
    </row>
    <row r="38" spans="11:18">
      <c r="K38" t="s">
        <v>169</v>
      </c>
      <c r="L38">
        <v>2021</v>
      </c>
      <c r="Q38">
        <f t="shared" si="0"/>
        <v>0</v>
      </c>
      <c r="R38" t="e">
        <f t="shared" si="1"/>
        <v>#REF!</v>
      </c>
    </row>
    <row r="39" spans="11:18">
      <c r="K39" t="s">
        <v>172</v>
      </c>
      <c r="L39">
        <v>2021</v>
      </c>
      <c r="Q39">
        <f t="shared" si="0"/>
        <v>0</v>
      </c>
      <c r="R39" t="e">
        <f t="shared" si="1"/>
        <v>#REF!</v>
      </c>
    </row>
    <row r="40" spans="11:18">
      <c r="K40" t="s">
        <v>173</v>
      </c>
      <c r="L40">
        <v>2021</v>
      </c>
      <c r="Q40">
        <f t="shared" si="0"/>
        <v>0</v>
      </c>
      <c r="R40" t="e">
        <f t="shared" si="1"/>
        <v>#REF!</v>
      </c>
    </row>
    <row r="41" spans="11:18">
      <c r="K41" t="s">
        <v>178</v>
      </c>
      <c r="L41">
        <v>2021</v>
      </c>
      <c r="Q41">
        <f t="shared" si="0"/>
        <v>0</v>
      </c>
      <c r="R41" t="e">
        <f t="shared" si="1"/>
        <v>#REF!</v>
      </c>
    </row>
    <row r="42" spans="11:18">
      <c r="K42" t="s">
        <v>182</v>
      </c>
      <c r="L42">
        <v>2021</v>
      </c>
      <c r="Q42">
        <f t="shared" si="0"/>
        <v>0</v>
      </c>
      <c r="R42" t="e">
        <f t="shared" si="1"/>
        <v>#REF!</v>
      </c>
    </row>
    <row r="43" spans="11:18">
      <c r="K43" t="s">
        <v>184</v>
      </c>
      <c r="L43">
        <v>2021</v>
      </c>
      <c r="Q43">
        <f t="shared" ref="Q43:Q59" si="3">N46</f>
        <v>0</v>
      </c>
      <c r="R43" t="e">
        <f t="shared" ref="R43:R74" si="4">GETPIVOTDATA("Sales",$N$13,"State",Q43)</f>
        <v>#REF!</v>
      </c>
    </row>
    <row r="44" spans="11:18">
      <c r="K44" t="s">
        <v>187</v>
      </c>
      <c r="L44">
        <v>2021</v>
      </c>
      <c r="Q44">
        <f t="shared" si="3"/>
        <v>0</v>
      </c>
      <c r="R44" t="e">
        <f t="shared" si="4"/>
        <v>#REF!</v>
      </c>
    </row>
    <row r="45" spans="11:18">
      <c r="K45" t="s">
        <v>195</v>
      </c>
      <c r="L45">
        <v>2021</v>
      </c>
      <c r="Q45">
        <f t="shared" si="3"/>
        <v>0</v>
      </c>
      <c r="R45" t="e">
        <f t="shared" si="4"/>
        <v>#REF!</v>
      </c>
    </row>
    <row r="46" spans="11:18">
      <c r="K46" t="s">
        <v>197</v>
      </c>
      <c r="L46">
        <v>2021</v>
      </c>
      <c r="Q46">
        <f t="shared" si="3"/>
        <v>0</v>
      </c>
      <c r="R46" t="e">
        <f t="shared" si="4"/>
        <v>#REF!</v>
      </c>
    </row>
    <row r="47" spans="11:18">
      <c r="K47" t="s">
        <v>199</v>
      </c>
      <c r="L47">
        <v>2021</v>
      </c>
      <c r="Q47">
        <f t="shared" si="3"/>
        <v>0</v>
      </c>
      <c r="R47" t="e">
        <f t="shared" si="4"/>
        <v>#REF!</v>
      </c>
    </row>
    <row r="48" spans="11:18">
      <c r="K48" t="s">
        <v>204</v>
      </c>
      <c r="L48">
        <v>2021</v>
      </c>
      <c r="Q48">
        <f t="shared" si="3"/>
        <v>0</v>
      </c>
      <c r="R48" t="e">
        <f t="shared" si="4"/>
        <v>#REF!</v>
      </c>
    </row>
    <row r="49" spans="11:18">
      <c r="K49" t="s">
        <v>206</v>
      </c>
      <c r="L49">
        <v>2021</v>
      </c>
      <c r="Q49">
        <f t="shared" si="3"/>
        <v>0</v>
      </c>
      <c r="R49" t="e">
        <f t="shared" si="4"/>
        <v>#REF!</v>
      </c>
    </row>
    <row r="50" spans="11:18">
      <c r="K50" t="s">
        <v>210</v>
      </c>
      <c r="L50">
        <v>2021</v>
      </c>
      <c r="Q50">
        <f t="shared" si="3"/>
        <v>0</v>
      </c>
      <c r="R50" t="e">
        <f t="shared" si="4"/>
        <v>#REF!</v>
      </c>
    </row>
    <row r="51" spans="11:18">
      <c r="K51" t="s">
        <v>212</v>
      </c>
      <c r="L51">
        <v>2021</v>
      </c>
      <c r="Q51">
        <f t="shared" si="3"/>
        <v>0</v>
      </c>
      <c r="R51" t="e">
        <f t="shared" si="4"/>
        <v>#REF!</v>
      </c>
    </row>
    <row r="52" spans="11:18">
      <c r="K52" t="s">
        <v>214</v>
      </c>
      <c r="L52">
        <v>2021</v>
      </c>
      <c r="Q52">
        <f t="shared" si="3"/>
        <v>0</v>
      </c>
      <c r="R52" t="e">
        <f t="shared" si="4"/>
        <v>#REF!</v>
      </c>
    </row>
    <row r="53" spans="11:18">
      <c r="K53" t="s">
        <v>217</v>
      </c>
      <c r="L53">
        <v>2021</v>
      </c>
      <c r="Q53">
        <f t="shared" si="3"/>
        <v>0</v>
      </c>
      <c r="R53" t="e">
        <f t="shared" si="4"/>
        <v>#REF!</v>
      </c>
    </row>
    <row r="54" spans="11:18">
      <c r="K54" t="s">
        <v>219</v>
      </c>
      <c r="L54">
        <v>2021</v>
      </c>
      <c r="Q54">
        <f t="shared" si="3"/>
        <v>0</v>
      </c>
      <c r="R54" t="e">
        <f t="shared" si="4"/>
        <v>#REF!</v>
      </c>
    </row>
    <row r="55" spans="11:18">
      <c r="K55" t="s">
        <v>220</v>
      </c>
      <c r="L55">
        <v>2021</v>
      </c>
      <c r="Q55">
        <f t="shared" si="3"/>
        <v>0</v>
      </c>
      <c r="R55" t="e">
        <f t="shared" si="4"/>
        <v>#REF!</v>
      </c>
    </row>
    <row r="56" spans="11:18">
      <c r="K56" t="s">
        <v>222</v>
      </c>
      <c r="L56">
        <v>2021</v>
      </c>
      <c r="Q56">
        <f t="shared" si="3"/>
        <v>0</v>
      </c>
      <c r="R56" t="e">
        <f t="shared" si="4"/>
        <v>#REF!</v>
      </c>
    </row>
    <row r="57" spans="11:18">
      <c r="K57" t="s">
        <v>225</v>
      </c>
      <c r="L57">
        <v>2021</v>
      </c>
      <c r="Q57">
        <f t="shared" si="3"/>
        <v>0</v>
      </c>
      <c r="R57" t="e">
        <f t="shared" si="4"/>
        <v>#REF!</v>
      </c>
    </row>
    <row r="58" spans="11:18">
      <c r="K58" t="s">
        <v>227</v>
      </c>
      <c r="L58">
        <v>2021</v>
      </c>
      <c r="Q58">
        <f t="shared" si="3"/>
        <v>0</v>
      </c>
      <c r="R58" t="e">
        <f t="shared" si="4"/>
        <v>#REF!</v>
      </c>
    </row>
    <row r="59" spans="11:18">
      <c r="K59" t="s">
        <v>229</v>
      </c>
      <c r="L59">
        <v>2021</v>
      </c>
      <c r="Q59">
        <f t="shared" si="3"/>
        <v>0</v>
      </c>
      <c r="R59" t="e">
        <f t="shared" si="4"/>
        <v>#REF!</v>
      </c>
    </row>
    <row r="60" spans="11:18">
      <c r="K60" t="s">
        <v>230</v>
      </c>
      <c r="L60">
        <v>2021</v>
      </c>
    </row>
    <row r="61" spans="11:18">
      <c r="K61" t="s">
        <v>232</v>
      </c>
      <c r="L61">
        <v>2021</v>
      </c>
    </row>
    <row r="62" spans="11:18">
      <c r="K62" t="s">
        <v>235</v>
      </c>
      <c r="L62">
        <v>2021</v>
      </c>
    </row>
    <row r="63" spans="11:18">
      <c r="K63" t="s">
        <v>239</v>
      </c>
      <c r="L63">
        <v>2021</v>
      </c>
    </row>
    <row r="64" spans="11:18">
      <c r="K64" t="s">
        <v>241</v>
      </c>
      <c r="L64">
        <v>2021</v>
      </c>
    </row>
    <row r="65" spans="11:12">
      <c r="K65" t="s">
        <v>243</v>
      </c>
      <c r="L65">
        <v>2021</v>
      </c>
    </row>
    <row r="66" spans="11:12">
      <c r="K66" t="s">
        <v>246</v>
      </c>
      <c r="L66">
        <v>2021</v>
      </c>
    </row>
    <row r="67" spans="11:12">
      <c r="K67" t="s">
        <v>248</v>
      </c>
      <c r="L67">
        <v>2021</v>
      </c>
    </row>
    <row r="68" spans="11:12">
      <c r="K68" t="s">
        <v>251</v>
      </c>
      <c r="L68">
        <v>2021</v>
      </c>
    </row>
    <row r="69" spans="11:12">
      <c r="K69" t="s">
        <v>254</v>
      </c>
      <c r="L69">
        <v>2021</v>
      </c>
    </row>
    <row r="70" spans="11:12">
      <c r="K70" t="s">
        <v>256</v>
      </c>
      <c r="L70">
        <v>2021</v>
      </c>
    </row>
    <row r="71" spans="11:12">
      <c r="K71" t="s">
        <v>258</v>
      </c>
      <c r="L71">
        <v>2021</v>
      </c>
    </row>
    <row r="72" spans="11:12">
      <c r="K72" t="s">
        <v>261</v>
      </c>
      <c r="L72">
        <v>2021</v>
      </c>
    </row>
    <row r="73" spans="11:12">
      <c r="K73" t="s">
        <v>270</v>
      </c>
      <c r="L73">
        <v>2021</v>
      </c>
    </row>
    <row r="74" spans="11:12">
      <c r="K74" t="s">
        <v>272</v>
      </c>
      <c r="L74">
        <v>2021</v>
      </c>
    </row>
    <row r="75" spans="11:12">
      <c r="K75" t="s">
        <v>277</v>
      </c>
      <c r="L75">
        <v>2021</v>
      </c>
    </row>
    <row r="76" spans="11:12">
      <c r="K76" t="s">
        <v>279</v>
      </c>
      <c r="L76">
        <v>2021</v>
      </c>
    </row>
    <row r="77" spans="11:12">
      <c r="K77" t="s">
        <v>282</v>
      </c>
      <c r="L77">
        <v>2021</v>
      </c>
    </row>
    <row r="78" spans="11:12">
      <c r="K78" t="s">
        <v>285</v>
      </c>
      <c r="L78">
        <v>2021</v>
      </c>
    </row>
    <row r="79" spans="11:12">
      <c r="K79" t="s">
        <v>287</v>
      </c>
      <c r="L79">
        <v>2021</v>
      </c>
    </row>
    <row r="80" spans="11:12">
      <c r="K80" t="s">
        <v>291</v>
      </c>
      <c r="L80">
        <v>2021</v>
      </c>
    </row>
    <row r="81" spans="11:12">
      <c r="K81" t="s">
        <v>293</v>
      </c>
      <c r="L81">
        <v>2021</v>
      </c>
    </row>
    <row r="82" spans="11:12">
      <c r="K82" t="s">
        <v>295</v>
      </c>
      <c r="L82">
        <v>2021</v>
      </c>
    </row>
    <row r="83" spans="11:12">
      <c r="K83" t="s">
        <v>297</v>
      </c>
      <c r="L83">
        <v>2021</v>
      </c>
    </row>
    <row r="84" spans="11:12">
      <c r="K84" t="s">
        <v>303</v>
      </c>
      <c r="L84">
        <v>2021</v>
      </c>
    </row>
    <row r="85" spans="11:12">
      <c r="K85" t="s">
        <v>307</v>
      </c>
      <c r="L85">
        <v>2021</v>
      </c>
    </row>
    <row r="86" spans="11:12">
      <c r="K86" t="s">
        <v>309</v>
      </c>
      <c r="L86">
        <v>2021</v>
      </c>
    </row>
    <row r="87" spans="11:12">
      <c r="K87" t="s">
        <v>316</v>
      </c>
      <c r="L87">
        <v>2021</v>
      </c>
    </row>
    <row r="88" spans="11:12">
      <c r="K88" t="s">
        <v>321</v>
      </c>
      <c r="L88">
        <v>2021</v>
      </c>
    </row>
    <row r="89" spans="11:12">
      <c r="K89" t="s">
        <v>327</v>
      </c>
      <c r="L89">
        <v>2021</v>
      </c>
    </row>
    <row r="90" spans="11:12">
      <c r="K90" t="s">
        <v>336</v>
      </c>
      <c r="L90">
        <v>2021</v>
      </c>
    </row>
    <row r="91" spans="11:12">
      <c r="K91" t="s">
        <v>338</v>
      </c>
      <c r="L91">
        <v>2021</v>
      </c>
    </row>
    <row r="92" spans="11:12">
      <c r="K92" t="s">
        <v>343</v>
      </c>
      <c r="L92">
        <v>2021</v>
      </c>
    </row>
    <row r="93" spans="11:12">
      <c r="K93" t="s">
        <v>345</v>
      </c>
      <c r="L93">
        <v>2021</v>
      </c>
    </row>
    <row r="94" spans="11:12">
      <c r="K94" t="s">
        <v>348</v>
      </c>
      <c r="L94">
        <v>2021</v>
      </c>
    </row>
    <row r="95" spans="11:12">
      <c r="K95" t="s">
        <v>354</v>
      </c>
      <c r="L95">
        <v>2021</v>
      </c>
    </row>
    <row r="96" spans="11:12">
      <c r="K96" t="s">
        <v>357</v>
      </c>
      <c r="L96">
        <v>2021</v>
      </c>
    </row>
    <row r="97" spans="11:12">
      <c r="K97" t="s">
        <v>359</v>
      </c>
      <c r="L97">
        <v>2021</v>
      </c>
    </row>
    <row r="98" spans="11:12">
      <c r="K98" t="s">
        <v>365</v>
      </c>
      <c r="L98">
        <v>2021</v>
      </c>
    </row>
    <row r="99" spans="11:12">
      <c r="K99" t="s">
        <v>368</v>
      </c>
      <c r="L99">
        <v>2021</v>
      </c>
    </row>
    <row r="100" spans="11:12">
      <c r="K100" t="s">
        <v>371</v>
      </c>
      <c r="L100">
        <v>2021</v>
      </c>
    </row>
    <row r="101" spans="11:12">
      <c r="K101" t="s">
        <v>374</v>
      </c>
      <c r="L101">
        <v>2021</v>
      </c>
    </row>
    <row r="102" spans="11:12">
      <c r="K102" t="s">
        <v>375</v>
      </c>
      <c r="L102">
        <v>2021</v>
      </c>
    </row>
    <row r="103" spans="11:12">
      <c r="K103" t="s">
        <v>378</v>
      </c>
      <c r="L103">
        <v>2021</v>
      </c>
    </row>
    <row r="104" spans="11:12">
      <c r="K104" t="s">
        <v>380</v>
      </c>
      <c r="L104">
        <v>2021</v>
      </c>
    </row>
    <row r="105" spans="11:12">
      <c r="K105" t="s">
        <v>382</v>
      </c>
      <c r="L105">
        <v>2021</v>
      </c>
    </row>
    <row r="106" spans="11:12">
      <c r="K106" t="s">
        <v>385</v>
      </c>
      <c r="L106">
        <v>2021</v>
      </c>
    </row>
    <row r="107" spans="11:12">
      <c r="K107" t="s">
        <v>389</v>
      </c>
      <c r="L107">
        <v>2021</v>
      </c>
    </row>
    <row r="108" spans="11:12">
      <c r="K108" t="s">
        <v>391</v>
      </c>
      <c r="L108">
        <v>2021</v>
      </c>
    </row>
    <row r="109" spans="11:12">
      <c r="K109" t="s">
        <v>394</v>
      </c>
      <c r="L109">
        <v>2021</v>
      </c>
    </row>
    <row r="110" spans="11:12">
      <c r="K110" t="s">
        <v>396</v>
      </c>
      <c r="L110">
        <v>2021</v>
      </c>
    </row>
    <row r="111" spans="11:12">
      <c r="K111" t="s">
        <v>400</v>
      </c>
      <c r="L111">
        <v>2021</v>
      </c>
    </row>
    <row r="112" spans="11:12">
      <c r="K112" t="s">
        <v>403</v>
      </c>
      <c r="L112">
        <v>2021</v>
      </c>
    </row>
    <row r="113" spans="11:12">
      <c r="K113" t="s">
        <v>405</v>
      </c>
      <c r="L113">
        <v>2021</v>
      </c>
    </row>
    <row r="114" spans="11:12">
      <c r="K114" t="s">
        <v>407</v>
      </c>
      <c r="L114">
        <v>2021</v>
      </c>
    </row>
    <row r="115" spans="11:12">
      <c r="K115" t="s">
        <v>409</v>
      </c>
      <c r="L115">
        <v>2021</v>
      </c>
    </row>
    <row r="116" spans="11:12">
      <c r="K116" t="s">
        <v>412</v>
      </c>
      <c r="L116">
        <v>2021</v>
      </c>
    </row>
    <row r="117" spans="11:12">
      <c r="K117" t="s">
        <v>415</v>
      </c>
      <c r="L117">
        <v>2021</v>
      </c>
    </row>
    <row r="118" spans="11:12">
      <c r="K118" t="s">
        <v>419</v>
      </c>
      <c r="L118">
        <v>2021</v>
      </c>
    </row>
    <row r="119" spans="11:12">
      <c r="K119" t="s">
        <v>421</v>
      </c>
      <c r="L119">
        <v>2021</v>
      </c>
    </row>
    <row r="120" spans="11:12">
      <c r="K120" t="s">
        <v>424</v>
      </c>
      <c r="L120">
        <v>2021</v>
      </c>
    </row>
    <row r="121" spans="11:12">
      <c r="K121" t="s">
        <v>426</v>
      </c>
      <c r="L121">
        <v>2021</v>
      </c>
    </row>
    <row r="122" spans="11:12">
      <c r="K122" t="s">
        <v>429</v>
      </c>
      <c r="L122">
        <v>2021</v>
      </c>
    </row>
    <row r="123" spans="11:12">
      <c r="K123" t="s">
        <v>431</v>
      </c>
      <c r="L123">
        <v>2021</v>
      </c>
    </row>
    <row r="124" spans="11:12">
      <c r="K124" t="s">
        <v>435</v>
      </c>
      <c r="L124">
        <v>2021</v>
      </c>
    </row>
    <row r="125" spans="11:12">
      <c r="K125" t="s">
        <v>439</v>
      </c>
      <c r="L125">
        <v>2021</v>
      </c>
    </row>
    <row r="126" spans="11:12">
      <c r="K126" t="s">
        <v>445</v>
      </c>
      <c r="L126">
        <v>2021</v>
      </c>
    </row>
    <row r="127" spans="11:12">
      <c r="K127" t="s">
        <v>447</v>
      </c>
      <c r="L127">
        <v>2021</v>
      </c>
    </row>
    <row r="128" spans="11:12">
      <c r="K128" t="s">
        <v>448</v>
      </c>
      <c r="L128">
        <v>2021</v>
      </c>
    </row>
    <row r="129" spans="11:12">
      <c r="K129" t="s">
        <v>452</v>
      </c>
      <c r="L129">
        <v>2021</v>
      </c>
    </row>
    <row r="130" spans="11:12">
      <c r="K130" t="s">
        <v>454</v>
      </c>
      <c r="L130">
        <v>2021</v>
      </c>
    </row>
    <row r="131" spans="11:12">
      <c r="K131" t="s">
        <v>458</v>
      </c>
      <c r="L131">
        <v>2021</v>
      </c>
    </row>
    <row r="132" spans="11:12">
      <c r="K132" t="s">
        <v>460</v>
      </c>
      <c r="L132">
        <v>2021</v>
      </c>
    </row>
    <row r="133" spans="11:12">
      <c r="K133" t="s">
        <v>464</v>
      </c>
      <c r="L133">
        <v>2021</v>
      </c>
    </row>
    <row r="134" spans="11:12">
      <c r="K134" t="s">
        <v>467</v>
      </c>
      <c r="L134">
        <v>2021</v>
      </c>
    </row>
    <row r="135" spans="11:12">
      <c r="K135" t="s">
        <v>470</v>
      </c>
      <c r="L135">
        <v>2021</v>
      </c>
    </row>
    <row r="136" spans="11:12">
      <c r="K136" t="s">
        <v>472</v>
      </c>
      <c r="L136">
        <v>2021</v>
      </c>
    </row>
    <row r="137" spans="11:12">
      <c r="K137" t="s">
        <v>477</v>
      </c>
      <c r="L137">
        <v>2021</v>
      </c>
    </row>
    <row r="138" spans="11:12">
      <c r="K138" t="s">
        <v>480</v>
      </c>
      <c r="L138">
        <v>2021</v>
      </c>
    </row>
    <row r="139" spans="11:12">
      <c r="K139" t="s">
        <v>485</v>
      </c>
      <c r="L139">
        <v>2021</v>
      </c>
    </row>
    <row r="140" spans="11:12">
      <c r="K140" t="s">
        <v>489</v>
      </c>
      <c r="L140">
        <v>2021</v>
      </c>
    </row>
    <row r="141" spans="11:12">
      <c r="K141" t="s">
        <v>492</v>
      </c>
      <c r="L141">
        <v>2021</v>
      </c>
    </row>
    <row r="142" spans="11:12">
      <c r="K142" t="s">
        <v>494</v>
      </c>
      <c r="L142">
        <v>2021</v>
      </c>
    </row>
    <row r="143" spans="11:12">
      <c r="K143" t="s">
        <v>497</v>
      </c>
      <c r="L143">
        <v>2021</v>
      </c>
    </row>
    <row r="144" spans="11:12">
      <c r="K144" t="s">
        <v>500</v>
      </c>
      <c r="L144">
        <v>2021</v>
      </c>
    </row>
    <row r="145" spans="11:12">
      <c r="K145" t="s">
        <v>502</v>
      </c>
      <c r="L145">
        <v>2021</v>
      </c>
    </row>
    <row r="146" spans="11:12">
      <c r="K146" t="s">
        <v>505</v>
      </c>
      <c r="L146">
        <v>2021</v>
      </c>
    </row>
    <row r="147" spans="11:12">
      <c r="K147" t="s">
        <v>507</v>
      </c>
      <c r="L147">
        <v>2021</v>
      </c>
    </row>
    <row r="148" spans="11:12">
      <c r="K148" t="s">
        <v>511</v>
      </c>
      <c r="L148">
        <v>2021</v>
      </c>
    </row>
    <row r="149" spans="11:12">
      <c r="K149" t="s">
        <v>514</v>
      </c>
      <c r="L149">
        <v>2021</v>
      </c>
    </row>
    <row r="150" spans="11:12">
      <c r="K150" t="s">
        <v>516</v>
      </c>
      <c r="L150">
        <v>2021</v>
      </c>
    </row>
    <row r="151" spans="11:12">
      <c r="K151" t="s">
        <v>521</v>
      </c>
      <c r="L151">
        <v>2021</v>
      </c>
    </row>
    <row r="152" spans="11:12">
      <c r="K152" t="s">
        <v>525</v>
      </c>
      <c r="L152">
        <v>2021</v>
      </c>
    </row>
    <row r="153" spans="11:12">
      <c r="K153" t="s">
        <v>527</v>
      </c>
      <c r="L153">
        <v>2021</v>
      </c>
    </row>
    <row r="154" spans="11:12">
      <c r="K154" t="s">
        <v>532</v>
      </c>
      <c r="L154">
        <v>2021</v>
      </c>
    </row>
    <row r="155" spans="11:12">
      <c r="K155" t="s">
        <v>535</v>
      </c>
      <c r="L155">
        <v>2021</v>
      </c>
    </row>
    <row r="156" spans="11:12">
      <c r="K156" t="s">
        <v>538</v>
      </c>
      <c r="L156">
        <v>2021</v>
      </c>
    </row>
    <row r="157" spans="11:12">
      <c r="K157" t="s">
        <v>539</v>
      </c>
      <c r="L157">
        <v>2021</v>
      </c>
    </row>
    <row r="158" spans="11:12">
      <c r="K158" t="s">
        <v>547</v>
      </c>
      <c r="L158">
        <v>2021</v>
      </c>
    </row>
    <row r="159" spans="11:12">
      <c r="K159" t="s">
        <v>549</v>
      </c>
      <c r="L159">
        <v>2021</v>
      </c>
    </row>
    <row r="160" spans="11:12">
      <c r="K160" t="s">
        <v>554</v>
      </c>
      <c r="L160">
        <v>2021</v>
      </c>
    </row>
    <row r="161" spans="11:12">
      <c r="K161" t="s">
        <v>556</v>
      </c>
      <c r="L161">
        <v>2021</v>
      </c>
    </row>
    <row r="162" spans="11:12">
      <c r="K162" t="s">
        <v>558</v>
      </c>
      <c r="L162">
        <v>2021</v>
      </c>
    </row>
    <row r="163" spans="11:12">
      <c r="K163" t="s">
        <v>560</v>
      </c>
      <c r="L163">
        <v>2021</v>
      </c>
    </row>
    <row r="164" spans="11:12">
      <c r="K164" t="s">
        <v>562</v>
      </c>
      <c r="L164">
        <v>2021</v>
      </c>
    </row>
    <row r="165" spans="11:12">
      <c r="K165" t="s">
        <v>564</v>
      </c>
      <c r="L165">
        <v>2021</v>
      </c>
    </row>
    <row r="166" spans="11:12">
      <c r="K166" t="s">
        <v>566</v>
      </c>
      <c r="L166">
        <v>2021</v>
      </c>
    </row>
    <row r="167" spans="11:12">
      <c r="K167" t="s">
        <v>569</v>
      </c>
      <c r="L167">
        <v>2021</v>
      </c>
    </row>
    <row r="168" spans="11:12">
      <c r="K168" t="s">
        <v>571</v>
      </c>
      <c r="L168">
        <v>2021</v>
      </c>
    </row>
    <row r="169" spans="11:12">
      <c r="K169" t="s">
        <v>575</v>
      </c>
      <c r="L169">
        <v>2021</v>
      </c>
    </row>
    <row r="170" spans="11:12">
      <c r="K170" t="s">
        <v>578</v>
      </c>
      <c r="L170">
        <v>2021</v>
      </c>
    </row>
    <row r="171" spans="11:12">
      <c r="K171" t="s">
        <v>580</v>
      </c>
      <c r="L171">
        <v>2021</v>
      </c>
    </row>
    <row r="172" spans="11:12">
      <c r="K172" t="s">
        <v>585</v>
      </c>
      <c r="L172">
        <v>2021</v>
      </c>
    </row>
    <row r="173" spans="11:12">
      <c r="K173" t="s">
        <v>589</v>
      </c>
      <c r="L173">
        <v>2021</v>
      </c>
    </row>
    <row r="174" spans="11:12">
      <c r="K174" t="s">
        <v>591</v>
      </c>
      <c r="L174">
        <v>2021</v>
      </c>
    </row>
    <row r="175" spans="11:12">
      <c r="K175" t="s">
        <v>592</v>
      </c>
      <c r="L175">
        <v>2021</v>
      </c>
    </row>
    <row r="176" spans="11:12">
      <c r="K176" t="s">
        <v>594</v>
      </c>
      <c r="L176">
        <v>2021</v>
      </c>
    </row>
    <row r="177" spans="11:12">
      <c r="K177" t="s">
        <v>595</v>
      </c>
      <c r="L177">
        <v>2021</v>
      </c>
    </row>
    <row r="178" spans="11:12">
      <c r="K178" t="s">
        <v>598</v>
      </c>
      <c r="L178">
        <v>2021</v>
      </c>
    </row>
    <row r="179" spans="11:12">
      <c r="K179" t="s">
        <v>601</v>
      </c>
      <c r="L179">
        <v>2021</v>
      </c>
    </row>
    <row r="180" spans="11:12">
      <c r="K180" t="s">
        <v>603</v>
      </c>
      <c r="L180">
        <v>2021</v>
      </c>
    </row>
    <row r="181" spans="11:12">
      <c r="K181" t="s">
        <v>604</v>
      </c>
      <c r="L181">
        <v>2021</v>
      </c>
    </row>
    <row r="182" spans="11:12">
      <c r="K182" t="s">
        <v>607</v>
      </c>
      <c r="L182">
        <v>2021</v>
      </c>
    </row>
    <row r="183" spans="11:12">
      <c r="K183" t="s">
        <v>609</v>
      </c>
      <c r="L183">
        <v>2021</v>
      </c>
    </row>
    <row r="184" spans="11:12">
      <c r="K184" t="s">
        <v>612</v>
      </c>
      <c r="L184">
        <v>2021</v>
      </c>
    </row>
    <row r="185" spans="11:12">
      <c r="K185" t="s">
        <v>614</v>
      </c>
      <c r="L185">
        <v>2021</v>
      </c>
    </row>
    <row r="186" spans="11:12">
      <c r="K186" t="s">
        <v>617</v>
      </c>
      <c r="L186">
        <v>2021</v>
      </c>
    </row>
    <row r="187" spans="11:12">
      <c r="K187" t="s">
        <v>620</v>
      </c>
      <c r="L187">
        <v>2021</v>
      </c>
    </row>
    <row r="188" spans="11:12">
      <c r="K188" t="s">
        <v>624</v>
      </c>
      <c r="L188">
        <v>2021</v>
      </c>
    </row>
    <row r="189" spans="11:12">
      <c r="K189" t="s">
        <v>626</v>
      </c>
      <c r="L189">
        <v>2021</v>
      </c>
    </row>
    <row r="190" spans="11:12">
      <c r="K190" t="s">
        <v>628</v>
      </c>
      <c r="L190">
        <v>2021</v>
      </c>
    </row>
    <row r="191" spans="11:12">
      <c r="K191" t="s">
        <v>630</v>
      </c>
      <c r="L191">
        <v>2021</v>
      </c>
    </row>
    <row r="192" spans="11:12">
      <c r="K192" t="s">
        <v>632</v>
      </c>
      <c r="L192">
        <v>2021</v>
      </c>
    </row>
    <row r="193" spans="11:12">
      <c r="K193" t="s">
        <v>637</v>
      </c>
      <c r="L193">
        <v>2021</v>
      </c>
    </row>
    <row r="194" spans="11:12">
      <c r="K194" t="s">
        <v>639</v>
      </c>
      <c r="L194">
        <v>2021</v>
      </c>
    </row>
    <row r="195" spans="11:12">
      <c r="K195" t="s">
        <v>645</v>
      </c>
      <c r="L195">
        <v>2021</v>
      </c>
    </row>
    <row r="196" spans="11:12">
      <c r="K196" t="s">
        <v>648</v>
      </c>
      <c r="L196">
        <v>2021</v>
      </c>
    </row>
    <row r="197" spans="11:12">
      <c r="K197" t="s">
        <v>653</v>
      </c>
      <c r="L197">
        <v>2021</v>
      </c>
    </row>
    <row r="198" spans="11:12">
      <c r="K198" t="s">
        <v>657</v>
      </c>
      <c r="L198">
        <v>2021</v>
      </c>
    </row>
    <row r="199" spans="11:12">
      <c r="K199" t="s">
        <v>659</v>
      </c>
      <c r="L199">
        <v>2021</v>
      </c>
    </row>
    <row r="200" spans="11:12">
      <c r="K200" t="s">
        <v>661</v>
      </c>
      <c r="L200">
        <v>2021</v>
      </c>
    </row>
    <row r="201" spans="11:12">
      <c r="K201" t="s">
        <v>663</v>
      </c>
      <c r="L201">
        <v>2021</v>
      </c>
    </row>
    <row r="202" spans="11:12">
      <c r="K202" t="s">
        <v>666</v>
      </c>
      <c r="L202">
        <v>2021</v>
      </c>
    </row>
    <row r="203" spans="11:12">
      <c r="K203" t="s">
        <v>667</v>
      </c>
      <c r="L203">
        <v>2021</v>
      </c>
    </row>
    <row r="204" spans="11:12">
      <c r="K204" t="s">
        <v>669</v>
      </c>
      <c r="L204">
        <v>2021</v>
      </c>
    </row>
    <row r="205" spans="11:12">
      <c r="K205" t="s">
        <v>671</v>
      </c>
      <c r="L205">
        <v>2021</v>
      </c>
    </row>
    <row r="206" spans="11:12">
      <c r="K206" t="s">
        <v>673</v>
      </c>
      <c r="L206">
        <v>2021</v>
      </c>
    </row>
    <row r="207" spans="11:12">
      <c r="K207" t="s">
        <v>674</v>
      </c>
      <c r="L207">
        <v>2021</v>
      </c>
    </row>
    <row r="208" spans="11:12">
      <c r="K208" t="s">
        <v>676</v>
      </c>
      <c r="L208">
        <v>2021</v>
      </c>
    </row>
    <row r="209" spans="11:12">
      <c r="K209" t="s">
        <v>677</v>
      </c>
      <c r="L209">
        <v>2021</v>
      </c>
    </row>
    <row r="210" spans="11:12">
      <c r="K210" t="s">
        <v>679</v>
      </c>
      <c r="L210">
        <v>2021</v>
      </c>
    </row>
    <row r="211" spans="11:12">
      <c r="K211" t="s">
        <v>682</v>
      </c>
      <c r="L211">
        <v>2021</v>
      </c>
    </row>
    <row r="212" spans="11:12">
      <c r="K212" t="s">
        <v>683</v>
      </c>
      <c r="L212">
        <v>2021</v>
      </c>
    </row>
    <row r="213" spans="11:12">
      <c r="K213" t="s">
        <v>685</v>
      </c>
      <c r="L213">
        <v>2021</v>
      </c>
    </row>
    <row r="214" spans="11:12">
      <c r="K214" t="s">
        <v>686</v>
      </c>
      <c r="L214">
        <v>2021</v>
      </c>
    </row>
    <row r="215" spans="11:12">
      <c r="K215" t="s">
        <v>691</v>
      </c>
      <c r="L215">
        <v>2021</v>
      </c>
    </row>
    <row r="216" spans="11:12">
      <c r="K216" t="s">
        <v>694</v>
      </c>
      <c r="L216">
        <v>2021</v>
      </c>
    </row>
    <row r="217" spans="11:12">
      <c r="K217" t="s">
        <v>697</v>
      </c>
      <c r="L217">
        <v>2021</v>
      </c>
    </row>
    <row r="218" spans="11:12">
      <c r="K218" t="s">
        <v>698</v>
      </c>
      <c r="L218">
        <v>2021</v>
      </c>
    </row>
    <row r="219" spans="11:12">
      <c r="K219" t="s">
        <v>704</v>
      </c>
      <c r="L219">
        <v>2021</v>
      </c>
    </row>
    <row r="220" spans="11:12">
      <c r="K220" t="s">
        <v>711</v>
      </c>
      <c r="L220">
        <v>2021</v>
      </c>
    </row>
    <row r="221" spans="11:12">
      <c r="K221" t="s">
        <v>714</v>
      </c>
      <c r="L221">
        <v>2021</v>
      </c>
    </row>
    <row r="222" spans="11:12">
      <c r="K222" t="s">
        <v>716</v>
      </c>
      <c r="L222">
        <v>2021</v>
      </c>
    </row>
    <row r="223" spans="11:12">
      <c r="K223" t="s">
        <v>719</v>
      </c>
      <c r="L223">
        <v>2021</v>
      </c>
    </row>
    <row r="224" spans="11:12">
      <c r="K224" t="s">
        <v>724</v>
      </c>
      <c r="L224">
        <v>2021</v>
      </c>
    </row>
    <row r="225" spans="11:12">
      <c r="K225" t="s">
        <v>726</v>
      </c>
      <c r="L225">
        <v>2021</v>
      </c>
    </row>
    <row r="226" spans="11:12">
      <c r="K226" t="s">
        <v>729</v>
      </c>
      <c r="L226">
        <v>2021</v>
      </c>
    </row>
    <row r="227" spans="11:12">
      <c r="K227" t="s">
        <v>734</v>
      </c>
      <c r="L227">
        <v>2021</v>
      </c>
    </row>
    <row r="228" spans="11:12">
      <c r="K228" t="s">
        <v>736</v>
      </c>
      <c r="L228">
        <v>2021</v>
      </c>
    </row>
    <row r="229" spans="11:12">
      <c r="K229" t="s">
        <v>738</v>
      </c>
      <c r="L229">
        <v>2021</v>
      </c>
    </row>
    <row r="230" spans="11:12">
      <c r="K230" t="s">
        <v>740</v>
      </c>
      <c r="L230">
        <v>2021</v>
      </c>
    </row>
    <row r="231" spans="11:12">
      <c r="K231" t="s">
        <v>742</v>
      </c>
      <c r="L231">
        <v>2021</v>
      </c>
    </row>
    <row r="232" spans="11:12">
      <c r="K232" t="s">
        <v>744</v>
      </c>
      <c r="L232">
        <v>2021</v>
      </c>
    </row>
    <row r="233" spans="11:12">
      <c r="K233" t="s">
        <v>745</v>
      </c>
      <c r="L233">
        <v>2021</v>
      </c>
    </row>
    <row r="234" spans="11:12">
      <c r="K234" t="s">
        <v>750</v>
      </c>
      <c r="L234">
        <v>2021</v>
      </c>
    </row>
    <row r="235" spans="11:12">
      <c r="K235" t="s">
        <v>751</v>
      </c>
      <c r="L235">
        <v>2021</v>
      </c>
    </row>
    <row r="236" spans="11:12">
      <c r="K236" t="s">
        <v>754</v>
      </c>
      <c r="L236">
        <v>2021</v>
      </c>
    </row>
    <row r="237" spans="11:12">
      <c r="K237" t="s">
        <v>759</v>
      </c>
      <c r="L237">
        <v>2021</v>
      </c>
    </row>
    <row r="238" spans="11:12">
      <c r="K238" t="s">
        <v>762</v>
      </c>
      <c r="L238">
        <v>2021</v>
      </c>
    </row>
    <row r="239" spans="11:12">
      <c r="K239" t="s">
        <v>770</v>
      </c>
      <c r="L239">
        <v>2021</v>
      </c>
    </row>
    <row r="240" spans="11:12">
      <c r="K240" t="s">
        <v>771</v>
      </c>
      <c r="L240">
        <v>2021</v>
      </c>
    </row>
    <row r="241" spans="11:12">
      <c r="K241" t="s">
        <v>773</v>
      </c>
      <c r="L241">
        <v>2021</v>
      </c>
    </row>
    <row r="242" spans="11:12">
      <c r="K242" t="s">
        <v>776</v>
      </c>
      <c r="L242">
        <v>2021</v>
      </c>
    </row>
    <row r="243" spans="11:12">
      <c r="K243" t="s">
        <v>780</v>
      </c>
      <c r="L243">
        <v>2021</v>
      </c>
    </row>
    <row r="244" spans="11:12">
      <c r="K244" t="s">
        <v>782</v>
      </c>
      <c r="L244">
        <v>2021</v>
      </c>
    </row>
    <row r="245" spans="11:12">
      <c r="K245" t="s">
        <v>786</v>
      </c>
      <c r="L245">
        <v>2021</v>
      </c>
    </row>
    <row r="246" spans="11:12">
      <c r="K246" t="s">
        <v>788</v>
      </c>
      <c r="L246">
        <v>2021</v>
      </c>
    </row>
    <row r="247" spans="11:12">
      <c r="K247" t="s">
        <v>790</v>
      </c>
      <c r="L247">
        <v>2021</v>
      </c>
    </row>
    <row r="248" spans="11:12">
      <c r="K248" t="s">
        <v>791</v>
      </c>
      <c r="L248">
        <v>2021</v>
      </c>
    </row>
    <row r="249" spans="11:12">
      <c r="K249" t="s">
        <v>793</v>
      </c>
      <c r="L249">
        <v>2021</v>
      </c>
    </row>
    <row r="250" spans="11:12">
      <c r="K250" t="s">
        <v>796</v>
      </c>
      <c r="L250">
        <v>2021</v>
      </c>
    </row>
    <row r="251" spans="11:12">
      <c r="K251" t="s">
        <v>798</v>
      </c>
      <c r="L251">
        <v>2021</v>
      </c>
    </row>
    <row r="252" spans="11:12">
      <c r="K252" t="s">
        <v>805</v>
      </c>
      <c r="L252">
        <v>2021</v>
      </c>
    </row>
    <row r="253" spans="11:12">
      <c r="K253" t="s">
        <v>808</v>
      </c>
      <c r="L253">
        <v>2021</v>
      </c>
    </row>
    <row r="254" spans="11:12">
      <c r="K254" t="s">
        <v>811</v>
      </c>
      <c r="L254">
        <v>2021</v>
      </c>
    </row>
    <row r="255" spans="11:12">
      <c r="K255" t="s">
        <v>815</v>
      </c>
      <c r="L255">
        <v>2021</v>
      </c>
    </row>
    <row r="256" spans="11:12">
      <c r="K256" t="s">
        <v>817</v>
      </c>
      <c r="L256">
        <v>2021</v>
      </c>
    </row>
    <row r="257" spans="11:12">
      <c r="K257" t="s">
        <v>819</v>
      </c>
      <c r="L257">
        <v>2021</v>
      </c>
    </row>
    <row r="258" spans="11:12">
      <c r="K258" t="s">
        <v>822</v>
      </c>
      <c r="L258">
        <v>2021</v>
      </c>
    </row>
    <row r="259" spans="11:12">
      <c r="K259" t="s">
        <v>824</v>
      </c>
      <c r="L259">
        <v>2021</v>
      </c>
    </row>
    <row r="260" spans="11:12">
      <c r="K260" t="s">
        <v>826</v>
      </c>
      <c r="L260">
        <v>2021</v>
      </c>
    </row>
    <row r="261" spans="11:12">
      <c r="K261" t="s">
        <v>828</v>
      </c>
      <c r="L261">
        <v>2021</v>
      </c>
    </row>
    <row r="262" spans="11:12">
      <c r="K262" t="s">
        <v>831</v>
      </c>
      <c r="L262">
        <v>2021</v>
      </c>
    </row>
    <row r="263" spans="11:12">
      <c r="K263" t="s">
        <v>833</v>
      </c>
      <c r="L263">
        <v>2021</v>
      </c>
    </row>
    <row r="264" spans="11:12">
      <c r="K264" t="s">
        <v>841</v>
      </c>
      <c r="L264">
        <v>2021</v>
      </c>
    </row>
    <row r="265" spans="11:12">
      <c r="K265" t="s">
        <v>850</v>
      </c>
      <c r="L265">
        <v>2021</v>
      </c>
    </row>
    <row r="266" spans="11:12">
      <c r="K266" t="s">
        <v>855</v>
      </c>
      <c r="L266">
        <v>2021</v>
      </c>
    </row>
    <row r="267" spans="11:12">
      <c r="K267" t="s">
        <v>859</v>
      </c>
      <c r="L267">
        <v>2021</v>
      </c>
    </row>
    <row r="268" spans="11:12">
      <c r="K268" t="s">
        <v>861</v>
      </c>
      <c r="L268">
        <v>2021</v>
      </c>
    </row>
    <row r="269" spans="11:12">
      <c r="K269" t="s">
        <v>863</v>
      </c>
      <c r="L269">
        <v>2021</v>
      </c>
    </row>
    <row r="270" spans="11:12">
      <c r="K270" t="s">
        <v>868</v>
      </c>
      <c r="L270">
        <v>2021</v>
      </c>
    </row>
    <row r="271" spans="11:12">
      <c r="K271" t="s">
        <v>870</v>
      </c>
      <c r="L271">
        <v>2021</v>
      </c>
    </row>
    <row r="272" spans="11:12">
      <c r="K272" t="s">
        <v>873</v>
      </c>
      <c r="L272">
        <v>2021</v>
      </c>
    </row>
    <row r="273" spans="11:12">
      <c r="K273" t="s">
        <v>875</v>
      </c>
      <c r="L273">
        <v>2021</v>
      </c>
    </row>
    <row r="274" spans="11:12">
      <c r="K274" t="s">
        <v>877</v>
      </c>
      <c r="L274">
        <v>2021</v>
      </c>
    </row>
    <row r="275" spans="11:12">
      <c r="K275" t="s">
        <v>880</v>
      </c>
      <c r="L275">
        <v>2021</v>
      </c>
    </row>
    <row r="276" spans="11:12">
      <c r="K276" t="s">
        <v>881</v>
      </c>
      <c r="L276">
        <v>2021</v>
      </c>
    </row>
    <row r="277" spans="11:12">
      <c r="K277" t="s">
        <v>885</v>
      </c>
      <c r="L277">
        <v>2021</v>
      </c>
    </row>
    <row r="278" spans="11:12">
      <c r="K278" t="s">
        <v>886</v>
      </c>
      <c r="L278">
        <v>2021</v>
      </c>
    </row>
    <row r="279" spans="11:12">
      <c r="K279" t="s">
        <v>889</v>
      </c>
      <c r="L279">
        <v>2021</v>
      </c>
    </row>
    <row r="280" spans="11:12">
      <c r="K280" t="s">
        <v>891</v>
      </c>
      <c r="L280">
        <v>2021</v>
      </c>
    </row>
    <row r="281" spans="11:12">
      <c r="K281" t="s">
        <v>893</v>
      </c>
      <c r="L281">
        <v>2021</v>
      </c>
    </row>
    <row r="282" spans="11:12">
      <c r="K282" t="s">
        <v>894</v>
      </c>
      <c r="L282">
        <v>2021</v>
      </c>
    </row>
    <row r="283" spans="11:12">
      <c r="K283" t="s">
        <v>897</v>
      </c>
      <c r="L283">
        <v>2021</v>
      </c>
    </row>
    <row r="284" spans="11:12">
      <c r="K284" t="s">
        <v>902</v>
      </c>
      <c r="L284">
        <v>2021</v>
      </c>
    </row>
    <row r="285" spans="11:12">
      <c r="K285" t="s">
        <v>904</v>
      </c>
      <c r="L285">
        <v>2021</v>
      </c>
    </row>
    <row r="286" spans="11:12">
      <c r="K286" t="s">
        <v>906</v>
      </c>
      <c r="L286">
        <v>2021</v>
      </c>
    </row>
    <row r="287" spans="11:12">
      <c r="K287" t="s">
        <v>909</v>
      </c>
      <c r="L287">
        <v>2021</v>
      </c>
    </row>
    <row r="288" spans="11:12">
      <c r="K288" t="s">
        <v>912</v>
      </c>
      <c r="L288">
        <v>2021</v>
      </c>
    </row>
    <row r="289" spans="11:12">
      <c r="K289" t="s">
        <v>914</v>
      </c>
      <c r="L289">
        <v>2021</v>
      </c>
    </row>
    <row r="290" spans="11:12">
      <c r="K290" t="s">
        <v>917</v>
      </c>
      <c r="L290">
        <v>2021</v>
      </c>
    </row>
    <row r="291" spans="11:12">
      <c r="K291" t="s">
        <v>919</v>
      </c>
      <c r="L291">
        <v>2021</v>
      </c>
    </row>
    <row r="292" spans="11:12">
      <c r="K292" t="s">
        <v>923</v>
      </c>
      <c r="L292">
        <v>2021</v>
      </c>
    </row>
    <row r="293" spans="11:12">
      <c r="K293" t="s">
        <v>924</v>
      </c>
      <c r="L293">
        <v>2021</v>
      </c>
    </row>
    <row r="294" spans="11:12">
      <c r="K294" t="s">
        <v>925</v>
      </c>
      <c r="L294">
        <v>2021</v>
      </c>
    </row>
    <row r="295" spans="11:12">
      <c r="K295" t="s">
        <v>927</v>
      </c>
      <c r="L295">
        <v>2021</v>
      </c>
    </row>
    <row r="296" spans="11:12">
      <c r="K296" t="s">
        <v>930</v>
      </c>
      <c r="L296">
        <v>2021</v>
      </c>
    </row>
    <row r="297" spans="11:12">
      <c r="K297" t="s">
        <v>937</v>
      </c>
      <c r="L297">
        <v>2021</v>
      </c>
    </row>
    <row r="298" spans="11:12">
      <c r="K298" t="s">
        <v>940</v>
      </c>
      <c r="L298">
        <v>2021</v>
      </c>
    </row>
    <row r="299" spans="11:12">
      <c r="K299" t="s">
        <v>942</v>
      </c>
      <c r="L299">
        <v>2021</v>
      </c>
    </row>
    <row r="300" spans="11:12">
      <c r="K300" t="s">
        <v>947</v>
      </c>
      <c r="L300">
        <v>2021</v>
      </c>
    </row>
    <row r="301" spans="11:12">
      <c r="K301" t="s">
        <v>949</v>
      </c>
      <c r="L301">
        <v>2021</v>
      </c>
    </row>
    <row r="302" spans="11:12">
      <c r="K302" t="s">
        <v>953</v>
      </c>
      <c r="L302">
        <v>2021</v>
      </c>
    </row>
    <row r="303" spans="11:12">
      <c r="K303" t="s">
        <v>955</v>
      </c>
      <c r="L303">
        <v>2021</v>
      </c>
    </row>
    <row r="304" spans="11:12">
      <c r="K304" t="s">
        <v>959</v>
      </c>
      <c r="L304">
        <v>2021</v>
      </c>
    </row>
    <row r="305" spans="11:12">
      <c r="K305" t="s">
        <v>961</v>
      </c>
      <c r="L305">
        <v>2021</v>
      </c>
    </row>
    <row r="306" spans="11:12">
      <c r="K306" t="s">
        <v>965</v>
      </c>
      <c r="L306">
        <v>2021</v>
      </c>
    </row>
    <row r="307" spans="11:12">
      <c r="K307" t="s">
        <v>967</v>
      </c>
      <c r="L307">
        <v>2021</v>
      </c>
    </row>
    <row r="308" spans="11:12">
      <c r="K308" t="s">
        <v>969</v>
      </c>
      <c r="L308">
        <v>2021</v>
      </c>
    </row>
    <row r="309" spans="11:12">
      <c r="K309" t="s">
        <v>973</v>
      </c>
      <c r="L309">
        <v>2021</v>
      </c>
    </row>
    <row r="310" spans="11:12">
      <c r="K310" t="s">
        <v>975</v>
      </c>
      <c r="L310">
        <v>2021</v>
      </c>
    </row>
    <row r="311" spans="11:12">
      <c r="K311" t="s">
        <v>979</v>
      </c>
      <c r="L311">
        <v>2021</v>
      </c>
    </row>
    <row r="312" spans="11:12">
      <c r="K312" t="s">
        <v>980</v>
      </c>
      <c r="L312">
        <v>2021</v>
      </c>
    </row>
    <row r="313" spans="11:12">
      <c r="K313" t="s">
        <v>985</v>
      </c>
      <c r="L313">
        <v>2021</v>
      </c>
    </row>
    <row r="314" spans="11:12">
      <c r="K314" t="s">
        <v>991</v>
      </c>
      <c r="L314">
        <v>2021</v>
      </c>
    </row>
    <row r="315" spans="11:12">
      <c r="K315" t="s">
        <v>994</v>
      </c>
      <c r="L315">
        <v>2021</v>
      </c>
    </row>
    <row r="316" spans="11:12">
      <c r="K316" t="s">
        <v>999</v>
      </c>
      <c r="L316">
        <v>2021</v>
      </c>
    </row>
    <row r="317" spans="11:12">
      <c r="K317" t="s">
        <v>1005</v>
      </c>
      <c r="L317">
        <v>2021</v>
      </c>
    </row>
    <row r="318" spans="11:12">
      <c r="K318" t="s">
        <v>1006</v>
      </c>
      <c r="L318">
        <v>2021</v>
      </c>
    </row>
    <row r="319" spans="11:12">
      <c r="K319" t="s">
        <v>1007</v>
      </c>
      <c r="L319">
        <v>2021</v>
      </c>
    </row>
    <row r="320" spans="11:12">
      <c r="K320" t="s">
        <v>1011</v>
      </c>
      <c r="L320">
        <v>2021</v>
      </c>
    </row>
    <row r="321" spans="11:12">
      <c r="K321" t="s">
        <v>1014</v>
      </c>
      <c r="L321">
        <v>2021</v>
      </c>
    </row>
    <row r="322" spans="11:12">
      <c r="K322" t="s">
        <v>1018</v>
      </c>
      <c r="L322">
        <v>2021</v>
      </c>
    </row>
    <row r="323" spans="11:12">
      <c r="K323" t="s">
        <v>1025</v>
      </c>
      <c r="L323">
        <v>2021</v>
      </c>
    </row>
    <row r="324" spans="11:12">
      <c r="K324" t="s">
        <v>1029</v>
      </c>
      <c r="L324">
        <v>2021</v>
      </c>
    </row>
    <row r="325" spans="11:12">
      <c r="K325" t="s">
        <v>1035</v>
      </c>
      <c r="L325">
        <v>2021</v>
      </c>
    </row>
    <row r="326" spans="11:12">
      <c r="K326" t="s">
        <v>1037</v>
      </c>
      <c r="L326">
        <v>2021</v>
      </c>
    </row>
    <row r="327" spans="11:12">
      <c r="K327" t="s">
        <v>1040</v>
      </c>
      <c r="L327">
        <v>2021</v>
      </c>
    </row>
    <row r="328" spans="11:12">
      <c r="K328" t="s">
        <v>1044</v>
      </c>
      <c r="L328">
        <v>2021</v>
      </c>
    </row>
    <row r="329" spans="11:12">
      <c r="K329" t="s">
        <v>1046</v>
      </c>
      <c r="L329">
        <v>2021</v>
      </c>
    </row>
    <row r="330" spans="11:12">
      <c r="K330" t="s">
        <v>1048</v>
      </c>
      <c r="L330">
        <v>2021</v>
      </c>
    </row>
    <row r="331" spans="11:12">
      <c r="K331" t="s">
        <v>1053</v>
      </c>
      <c r="L331">
        <v>2021</v>
      </c>
    </row>
    <row r="332" spans="11:12">
      <c r="K332" t="s">
        <v>1057</v>
      </c>
      <c r="L332">
        <v>2021</v>
      </c>
    </row>
    <row r="333" spans="11:12">
      <c r="K333" t="s">
        <v>1066</v>
      </c>
      <c r="L333">
        <v>2021</v>
      </c>
    </row>
    <row r="334" spans="11:12">
      <c r="K334" t="s">
        <v>1069</v>
      </c>
      <c r="L334">
        <v>2021</v>
      </c>
    </row>
    <row r="335" spans="11:12">
      <c r="K335" t="s">
        <v>1072</v>
      </c>
      <c r="L335">
        <v>2021</v>
      </c>
    </row>
    <row r="336" spans="11:12">
      <c r="K336" t="s">
        <v>1076</v>
      </c>
      <c r="L336">
        <v>2021</v>
      </c>
    </row>
    <row r="337" spans="11:12">
      <c r="K337" t="s">
        <v>1078</v>
      </c>
      <c r="L337">
        <v>2021</v>
      </c>
    </row>
    <row r="338" spans="11:12">
      <c r="K338" t="s">
        <v>1079</v>
      </c>
      <c r="L338">
        <v>2021</v>
      </c>
    </row>
    <row r="339" spans="11:12">
      <c r="K339" t="s">
        <v>1081</v>
      </c>
      <c r="L339">
        <v>2021</v>
      </c>
    </row>
    <row r="340" spans="11:12">
      <c r="K340" t="s">
        <v>1086</v>
      </c>
      <c r="L340">
        <v>2021</v>
      </c>
    </row>
    <row r="341" spans="11:12">
      <c r="K341" t="s">
        <v>1090</v>
      </c>
      <c r="L341">
        <v>2021</v>
      </c>
    </row>
    <row r="342" spans="11:12">
      <c r="K342" t="s">
        <v>1095</v>
      </c>
      <c r="L342">
        <v>2021</v>
      </c>
    </row>
    <row r="343" spans="11:12">
      <c r="K343" t="s">
        <v>1097</v>
      </c>
      <c r="L343">
        <v>2021</v>
      </c>
    </row>
    <row r="344" spans="11:12">
      <c r="K344" t="s">
        <v>1099</v>
      </c>
      <c r="L344">
        <v>2021</v>
      </c>
    </row>
    <row r="345" spans="11:12">
      <c r="K345" t="s">
        <v>1101</v>
      </c>
      <c r="L345">
        <v>2021</v>
      </c>
    </row>
    <row r="346" spans="11:12">
      <c r="K346" t="s">
        <v>1104</v>
      </c>
      <c r="L346">
        <v>2021</v>
      </c>
    </row>
    <row r="347" spans="11:12">
      <c r="K347" t="s">
        <v>1106</v>
      </c>
      <c r="L347">
        <v>2021</v>
      </c>
    </row>
    <row r="348" spans="11:12">
      <c r="K348" t="s">
        <v>1113</v>
      </c>
      <c r="L348">
        <v>2021</v>
      </c>
    </row>
    <row r="349" spans="11:12">
      <c r="K349" t="s">
        <v>1115</v>
      </c>
      <c r="L349">
        <v>2021</v>
      </c>
    </row>
    <row r="350" spans="11:12">
      <c r="K350" t="s">
        <v>1117</v>
      </c>
      <c r="L350">
        <v>2021</v>
      </c>
    </row>
    <row r="351" spans="11:12">
      <c r="K351" t="s">
        <v>1123</v>
      </c>
      <c r="L351">
        <v>2021</v>
      </c>
    </row>
    <row r="352" spans="11:12">
      <c r="K352" t="s">
        <v>1124</v>
      </c>
      <c r="L352">
        <v>2021</v>
      </c>
    </row>
    <row r="353" spans="11:12">
      <c r="K353" t="s">
        <v>1131</v>
      </c>
      <c r="L353">
        <v>2021</v>
      </c>
    </row>
    <row r="354" spans="11:12">
      <c r="K354" t="s">
        <v>1133</v>
      </c>
      <c r="L354">
        <v>2021</v>
      </c>
    </row>
    <row r="355" spans="11:12">
      <c r="K355" t="s">
        <v>1140</v>
      </c>
      <c r="L355">
        <v>2021</v>
      </c>
    </row>
    <row r="356" spans="11:12">
      <c r="K356" t="s">
        <v>1142</v>
      </c>
      <c r="L356">
        <v>2021</v>
      </c>
    </row>
    <row r="357" spans="11:12">
      <c r="K357" t="s">
        <v>1145</v>
      </c>
      <c r="L357">
        <v>2021</v>
      </c>
    </row>
    <row r="358" spans="11:12">
      <c r="K358" t="s">
        <v>1147</v>
      </c>
      <c r="L358">
        <v>2021</v>
      </c>
    </row>
    <row r="359" spans="11:12">
      <c r="K359" t="s">
        <v>1150</v>
      </c>
      <c r="L359">
        <v>2021</v>
      </c>
    </row>
    <row r="360" spans="11:12">
      <c r="K360" t="s">
        <v>1153</v>
      </c>
      <c r="L360">
        <v>2021</v>
      </c>
    </row>
    <row r="361" spans="11:12">
      <c r="K361" t="s">
        <v>1154</v>
      </c>
      <c r="L361">
        <v>2021</v>
      </c>
    </row>
    <row r="362" spans="11:12">
      <c r="K362" t="s">
        <v>1163</v>
      </c>
      <c r="L362">
        <v>2021</v>
      </c>
    </row>
    <row r="363" spans="11:12">
      <c r="K363" t="s">
        <v>1165</v>
      </c>
      <c r="L363">
        <v>2021</v>
      </c>
    </row>
    <row r="364" spans="11:12">
      <c r="K364" t="s">
        <v>1166</v>
      </c>
      <c r="L364">
        <v>2021</v>
      </c>
    </row>
    <row r="365" spans="11:12">
      <c r="K365" t="s">
        <v>1169</v>
      </c>
      <c r="L365">
        <v>2021</v>
      </c>
    </row>
    <row r="366" spans="11:12">
      <c r="K366" t="s">
        <v>1174</v>
      </c>
      <c r="L366">
        <v>2021</v>
      </c>
    </row>
    <row r="367" spans="11:12">
      <c r="K367" t="s">
        <v>1175</v>
      </c>
      <c r="L367">
        <v>2021</v>
      </c>
    </row>
    <row r="368" spans="11:12">
      <c r="K368" t="s">
        <v>1179</v>
      </c>
      <c r="L368">
        <v>2021</v>
      </c>
    </row>
    <row r="369" spans="11:12">
      <c r="K369" t="s">
        <v>1180</v>
      </c>
      <c r="L369">
        <v>2021</v>
      </c>
    </row>
    <row r="370" spans="11:12">
      <c r="K370" t="s">
        <v>1183</v>
      </c>
      <c r="L370">
        <v>2021</v>
      </c>
    </row>
    <row r="371" spans="11:12">
      <c r="K371" t="s">
        <v>1185</v>
      </c>
      <c r="L371">
        <v>2021</v>
      </c>
    </row>
    <row r="372" spans="11:12">
      <c r="K372" t="s">
        <v>1188</v>
      </c>
      <c r="L372">
        <v>2021</v>
      </c>
    </row>
    <row r="373" spans="11:12">
      <c r="K373" t="s">
        <v>1192</v>
      </c>
      <c r="L373">
        <v>2021</v>
      </c>
    </row>
    <row r="374" spans="11:12">
      <c r="K374" t="s">
        <v>1195</v>
      </c>
      <c r="L374">
        <v>2021</v>
      </c>
    </row>
    <row r="375" spans="11:12">
      <c r="K375" t="s">
        <v>1198</v>
      </c>
      <c r="L375">
        <v>2021</v>
      </c>
    </row>
    <row r="376" spans="11:12">
      <c r="K376" t="s">
        <v>1200</v>
      </c>
      <c r="L376">
        <v>2021</v>
      </c>
    </row>
    <row r="377" spans="11:12">
      <c r="K377" t="s">
        <v>1202</v>
      </c>
      <c r="L377">
        <v>2021</v>
      </c>
    </row>
    <row r="378" spans="11:12">
      <c r="K378" t="s">
        <v>1209</v>
      </c>
      <c r="L378">
        <v>2021</v>
      </c>
    </row>
    <row r="379" spans="11:12">
      <c r="K379" t="s">
        <v>1211</v>
      </c>
      <c r="L379">
        <v>2021</v>
      </c>
    </row>
    <row r="380" spans="11:12">
      <c r="K380" t="s">
        <v>1213</v>
      </c>
      <c r="L380">
        <v>2021</v>
      </c>
    </row>
    <row r="381" spans="11:12">
      <c r="K381" t="s">
        <v>1214</v>
      </c>
      <c r="L381">
        <v>2021</v>
      </c>
    </row>
    <row r="382" spans="11:12">
      <c r="K382" t="s">
        <v>1216</v>
      </c>
      <c r="L382">
        <v>2021</v>
      </c>
    </row>
    <row r="383" spans="11:12">
      <c r="K383" t="s">
        <v>1223</v>
      </c>
      <c r="L383">
        <v>2021</v>
      </c>
    </row>
    <row r="384" spans="11:12">
      <c r="K384" t="s">
        <v>1225</v>
      </c>
      <c r="L384">
        <v>2021</v>
      </c>
    </row>
    <row r="385" spans="11:12">
      <c r="K385" t="s">
        <v>1232</v>
      </c>
      <c r="L385">
        <v>2021</v>
      </c>
    </row>
    <row r="386" spans="11:12">
      <c r="K386" t="s">
        <v>1236</v>
      </c>
      <c r="L386">
        <v>2021</v>
      </c>
    </row>
    <row r="387" spans="11:12">
      <c r="K387" t="s">
        <v>1243</v>
      </c>
      <c r="L387">
        <v>2021</v>
      </c>
    </row>
    <row r="388" spans="11:12">
      <c r="K388" t="s">
        <v>1244</v>
      </c>
      <c r="L388">
        <v>2021</v>
      </c>
    </row>
    <row r="389" spans="11:12">
      <c r="K389" t="s">
        <v>1251</v>
      </c>
      <c r="L389">
        <v>2021</v>
      </c>
    </row>
    <row r="390" spans="11:12">
      <c r="K390" t="s">
        <v>1253</v>
      </c>
      <c r="L390">
        <v>2021</v>
      </c>
    </row>
    <row r="391" spans="11:12">
      <c r="K391" t="s">
        <v>1256</v>
      </c>
      <c r="L391">
        <v>2021</v>
      </c>
    </row>
    <row r="392" spans="11:12">
      <c r="K392" t="s">
        <v>1260</v>
      </c>
      <c r="L392">
        <v>2021</v>
      </c>
    </row>
    <row r="393" spans="11:12">
      <c r="K393" t="s">
        <v>1262</v>
      </c>
      <c r="L393">
        <v>2021</v>
      </c>
    </row>
    <row r="394" spans="11:12">
      <c r="K394" t="s">
        <v>1265</v>
      </c>
      <c r="L394">
        <v>2021</v>
      </c>
    </row>
    <row r="395" spans="11:12">
      <c r="K395" t="s">
        <v>1269</v>
      </c>
      <c r="L395">
        <v>2021</v>
      </c>
    </row>
    <row r="396" spans="11:12">
      <c r="K396" t="s">
        <v>1273</v>
      </c>
      <c r="L396">
        <v>2021</v>
      </c>
    </row>
    <row r="397" spans="11:12">
      <c r="K397" t="s">
        <v>1275</v>
      </c>
      <c r="L397">
        <v>2021</v>
      </c>
    </row>
    <row r="398" spans="11:12">
      <c r="K398" t="s">
        <v>1277</v>
      </c>
      <c r="L398">
        <v>2021</v>
      </c>
    </row>
    <row r="399" spans="11:12">
      <c r="K399" t="s">
        <v>1279</v>
      </c>
      <c r="L399">
        <v>2021</v>
      </c>
    </row>
    <row r="400" spans="11:12">
      <c r="K400" t="s">
        <v>1281</v>
      </c>
      <c r="L400">
        <v>2021</v>
      </c>
    </row>
    <row r="401" spans="11:12">
      <c r="K401" t="s">
        <v>1284</v>
      </c>
      <c r="L401">
        <v>2021</v>
      </c>
    </row>
    <row r="402" spans="11:12">
      <c r="K402" t="s">
        <v>1288</v>
      </c>
      <c r="L402">
        <v>2021</v>
      </c>
    </row>
    <row r="403" spans="11:12">
      <c r="K403" t="s">
        <v>1289</v>
      </c>
      <c r="L403">
        <v>2021</v>
      </c>
    </row>
    <row r="404" spans="11:12">
      <c r="K404" t="s">
        <v>1290</v>
      </c>
      <c r="L404">
        <v>2021</v>
      </c>
    </row>
    <row r="405" spans="11:12">
      <c r="K405" t="s">
        <v>1291</v>
      </c>
      <c r="L405">
        <v>2021</v>
      </c>
    </row>
    <row r="406" spans="11:12">
      <c r="K406" t="s">
        <v>1297</v>
      </c>
      <c r="L406">
        <v>2021</v>
      </c>
    </row>
    <row r="407" spans="11:12">
      <c r="K407" t="s">
        <v>1300</v>
      </c>
      <c r="L407">
        <v>2021</v>
      </c>
    </row>
    <row r="408" spans="11:12">
      <c r="K408" t="s">
        <v>1303</v>
      </c>
      <c r="L408">
        <v>2021</v>
      </c>
    </row>
    <row r="409" spans="11:12">
      <c r="K409" t="s">
        <v>1305</v>
      </c>
      <c r="L409">
        <v>2021</v>
      </c>
    </row>
    <row r="410" spans="11:12">
      <c r="K410" t="s">
        <v>1312</v>
      </c>
      <c r="L410">
        <v>2021</v>
      </c>
    </row>
    <row r="411" spans="11:12">
      <c r="K411" t="s">
        <v>1314</v>
      </c>
      <c r="L411">
        <v>2021</v>
      </c>
    </row>
    <row r="412" spans="11:12">
      <c r="K412" t="s">
        <v>1322</v>
      </c>
      <c r="L412">
        <v>2021</v>
      </c>
    </row>
    <row r="413" spans="11:12">
      <c r="K413" t="s">
        <v>1329</v>
      </c>
      <c r="L413">
        <v>2021</v>
      </c>
    </row>
    <row r="414" spans="11:12">
      <c r="K414" t="s">
        <v>1332</v>
      </c>
      <c r="L414">
        <v>2021</v>
      </c>
    </row>
    <row r="415" spans="11:12">
      <c r="K415" t="s">
        <v>1334</v>
      </c>
      <c r="L415">
        <v>2021</v>
      </c>
    </row>
    <row r="416" spans="11:12">
      <c r="K416" t="s">
        <v>1336</v>
      </c>
      <c r="L416">
        <v>2021</v>
      </c>
    </row>
    <row r="417" spans="11:12">
      <c r="K417" t="s">
        <v>1337</v>
      </c>
      <c r="L417">
        <v>2021</v>
      </c>
    </row>
    <row r="418" spans="11:12">
      <c r="K418" t="s">
        <v>1340</v>
      </c>
      <c r="L418">
        <v>2021</v>
      </c>
    </row>
    <row r="419" spans="11:12">
      <c r="K419" t="s">
        <v>1341</v>
      </c>
      <c r="L419">
        <v>2021</v>
      </c>
    </row>
    <row r="420" spans="11:12">
      <c r="K420" t="s">
        <v>1343</v>
      </c>
      <c r="L420">
        <v>2021</v>
      </c>
    </row>
    <row r="421" spans="11:12">
      <c r="K421" t="s">
        <v>1345</v>
      </c>
      <c r="L421">
        <v>2021</v>
      </c>
    </row>
    <row r="422" spans="11:12">
      <c r="K422" t="s">
        <v>1348</v>
      </c>
      <c r="L422">
        <v>2021</v>
      </c>
    </row>
    <row r="423" spans="11:12">
      <c r="K423" t="s">
        <v>1358</v>
      </c>
      <c r="L423">
        <v>2021</v>
      </c>
    </row>
    <row r="424" spans="11:12">
      <c r="K424" t="s">
        <v>1359</v>
      </c>
      <c r="L424">
        <v>2021</v>
      </c>
    </row>
    <row r="425" spans="11:12">
      <c r="K425" t="s">
        <v>1361</v>
      </c>
      <c r="L425">
        <v>2021</v>
      </c>
    </row>
    <row r="426" spans="11:12">
      <c r="K426" t="s">
        <v>1363</v>
      </c>
      <c r="L426">
        <v>2021</v>
      </c>
    </row>
    <row r="427" spans="11:12">
      <c r="K427" t="s">
        <v>1370</v>
      </c>
      <c r="L427">
        <v>2021</v>
      </c>
    </row>
    <row r="428" spans="11:12">
      <c r="K428" t="s">
        <v>1371</v>
      </c>
      <c r="L428">
        <v>2021</v>
      </c>
    </row>
    <row r="429" spans="11:12">
      <c r="K429" t="s">
        <v>1373</v>
      </c>
      <c r="L429">
        <v>2021</v>
      </c>
    </row>
    <row r="430" spans="11:12">
      <c r="K430" t="s">
        <v>1375</v>
      </c>
      <c r="L430">
        <v>2021</v>
      </c>
    </row>
    <row r="431" spans="11:12">
      <c r="K431" t="s">
        <v>1377</v>
      </c>
      <c r="L431">
        <v>2021</v>
      </c>
    </row>
    <row r="432" spans="11:12">
      <c r="K432" t="s">
        <v>1380</v>
      </c>
      <c r="L432">
        <v>2021</v>
      </c>
    </row>
    <row r="433" spans="11:12">
      <c r="K433" t="s">
        <v>1383</v>
      </c>
      <c r="L433">
        <v>2021</v>
      </c>
    </row>
    <row r="434" spans="11:12">
      <c r="K434" t="s">
        <v>1385</v>
      </c>
      <c r="L434">
        <v>2021</v>
      </c>
    </row>
    <row r="435" spans="11:12">
      <c r="K435" t="s">
        <v>1387</v>
      </c>
      <c r="L435">
        <v>2021</v>
      </c>
    </row>
    <row r="436" spans="11:12">
      <c r="K436" t="s">
        <v>1394</v>
      </c>
      <c r="L436">
        <v>2021</v>
      </c>
    </row>
    <row r="437" spans="11:12">
      <c r="K437" t="s">
        <v>1395</v>
      </c>
      <c r="L437">
        <v>2021</v>
      </c>
    </row>
    <row r="438" spans="11:12">
      <c r="K438" t="s">
        <v>1396</v>
      </c>
      <c r="L438">
        <v>2021</v>
      </c>
    </row>
    <row r="439" spans="11:12">
      <c r="K439" t="s">
        <v>1403</v>
      </c>
      <c r="L439">
        <v>2021</v>
      </c>
    </row>
    <row r="440" spans="11:12">
      <c r="K440" t="s">
        <v>1407</v>
      </c>
      <c r="L440">
        <v>2021</v>
      </c>
    </row>
    <row r="441" spans="11:12">
      <c r="K441" t="s">
        <v>1410</v>
      </c>
      <c r="L441">
        <v>2021</v>
      </c>
    </row>
    <row r="442" spans="11:12">
      <c r="K442" t="s">
        <v>1414</v>
      </c>
      <c r="L442">
        <v>2021</v>
      </c>
    </row>
    <row r="443" spans="11:12">
      <c r="K443" t="s">
        <v>1415</v>
      </c>
      <c r="L443">
        <v>2021</v>
      </c>
    </row>
    <row r="444" spans="11:12">
      <c r="K444" t="s">
        <v>1416</v>
      </c>
      <c r="L444">
        <v>2021</v>
      </c>
    </row>
    <row r="445" spans="11:12">
      <c r="K445" t="s">
        <v>1419</v>
      </c>
      <c r="L445">
        <v>2021</v>
      </c>
    </row>
    <row r="446" spans="11:12">
      <c r="K446" t="s">
        <v>1425</v>
      </c>
      <c r="L446">
        <v>2021</v>
      </c>
    </row>
    <row r="447" spans="11:12">
      <c r="K447" t="s">
        <v>1426</v>
      </c>
      <c r="L447">
        <v>2021</v>
      </c>
    </row>
    <row r="448" spans="11:12">
      <c r="K448" t="s">
        <v>1428</v>
      </c>
      <c r="L448">
        <v>2021</v>
      </c>
    </row>
    <row r="449" spans="11:12">
      <c r="K449" t="s">
        <v>1431</v>
      </c>
      <c r="L449">
        <v>2021</v>
      </c>
    </row>
    <row r="450" spans="11:12">
      <c r="K450" t="s">
        <v>1433</v>
      </c>
      <c r="L450">
        <v>2021</v>
      </c>
    </row>
    <row r="451" spans="11:12">
      <c r="K451" t="s">
        <v>1435</v>
      </c>
      <c r="L451">
        <v>2021</v>
      </c>
    </row>
    <row r="452" spans="11:12">
      <c r="K452" t="s">
        <v>1438</v>
      </c>
      <c r="L452">
        <v>2021</v>
      </c>
    </row>
    <row r="453" spans="11:12">
      <c r="K453" t="s">
        <v>1440</v>
      </c>
      <c r="L453">
        <v>2021</v>
      </c>
    </row>
    <row r="454" spans="11:12">
      <c r="K454" t="s">
        <v>1445</v>
      </c>
      <c r="L454">
        <v>2021</v>
      </c>
    </row>
    <row r="455" spans="11:12">
      <c r="K455" t="s">
        <v>1448</v>
      </c>
      <c r="L455">
        <v>2021</v>
      </c>
    </row>
    <row r="456" spans="11:12">
      <c r="K456" t="s">
        <v>1450</v>
      </c>
      <c r="L456">
        <v>2021</v>
      </c>
    </row>
    <row r="457" spans="11:12">
      <c r="K457" t="s">
        <v>1454</v>
      </c>
      <c r="L457">
        <v>2021</v>
      </c>
    </row>
    <row r="458" spans="11:12">
      <c r="K458" t="s">
        <v>1459</v>
      </c>
      <c r="L458">
        <v>2021</v>
      </c>
    </row>
    <row r="459" spans="11:12">
      <c r="K459" t="s">
        <v>1461</v>
      </c>
      <c r="L459">
        <v>2021</v>
      </c>
    </row>
    <row r="460" spans="11:12">
      <c r="K460" t="s">
        <v>1465</v>
      </c>
      <c r="L460">
        <v>2021</v>
      </c>
    </row>
    <row r="461" spans="11:12">
      <c r="K461" t="s">
        <v>1468</v>
      </c>
      <c r="L461">
        <v>2021</v>
      </c>
    </row>
    <row r="462" spans="11:12">
      <c r="K462" t="s">
        <v>1469</v>
      </c>
      <c r="L462">
        <v>2021</v>
      </c>
    </row>
    <row r="463" spans="11:12">
      <c r="K463" t="s">
        <v>1473</v>
      </c>
      <c r="L463">
        <v>2021</v>
      </c>
    </row>
    <row r="464" spans="11:12">
      <c r="K464" t="s">
        <v>1476</v>
      </c>
      <c r="L464">
        <v>2021</v>
      </c>
    </row>
    <row r="465" spans="11:12">
      <c r="K465" t="s">
        <v>1477</v>
      </c>
      <c r="L465">
        <v>2021</v>
      </c>
    </row>
    <row r="466" spans="11:12">
      <c r="K466" t="s">
        <v>1479</v>
      </c>
      <c r="L466">
        <v>2021</v>
      </c>
    </row>
    <row r="467" spans="11:12">
      <c r="K467" t="s">
        <v>1480</v>
      </c>
      <c r="L467">
        <v>2021</v>
      </c>
    </row>
    <row r="468" spans="11:12">
      <c r="K468" t="s">
        <v>1485</v>
      </c>
      <c r="L468">
        <v>2021</v>
      </c>
    </row>
    <row r="469" spans="11:12">
      <c r="K469" t="s">
        <v>1487</v>
      </c>
      <c r="L469">
        <v>2021</v>
      </c>
    </row>
    <row r="470" spans="11:12">
      <c r="K470" t="s">
        <v>1489</v>
      </c>
      <c r="L470">
        <v>2021</v>
      </c>
    </row>
    <row r="471" spans="11:12">
      <c r="K471" t="s">
        <v>1491</v>
      </c>
      <c r="L471">
        <v>2021</v>
      </c>
    </row>
    <row r="472" spans="11:12">
      <c r="K472" t="s">
        <v>1496</v>
      </c>
      <c r="L472">
        <v>2021</v>
      </c>
    </row>
    <row r="473" spans="11:12">
      <c r="K473" t="s">
        <v>1497</v>
      </c>
      <c r="L473">
        <v>2021</v>
      </c>
    </row>
    <row r="474" spans="11:12">
      <c r="K474" t="s">
        <v>1499</v>
      </c>
      <c r="L474">
        <v>2021</v>
      </c>
    </row>
    <row r="475" spans="11:12">
      <c r="K475" t="s">
        <v>1504</v>
      </c>
      <c r="L475">
        <v>2021</v>
      </c>
    </row>
    <row r="476" spans="11:12">
      <c r="K476" t="s">
        <v>1507</v>
      </c>
      <c r="L476">
        <v>2021</v>
      </c>
    </row>
    <row r="477" spans="11:12">
      <c r="K477" t="s">
        <v>1509</v>
      </c>
      <c r="L477">
        <v>2021</v>
      </c>
    </row>
    <row r="478" spans="11:12">
      <c r="K478" t="s">
        <v>1513</v>
      </c>
      <c r="L478">
        <v>2021</v>
      </c>
    </row>
    <row r="479" spans="11:12">
      <c r="K479" t="s">
        <v>1515</v>
      </c>
      <c r="L479">
        <v>2021</v>
      </c>
    </row>
    <row r="480" spans="11:12">
      <c r="K480" t="s">
        <v>1516</v>
      </c>
      <c r="L480">
        <v>2021</v>
      </c>
    </row>
    <row r="481" spans="11:12">
      <c r="K481" t="s">
        <v>1519</v>
      </c>
      <c r="L481">
        <v>2021</v>
      </c>
    </row>
    <row r="482" spans="11:12">
      <c r="K482" t="s">
        <v>1521</v>
      </c>
      <c r="L482">
        <v>2021</v>
      </c>
    </row>
    <row r="483" spans="11:12">
      <c r="K483" t="s">
        <v>1523</v>
      </c>
      <c r="L483">
        <v>2021</v>
      </c>
    </row>
    <row r="484" spans="11:12">
      <c r="K484" t="s">
        <v>1530</v>
      </c>
      <c r="L484">
        <v>2021</v>
      </c>
    </row>
    <row r="485" spans="11:12">
      <c r="K485" t="s">
        <v>1536</v>
      </c>
      <c r="L485">
        <v>2021</v>
      </c>
    </row>
    <row r="486" spans="11:12">
      <c r="K486" t="s">
        <v>1537</v>
      </c>
      <c r="L486">
        <v>2021</v>
      </c>
    </row>
    <row r="487" spans="11:12">
      <c r="K487" t="s">
        <v>1540</v>
      </c>
      <c r="L487">
        <v>2021</v>
      </c>
    </row>
    <row r="488" spans="11:12">
      <c r="K488" t="s">
        <v>1543</v>
      </c>
      <c r="L488">
        <v>2021</v>
      </c>
    </row>
    <row r="489" spans="11:12">
      <c r="K489" t="s">
        <v>1546</v>
      </c>
      <c r="L489">
        <v>2021</v>
      </c>
    </row>
    <row r="490" spans="11:12">
      <c r="K490" t="s">
        <v>1548</v>
      </c>
      <c r="L490">
        <v>2021</v>
      </c>
    </row>
    <row r="491" spans="11:12">
      <c r="K491" t="s">
        <v>1549</v>
      </c>
      <c r="L491">
        <v>2021</v>
      </c>
    </row>
    <row r="492" spans="11:12">
      <c r="K492" t="s">
        <v>1550</v>
      </c>
      <c r="L492">
        <v>2021</v>
      </c>
    </row>
    <row r="493" spans="11:12">
      <c r="K493" t="s">
        <v>1552</v>
      </c>
      <c r="L493">
        <v>2021</v>
      </c>
    </row>
    <row r="494" spans="11:12">
      <c r="K494" t="s">
        <v>1557</v>
      </c>
      <c r="L494">
        <v>2021</v>
      </c>
    </row>
    <row r="495" spans="11:12">
      <c r="K495" t="s">
        <v>1559</v>
      </c>
      <c r="L495">
        <v>2021</v>
      </c>
    </row>
    <row r="496" spans="11:12">
      <c r="K496" t="s">
        <v>1564</v>
      </c>
      <c r="L496">
        <v>2021</v>
      </c>
    </row>
    <row r="497" spans="11:12">
      <c r="K497" t="s">
        <v>1565</v>
      </c>
      <c r="L497">
        <v>2021</v>
      </c>
    </row>
    <row r="498" spans="11:12">
      <c r="K498" t="s">
        <v>1570</v>
      </c>
      <c r="L498">
        <v>2021</v>
      </c>
    </row>
    <row r="499" spans="11:12">
      <c r="K499" t="s">
        <v>1573</v>
      </c>
      <c r="L499">
        <v>2021</v>
      </c>
    </row>
    <row r="500" spans="11:12">
      <c r="K500" t="s">
        <v>1576</v>
      </c>
      <c r="L500">
        <v>2021</v>
      </c>
    </row>
    <row r="501" spans="11:12">
      <c r="K501" t="s">
        <v>1578</v>
      </c>
      <c r="L501">
        <v>2021</v>
      </c>
    </row>
    <row r="502" spans="11:12">
      <c r="K502" t="s">
        <v>1586</v>
      </c>
      <c r="L502">
        <v>2021</v>
      </c>
    </row>
    <row r="503" spans="11:12">
      <c r="K503" t="s">
        <v>1595</v>
      </c>
      <c r="L503">
        <v>2021</v>
      </c>
    </row>
    <row r="504" spans="11:12">
      <c r="K504" t="s">
        <v>1597</v>
      </c>
      <c r="L504">
        <v>2021</v>
      </c>
    </row>
    <row r="505" spans="11:12">
      <c r="K505" t="s">
        <v>1600</v>
      </c>
      <c r="L505">
        <v>2021</v>
      </c>
    </row>
    <row r="506" spans="11:12">
      <c r="K506" t="s">
        <v>1612</v>
      </c>
      <c r="L506">
        <v>2021</v>
      </c>
    </row>
    <row r="507" spans="11:12">
      <c r="K507" t="s">
        <v>1616</v>
      </c>
      <c r="L507">
        <v>2021</v>
      </c>
    </row>
    <row r="508" spans="11:12">
      <c r="K508" t="s">
        <v>1618</v>
      </c>
      <c r="L508">
        <v>2021</v>
      </c>
    </row>
    <row r="509" spans="11:12">
      <c r="K509" t="s">
        <v>1619</v>
      </c>
      <c r="L509">
        <v>2021</v>
      </c>
    </row>
    <row r="510" spans="11:12">
      <c r="K510" t="s">
        <v>1620</v>
      </c>
      <c r="L510">
        <v>2021</v>
      </c>
    </row>
    <row r="511" spans="11:12">
      <c r="K511" t="s">
        <v>1622</v>
      </c>
      <c r="L511">
        <v>2021</v>
      </c>
    </row>
    <row r="512" spans="11:12">
      <c r="K512" t="s">
        <v>1625</v>
      </c>
      <c r="L512">
        <v>2021</v>
      </c>
    </row>
    <row r="513" spans="11:12">
      <c r="K513" t="s">
        <v>1627</v>
      </c>
      <c r="L513">
        <v>2021</v>
      </c>
    </row>
    <row r="514" spans="11:12">
      <c r="K514" t="s">
        <v>1631</v>
      </c>
      <c r="L514">
        <v>2021</v>
      </c>
    </row>
    <row r="515" spans="11:12">
      <c r="K515" t="s">
        <v>1633</v>
      </c>
      <c r="L515">
        <v>2021</v>
      </c>
    </row>
    <row r="516" spans="11:12">
      <c r="K516" t="s">
        <v>1635</v>
      </c>
      <c r="L516">
        <v>2021</v>
      </c>
    </row>
    <row r="517" spans="11:12">
      <c r="K517" t="s">
        <v>1637</v>
      </c>
      <c r="L517">
        <v>2021</v>
      </c>
    </row>
    <row r="518" spans="11:12">
      <c r="K518" t="s">
        <v>1640</v>
      </c>
      <c r="L518">
        <v>2021</v>
      </c>
    </row>
    <row r="519" spans="11:12">
      <c r="K519" t="s">
        <v>1643</v>
      </c>
      <c r="L519">
        <v>2021</v>
      </c>
    </row>
    <row r="520" spans="11:12">
      <c r="K520" t="s">
        <v>1645</v>
      </c>
      <c r="L520">
        <v>2021</v>
      </c>
    </row>
    <row r="521" spans="11:12">
      <c r="K521" t="s">
        <v>1650</v>
      </c>
      <c r="L521">
        <v>2021</v>
      </c>
    </row>
    <row r="522" spans="11:12">
      <c r="K522" t="s">
        <v>1654</v>
      </c>
      <c r="L522">
        <v>2021</v>
      </c>
    </row>
    <row r="523" spans="11:12">
      <c r="K523" t="s">
        <v>1657</v>
      </c>
      <c r="L523">
        <v>2021</v>
      </c>
    </row>
    <row r="524" spans="11:12">
      <c r="K524" t="s">
        <v>1659</v>
      </c>
      <c r="L524">
        <v>2021</v>
      </c>
    </row>
    <row r="525" spans="11:12">
      <c r="K525" t="s">
        <v>1663</v>
      </c>
      <c r="L525">
        <v>2021</v>
      </c>
    </row>
    <row r="526" spans="11:12">
      <c r="K526" t="s">
        <v>1664</v>
      </c>
      <c r="L526">
        <v>2021</v>
      </c>
    </row>
    <row r="527" spans="11:12">
      <c r="K527" t="s">
        <v>1665</v>
      </c>
      <c r="L527">
        <v>2021</v>
      </c>
    </row>
    <row r="528" spans="11:12">
      <c r="K528" t="s">
        <v>1667</v>
      </c>
      <c r="L528">
        <v>2021</v>
      </c>
    </row>
    <row r="529" spans="11:12">
      <c r="K529" t="s">
        <v>1671</v>
      </c>
      <c r="L529">
        <v>2021</v>
      </c>
    </row>
    <row r="530" spans="11:12">
      <c r="K530" t="s">
        <v>1673</v>
      </c>
      <c r="L530">
        <v>2021</v>
      </c>
    </row>
    <row r="531" spans="11:12">
      <c r="K531" t="s">
        <v>1674</v>
      </c>
      <c r="L531">
        <v>2021</v>
      </c>
    </row>
    <row r="532" spans="11:12">
      <c r="K532" t="s">
        <v>1678</v>
      </c>
      <c r="L532">
        <v>2021</v>
      </c>
    </row>
    <row r="533" spans="11:12">
      <c r="K533" t="s">
        <v>1679</v>
      </c>
      <c r="L533">
        <v>2021</v>
      </c>
    </row>
    <row r="534" spans="11:12">
      <c r="K534" t="s">
        <v>1682</v>
      </c>
      <c r="L534">
        <v>2021</v>
      </c>
    </row>
    <row r="535" spans="11:12">
      <c r="K535" t="s">
        <v>1684</v>
      </c>
      <c r="L535">
        <v>2021</v>
      </c>
    </row>
    <row r="536" spans="11:12">
      <c r="K536" t="s">
        <v>1686</v>
      </c>
      <c r="L536">
        <v>2021</v>
      </c>
    </row>
    <row r="537" spans="11:12">
      <c r="K537" t="s">
        <v>1689</v>
      </c>
      <c r="L537">
        <v>2021</v>
      </c>
    </row>
    <row r="538" spans="11:12">
      <c r="K538" t="s">
        <v>1690</v>
      </c>
      <c r="L538">
        <v>2021</v>
      </c>
    </row>
    <row r="539" spans="11:12">
      <c r="K539" t="s">
        <v>1695</v>
      </c>
      <c r="L539">
        <v>2021</v>
      </c>
    </row>
    <row r="540" spans="11:12">
      <c r="K540" t="s">
        <v>1698</v>
      </c>
      <c r="L540">
        <v>2021</v>
      </c>
    </row>
    <row r="541" spans="11:12">
      <c r="K541" t="s">
        <v>1701</v>
      </c>
      <c r="L541">
        <v>2021</v>
      </c>
    </row>
    <row r="542" spans="11:12">
      <c r="K542" t="s">
        <v>1707</v>
      </c>
      <c r="L542">
        <v>2021</v>
      </c>
    </row>
    <row r="543" spans="11:12">
      <c r="K543" t="s">
        <v>1714</v>
      </c>
      <c r="L543">
        <v>2021</v>
      </c>
    </row>
    <row r="544" spans="11:12">
      <c r="K544" t="s">
        <v>1716</v>
      </c>
      <c r="L544">
        <v>2021</v>
      </c>
    </row>
    <row r="545" spans="11:12">
      <c r="K545" t="s">
        <v>1721</v>
      </c>
      <c r="L545">
        <v>2021</v>
      </c>
    </row>
    <row r="546" spans="11:12">
      <c r="K546" t="s">
        <v>1722</v>
      </c>
      <c r="L546">
        <v>2021</v>
      </c>
    </row>
    <row r="547" spans="11:12">
      <c r="K547" t="s">
        <v>1724</v>
      </c>
      <c r="L547">
        <v>2021</v>
      </c>
    </row>
    <row r="548" spans="11:12">
      <c r="K548" t="s">
        <v>1725</v>
      </c>
      <c r="L548">
        <v>2021</v>
      </c>
    </row>
    <row r="549" spans="11:12">
      <c r="K549" t="s">
        <v>1729</v>
      </c>
      <c r="L549">
        <v>2021</v>
      </c>
    </row>
    <row r="550" spans="11:12">
      <c r="K550" t="s">
        <v>1735</v>
      </c>
      <c r="L550">
        <v>2021</v>
      </c>
    </row>
    <row r="551" spans="11:12">
      <c r="K551" t="s">
        <v>1736</v>
      </c>
      <c r="L551">
        <v>2021</v>
      </c>
    </row>
    <row r="552" spans="11:12">
      <c r="K552" t="s">
        <v>1738</v>
      </c>
      <c r="L552">
        <v>2021</v>
      </c>
    </row>
    <row r="553" spans="11:12">
      <c r="K553" t="s">
        <v>1740</v>
      </c>
      <c r="L553">
        <v>2021</v>
      </c>
    </row>
    <row r="554" spans="11:12">
      <c r="K554" t="s">
        <v>1743</v>
      </c>
      <c r="L554">
        <v>2021</v>
      </c>
    </row>
    <row r="555" spans="11:12">
      <c r="K555" t="s">
        <v>1746</v>
      </c>
      <c r="L555">
        <v>2021</v>
      </c>
    </row>
    <row r="556" spans="11:12">
      <c r="K556" t="s">
        <v>1748</v>
      </c>
      <c r="L556">
        <v>2021</v>
      </c>
    </row>
    <row r="557" spans="11:12">
      <c r="K557" t="s">
        <v>1749</v>
      </c>
      <c r="L557">
        <v>2021</v>
      </c>
    </row>
    <row r="558" spans="11:12">
      <c r="K558" t="s">
        <v>1750</v>
      </c>
      <c r="L558">
        <v>2021</v>
      </c>
    </row>
    <row r="559" spans="11:12">
      <c r="K559" t="s">
        <v>1753</v>
      </c>
      <c r="L559">
        <v>2021</v>
      </c>
    </row>
    <row r="560" spans="11:12">
      <c r="K560" t="s">
        <v>1754</v>
      </c>
      <c r="L560">
        <v>2021</v>
      </c>
    </row>
    <row r="561" spans="11:12">
      <c r="K561" t="s">
        <v>1760</v>
      </c>
      <c r="L561">
        <v>2021</v>
      </c>
    </row>
    <row r="562" spans="11:12">
      <c r="K562" t="s">
        <v>1762</v>
      </c>
      <c r="L562">
        <v>2021</v>
      </c>
    </row>
    <row r="563" spans="11:12">
      <c r="K563" t="s">
        <v>1764</v>
      </c>
      <c r="L563">
        <v>2021</v>
      </c>
    </row>
    <row r="564" spans="11:12">
      <c r="K564" t="s">
        <v>1768</v>
      </c>
      <c r="L564">
        <v>2021</v>
      </c>
    </row>
    <row r="565" spans="11:12">
      <c r="K565" t="s">
        <v>1773</v>
      </c>
      <c r="L565">
        <v>2021</v>
      </c>
    </row>
    <row r="566" spans="11:12">
      <c r="K566" t="s">
        <v>1778</v>
      </c>
      <c r="L566">
        <v>2021</v>
      </c>
    </row>
    <row r="567" spans="11:12">
      <c r="K567" t="s">
        <v>1780</v>
      </c>
      <c r="L567">
        <v>2021</v>
      </c>
    </row>
    <row r="568" spans="11:12">
      <c r="K568" t="s">
        <v>1783</v>
      </c>
      <c r="L568">
        <v>2021</v>
      </c>
    </row>
    <row r="569" spans="11:12">
      <c r="K569" t="s">
        <v>1785</v>
      </c>
      <c r="L569">
        <v>2021</v>
      </c>
    </row>
    <row r="570" spans="11:12">
      <c r="K570" t="s">
        <v>1787</v>
      </c>
      <c r="L570">
        <v>2021</v>
      </c>
    </row>
    <row r="571" spans="11:12">
      <c r="K571" t="s">
        <v>1790</v>
      </c>
      <c r="L571">
        <v>2021</v>
      </c>
    </row>
    <row r="572" spans="11:12">
      <c r="K572" t="s">
        <v>1793</v>
      </c>
      <c r="L572">
        <v>2021</v>
      </c>
    </row>
    <row r="573" spans="11:12">
      <c r="K573" t="s">
        <v>1795</v>
      </c>
      <c r="L573">
        <v>2021</v>
      </c>
    </row>
    <row r="574" spans="11:12">
      <c r="K574" t="s">
        <v>1799</v>
      </c>
      <c r="L574">
        <v>2021</v>
      </c>
    </row>
    <row r="575" spans="11:12">
      <c r="K575" t="s">
        <v>1800</v>
      </c>
      <c r="L575">
        <v>2021</v>
      </c>
    </row>
    <row r="576" spans="11:12">
      <c r="K576" t="s">
        <v>1801</v>
      </c>
      <c r="L576">
        <v>2021</v>
      </c>
    </row>
    <row r="577" spans="11:12">
      <c r="K577" t="s">
        <v>1802</v>
      </c>
      <c r="L577">
        <v>2021</v>
      </c>
    </row>
    <row r="578" spans="11:12">
      <c r="K578" t="s">
        <v>1803</v>
      </c>
      <c r="L578">
        <v>2021</v>
      </c>
    </row>
    <row r="579" spans="11:12">
      <c r="K579" t="s">
        <v>1805</v>
      </c>
      <c r="L579">
        <v>2021</v>
      </c>
    </row>
    <row r="580" spans="11:12">
      <c r="K580" t="s">
        <v>1813</v>
      </c>
      <c r="L580">
        <v>2021</v>
      </c>
    </row>
    <row r="581" spans="11:12">
      <c r="K581" t="s">
        <v>1815</v>
      </c>
      <c r="L581">
        <v>2021</v>
      </c>
    </row>
    <row r="582" spans="11:12">
      <c r="K582" t="s">
        <v>1819</v>
      </c>
      <c r="L582">
        <v>2021</v>
      </c>
    </row>
    <row r="583" spans="11:12">
      <c r="K583" t="s">
        <v>1824</v>
      </c>
      <c r="L583">
        <v>2021</v>
      </c>
    </row>
    <row r="584" spans="11:12">
      <c r="K584" t="s">
        <v>1828</v>
      </c>
      <c r="L584">
        <v>2021</v>
      </c>
    </row>
    <row r="585" spans="11:12">
      <c r="K585" t="s">
        <v>1830</v>
      </c>
      <c r="L585">
        <v>2021</v>
      </c>
    </row>
    <row r="586" spans="11:12">
      <c r="K586" t="s">
        <v>1833</v>
      </c>
      <c r="L586">
        <v>2021</v>
      </c>
    </row>
    <row r="587" spans="11:12">
      <c r="K587" t="s">
        <v>1842</v>
      </c>
      <c r="L587">
        <v>2021</v>
      </c>
    </row>
    <row r="588" spans="11:12">
      <c r="K588" t="s">
        <v>1844</v>
      </c>
      <c r="L588">
        <v>2021</v>
      </c>
    </row>
    <row r="589" spans="11:12">
      <c r="K589" t="s">
        <v>1848</v>
      </c>
      <c r="L589">
        <v>2021</v>
      </c>
    </row>
    <row r="590" spans="11:12">
      <c r="K590" t="s">
        <v>1858</v>
      </c>
      <c r="L590">
        <v>2021</v>
      </c>
    </row>
    <row r="591" spans="11:12">
      <c r="K591" t="s">
        <v>1865</v>
      </c>
      <c r="L591">
        <v>2021</v>
      </c>
    </row>
    <row r="592" spans="11:12">
      <c r="K592" t="s">
        <v>1867</v>
      </c>
      <c r="L592">
        <v>2021</v>
      </c>
    </row>
    <row r="593" spans="11:12">
      <c r="K593" t="s">
        <v>1868</v>
      </c>
      <c r="L593">
        <v>2021</v>
      </c>
    </row>
    <row r="594" spans="11:12">
      <c r="K594" t="s">
        <v>1869</v>
      </c>
      <c r="L594">
        <v>2021</v>
      </c>
    </row>
    <row r="595" spans="11:12">
      <c r="K595" t="s">
        <v>1870</v>
      </c>
      <c r="L595">
        <v>2021</v>
      </c>
    </row>
    <row r="596" spans="11:12">
      <c r="K596" t="s">
        <v>1873</v>
      </c>
      <c r="L596">
        <v>2021</v>
      </c>
    </row>
    <row r="597" spans="11:12">
      <c r="K597" t="s">
        <v>1879</v>
      </c>
      <c r="L597">
        <v>2021</v>
      </c>
    </row>
    <row r="598" spans="11:12">
      <c r="K598" t="s">
        <v>661</v>
      </c>
      <c r="L598">
        <v>2022</v>
      </c>
    </row>
    <row r="599" spans="11:12">
      <c r="K599" t="s">
        <v>1885</v>
      </c>
      <c r="L599">
        <v>2022</v>
      </c>
    </row>
    <row r="600" spans="11:12">
      <c r="K600" t="s">
        <v>1504</v>
      </c>
      <c r="L600">
        <v>2022</v>
      </c>
    </row>
    <row r="601" spans="11:12">
      <c r="K601" t="s">
        <v>1887</v>
      </c>
      <c r="L601">
        <v>2022</v>
      </c>
    </row>
    <row r="602" spans="11:12">
      <c r="K602" t="s">
        <v>63</v>
      </c>
      <c r="L602">
        <v>2022</v>
      </c>
    </row>
    <row r="603" spans="11:12">
      <c r="K603" t="s">
        <v>1888</v>
      </c>
      <c r="L603">
        <v>2022</v>
      </c>
    </row>
    <row r="604" spans="11:12">
      <c r="K604" t="s">
        <v>217</v>
      </c>
      <c r="L604">
        <v>2022</v>
      </c>
    </row>
    <row r="605" spans="11:12">
      <c r="K605" t="s">
        <v>659</v>
      </c>
      <c r="L605">
        <v>2022</v>
      </c>
    </row>
    <row r="606" spans="11:12">
      <c r="K606" t="s">
        <v>1879</v>
      </c>
      <c r="L606">
        <v>2022</v>
      </c>
    </row>
    <row r="607" spans="11:12">
      <c r="K607" t="s">
        <v>1251</v>
      </c>
      <c r="L607">
        <v>2022</v>
      </c>
    </row>
    <row r="608" spans="11:12">
      <c r="K608" t="s">
        <v>368</v>
      </c>
      <c r="L608">
        <v>2022</v>
      </c>
    </row>
    <row r="609" spans="11:12">
      <c r="K609" t="s">
        <v>79</v>
      </c>
      <c r="L609">
        <v>2022</v>
      </c>
    </row>
    <row r="610" spans="11:12">
      <c r="K610" t="s">
        <v>1893</v>
      </c>
      <c r="L610">
        <v>2022</v>
      </c>
    </row>
    <row r="611" spans="11:12">
      <c r="K611" t="s">
        <v>1894</v>
      </c>
      <c r="L611">
        <v>2022</v>
      </c>
    </row>
    <row r="612" spans="11:12">
      <c r="K612" t="s">
        <v>955</v>
      </c>
      <c r="L612">
        <v>2022</v>
      </c>
    </row>
    <row r="613" spans="11:12">
      <c r="K613" t="s">
        <v>1900</v>
      </c>
      <c r="L613">
        <v>2022</v>
      </c>
    </row>
    <row r="614" spans="11:12">
      <c r="K614" t="s">
        <v>607</v>
      </c>
      <c r="L614">
        <v>2022</v>
      </c>
    </row>
    <row r="615" spans="11:12">
      <c r="K615" t="s">
        <v>477</v>
      </c>
      <c r="L615">
        <v>2022</v>
      </c>
    </row>
    <row r="616" spans="11:12">
      <c r="K616" t="s">
        <v>612</v>
      </c>
      <c r="L616">
        <v>2022</v>
      </c>
    </row>
    <row r="617" spans="11:12">
      <c r="K617" t="s">
        <v>805</v>
      </c>
      <c r="L617">
        <v>2022</v>
      </c>
    </row>
    <row r="618" spans="11:12">
      <c r="K618" t="s">
        <v>1902</v>
      </c>
      <c r="L618">
        <v>2022</v>
      </c>
    </row>
    <row r="619" spans="11:12">
      <c r="K619" t="s">
        <v>1743</v>
      </c>
      <c r="L619">
        <v>2022</v>
      </c>
    </row>
    <row r="620" spans="11:12">
      <c r="K620" t="s">
        <v>60</v>
      </c>
      <c r="L620">
        <v>2022</v>
      </c>
    </row>
    <row r="621" spans="11:12">
      <c r="K621" t="s">
        <v>1801</v>
      </c>
      <c r="L621">
        <v>2022</v>
      </c>
    </row>
    <row r="622" spans="11:12">
      <c r="K622" t="s">
        <v>1104</v>
      </c>
      <c r="L622">
        <v>2022</v>
      </c>
    </row>
    <row r="623" spans="11:12">
      <c r="K623" t="s">
        <v>1147</v>
      </c>
      <c r="L623">
        <v>2022</v>
      </c>
    </row>
    <row r="624" spans="11:12">
      <c r="K624" t="s">
        <v>980</v>
      </c>
      <c r="L624">
        <v>2022</v>
      </c>
    </row>
    <row r="625" spans="11:12">
      <c r="K625" t="s">
        <v>1180</v>
      </c>
      <c r="L625">
        <v>2022</v>
      </c>
    </row>
    <row r="626" spans="11:12">
      <c r="K626" t="s">
        <v>556</v>
      </c>
      <c r="L626">
        <v>2022</v>
      </c>
    </row>
    <row r="627" spans="11:12">
      <c r="K627" t="s">
        <v>1909</v>
      </c>
      <c r="L627">
        <v>2022</v>
      </c>
    </row>
    <row r="628" spans="11:12">
      <c r="K628" t="s">
        <v>1540</v>
      </c>
      <c r="L628">
        <v>2022</v>
      </c>
    </row>
    <row r="629" spans="11:12">
      <c r="K629" t="s">
        <v>811</v>
      </c>
      <c r="L629">
        <v>2022</v>
      </c>
    </row>
    <row r="630" spans="11:12">
      <c r="K630" t="s">
        <v>673</v>
      </c>
      <c r="L630">
        <v>2022</v>
      </c>
    </row>
    <row r="631" spans="11:12">
      <c r="K631" t="s">
        <v>1044</v>
      </c>
      <c r="L631">
        <v>2022</v>
      </c>
    </row>
    <row r="632" spans="11:12">
      <c r="K632" t="s">
        <v>1912</v>
      </c>
      <c r="L632">
        <v>2022</v>
      </c>
    </row>
    <row r="633" spans="11:12">
      <c r="K633" t="s">
        <v>1914</v>
      </c>
      <c r="L633">
        <v>2022</v>
      </c>
    </row>
    <row r="634" spans="11:12">
      <c r="K634" t="s">
        <v>391</v>
      </c>
      <c r="L634">
        <v>2022</v>
      </c>
    </row>
    <row r="635" spans="11:12">
      <c r="K635" t="s">
        <v>1243</v>
      </c>
      <c r="L635">
        <v>2022</v>
      </c>
    </row>
    <row r="636" spans="11:12">
      <c r="K636" t="s">
        <v>798</v>
      </c>
      <c r="L636">
        <v>2022</v>
      </c>
    </row>
    <row r="637" spans="11:12">
      <c r="K637" t="s">
        <v>894</v>
      </c>
      <c r="L637">
        <v>2022</v>
      </c>
    </row>
    <row r="638" spans="11:12">
      <c r="K638" t="s">
        <v>1329</v>
      </c>
      <c r="L638">
        <v>2022</v>
      </c>
    </row>
    <row r="639" spans="11:12">
      <c r="K639" t="s">
        <v>1918</v>
      </c>
      <c r="L639">
        <v>2022</v>
      </c>
    </row>
    <row r="640" spans="11:12">
      <c r="K640" t="s">
        <v>1450</v>
      </c>
      <c r="L640">
        <v>2022</v>
      </c>
    </row>
    <row r="641" spans="11:12">
      <c r="K641" t="s">
        <v>1750</v>
      </c>
      <c r="L641">
        <v>2022</v>
      </c>
    </row>
    <row r="642" spans="11:12">
      <c r="K642" t="s">
        <v>679</v>
      </c>
      <c r="L642">
        <v>2022</v>
      </c>
    </row>
    <row r="643" spans="11:12">
      <c r="K643" t="s">
        <v>470</v>
      </c>
      <c r="L643">
        <v>2022</v>
      </c>
    </row>
    <row r="644" spans="11:12">
      <c r="K644" t="s">
        <v>601</v>
      </c>
      <c r="L644">
        <v>2022</v>
      </c>
    </row>
    <row r="645" spans="11:12">
      <c r="K645" t="s">
        <v>1793</v>
      </c>
      <c r="L645">
        <v>2022</v>
      </c>
    </row>
    <row r="646" spans="11:12">
      <c r="K646" t="s">
        <v>439</v>
      </c>
      <c r="L646">
        <v>2022</v>
      </c>
    </row>
    <row r="647" spans="11:12">
      <c r="K647" t="s">
        <v>1650</v>
      </c>
      <c r="L647">
        <v>2022</v>
      </c>
    </row>
    <row r="648" spans="11:12">
      <c r="K648" t="s">
        <v>1922</v>
      </c>
      <c r="L648">
        <v>2022</v>
      </c>
    </row>
    <row r="649" spans="11:12">
      <c r="K649" t="s">
        <v>880</v>
      </c>
      <c r="L649">
        <v>2022</v>
      </c>
    </row>
    <row r="650" spans="11:12">
      <c r="K650" t="s">
        <v>285</v>
      </c>
      <c r="L650">
        <v>2022</v>
      </c>
    </row>
    <row r="651" spans="11:12">
      <c r="K651" t="s">
        <v>1175</v>
      </c>
      <c r="L651">
        <v>2022</v>
      </c>
    </row>
    <row r="652" spans="11:12">
      <c r="K652" t="s">
        <v>1645</v>
      </c>
      <c r="L652">
        <v>2022</v>
      </c>
    </row>
    <row r="653" spans="11:12">
      <c r="K653" t="s">
        <v>1813</v>
      </c>
      <c r="L653">
        <v>2022</v>
      </c>
    </row>
    <row r="654" spans="11:12">
      <c r="K654" t="s">
        <v>1924</v>
      </c>
      <c r="L654">
        <v>2022</v>
      </c>
    </row>
    <row r="655" spans="11:12">
      <c r="K655" t="s">
        <v>1787</v>
      </c>
      <c r="L655">
        <v>2022</v>
      </c>
    </row>
    <row r="656" spans="11:12">
      <c r="K656" t="s">
        <v>1519</v>
      </c>
      <c r="L656">
        <v>2022</v>
      </c>
    </row>
    <row r="657" spans="11:12">
      <c r="K657" t="s">
        <v>1419</v>
      </c>
      <c r="L657">
        <v>2022</v>
      </c>
    </row>
    <row r="658" spans="11:12">
      <c r="K658" t="s">
        <v>1928</v>
      </c>
      <c r="L658">
        <v>2022</v>
      </c>
    </row>
    <row r="659" spans="11:12">
      <c r="K659" t="s">
        <v>1057</v>
      </c>
      <c r="L659">
        <v>2022</v>
      </c>
    </row>
    <row r="660" spans="11:12">
      <c r="K660" t="s">
        <v>197</v>
      </c>
      <c r="L660">
        <v>2022</v>
      </c>
    </row>
    <row r="661" spans="11:12">
      <c r="K661" t="s">
        <v>1671</v>
      </c>
      <c r="L661">
        <v>2022</v>
      </c>
    </row>
    <row r="662" spans="11:12">
      <c r="K662" t="s">
        <v>714</v>
      </c>
      <c r="L662">
        <v>2022</v>
      </c>
    </row>
    <row r="663" spans="11:12">
      <c r="K663" t="s">
        <v>272</v>
      </c>
      <c r="L663">
        <v>2022</v>
      </c>
    </row>
    <row r="664" spans="11:12">
      <c r="K664" t="s">
        <v>1933</v>
      </c>
      <c r="L664">
        <v>2022</v>
      </c>
    </row>
    <row r="665" spans="11:12">
      <c r="K665" t="s">
        <v>1935</v>
      </c>
      <c r="L665">
        <v>2022</v>
      </c>
    </row>
    <row r="666" spans="11:12">
      <c r="K666" t="s">
        <v>676</v>
      </c>
      <c r="L666">
        <v>2022</v>
      </c>
    </row>
    <row r="667" spans="11:12">
      <c r="K667" t="s">
        <v>1029</v>
      </c>
      <c r="L667">
        <v>2022</v>
      </c>
    </row>
    <row r="668" spans="11:12">
      <c r="K668" t="s">
        <v>1830</v>
      </c>
      <c r="L668">
        <v>2022</v>
      </c>
    </row>
    <row r="669" spans="11:12">
      <c r="K669" t="s">
        <v>1738</v>
      </c>
      <c r="L669">
        <v>2022</v>
      </c>
    </row>
    <row r="670" spans="11:12">
      <c r="K670" t="s">
        <v>1937</v>
      </c>
      <c r="L670">
        <v>2022</v>
      </c>
    </row>
    <row r="671" spans="11:12">
      <c r="K671" t="s">
        <v>153</v>
      </c>
      <c r="L671">
        <v>2022</v>
      </c>
    </row>
    <row r="672" spans="11:12">
      <c r="K672" t="s">
        <v>1939</v>
      </c>
      <c r="L672">
        <v>2022</v>
      </c>
    </row>
    <row r="673" spans="11:12">
      <c r="K673" t="s">
        <v>1260</v>
      </c>
      <c r="L673">
        <v>2022</v>
      </c>
    </row>
    <row r="674" spans="11:12">
      <c r="K674" t="s">
        <v>1006</v>
      </c>
      <c r="L674">
        <v>2022</v>
      </c>
    </row>
    <row r="675" spans="11:12">
      <c r="K675" t="s">
        <v>973</v>
      </c>
      <c r="L675">
        <v>2022</v>
      </c>
    </row>
    <row r="676" spans="11:12">
      <c r="K676" t="s">
        <v>1943</v>
      </c>
      <c r="L676">
        <v>2022</v>
      </c>
    </row>
    <row r="677" spans="11:12">
      <c r="K677" t="s">
        <v>893</v>
      </c>
      <c r="L677">
        <v>2022</v>
      </c>
    </row>
    <row r="678" spans="11:12">
      <c r="K678" t="s">
        <v>1448</v>
      </c>
      <c r="L678">
        <v>2022</v>
      </c>
    </row>
    <row r="679" spans="11:12">
      <c r="K679" t="s">
        <v>875</v>
      </c>
      <c r="L679">
        <v>2022</v>
      </c>
    </row>
    <row r="680" spans="11:12">
      <c r="K680" t="s">
        <v>1947</v>
      </c>
      <c r="L680">
        <v>2022</v>
      </c>
    </row>
    <row r="681" spans="11:12">
      <c r="K681" t="s">
        <v>96</v>
      </c>
      <c r="L681">
        <v>2022</v>
      </c>
    </row>
    <row r="682" spans="11:12">
      <c r="K682" t="s">
        <v>454</v>
      </c>
      <c r="L682">
        <v>2022</v>
      </c>
    </row>
    <row r="683" spans="11:12">
      <c r="K683" t="s">
        <v>1948</v>
      </c>
      <c r="L683">
        <v>2022</v>
      </c>
    </row>
    <row r="684" spans="11:12">
      <c r="K684" t="s">
        <v>1410</v>
      </c>
      <c r="L684">
        <v>2022</v>
      </c>
    </row>
    <row r="685" spans="11:12">
      <c r="K685" t="s">
        <v>1253</v>
      </c>
      <c r="L685">
        <v>2022</v>
      </c>
    </row>
    <row r="686" spans="11:12">
      <c r="K686" t="s">
        <v>547</v>
      </c>
      <c r="L686">
        <v>2022</v>
      </c>
    </row>
    <row r="687" spans="11:12">
      <c r="K687" t="s">
        <v>917</v>
      </c>
      <c r="L687">
        <v>2022</v>
      </c>
    </row>
    <row r="688" spans="11:12">
      <c r="K688" t="s">
        <v>589</v>
      </c>
      <c r="L688">
        <v>2022</v>
      </c>
    </row>
    <row r="689" spans="11:12">
      <c r="K689" t="s">
        <v>1950</v>
      </c>
      <c r="L689">
        <v>2022</v>
      </c>
    </row>
    <row r="690" spans="11:12">
      <c r="K690" t="s">
        <v>1953</v>
      </c>
      <c r="L690">
        <v>2022</v>
      </c>
    </row>
    <row r="691" spans="11:12">
      <c r="K691" t="s">
        <v>1312</v>
      </c>
      <c r="L691">
        <v>2022</v>
      </c>
    </row>
    <row r="692" spans="11:12">
      <c r="K692" t="s">
        <v>382</v>
      </c>
      <c r="L692">
        <v>2022</v>
      </c>
    </row>
    <row r="693" spans="11:12">
      <c r="K693" t="s">
        <v>1334</v>
      </c>
      <c r="L693">
        <v>2022</v>
      </c>
    </row>
    <row r="694" spans="11:12">
      <c r="K694" t="s">
        <v>1690</v>
      </c>
      <c r="L694">
        <v>2022</v>
      </c>
    </row>
    <row r="695" spans="11:12">
      <c r="K695" t="s">
        <v>1959</v>
      </c>
      <c r="L695">
        <v>2022</v>
      </c>
    </row>
    <row r="696" spans="11:12">
      <c r="K696" t="s">
        <v>1497</v>
      </c>
      <c r="L696">
        <v>2022</v>
      </c>
    </row>
    <row r="697" spans="11:12">
      <c r="K697" t="s">
        <v>1053</v>
      </c>
      <c r="L697">
        <v>2022</v>
      </c>
    </row>
    <row r="698" spans="11:12">
      <c r="K698" t="s">
        <v>909</v>
      </c>
      <c r="L698">
        <v>2022</v>
      </c>
    </row>
    <row r="699" spans="11:12">
      <c r="K699" t="s">
        <v>1332</v>
      </c>
      <c r="L699">
        <v>2022</v>
      </c>
    </row>
    <row r="700" spans="11:12">
      <c r="K700" t="s">
        <v>187</v>
      </c>
      <c r="L700">
        <v>2022</v>
      </c>
    </row>
    <row r="701" spans="11:12">
      <c r="K701" t="s">
        <v>1964</v>
      </c>
      <c r="L701">
        <v>2022</v>
      </c>
    </row>
    <row r="702" spans="11:12">
      <c r="K702" t="s">
        <v>1965</v>
      </c>
      <c r="L702">
        <v>2022</v>
      </c>
    </row>
    <row r="703" spans="11:12">
      <c r="K703" t="s">
        <v>1654</v>
      </c>
      <c r="L703">
        <v>2022</v>
      </c>
    </row>
    <row r="704" spans="11:12">
      <c r="K704" t="s">
        <v>780</v>
      </c>
      <c r="L704">
        <v>2022</v>
      </c>
    </row>
    <row r="705" spans="11:12">
      <c r="K705" t="s">
        <v>1968</v>
      </c>
      <c r="L705">
        <v>2022</v>
      </c>
    </row>
    <row r="706" spans="11:12">
      <c r="K706" t="s">
        <v>1970</v>
      </c>
      <c r="L706">
        <v>2022</v>
      </c>
    </row>
    <row r="707" spans="11:12">
      <c r="K707" t="s">
        <v>467</v>
      </c>
      <c r="L707">
        <v>2022</v>
      </c>
    </row>
    <row r="708" spans="11:12">
      <c r="K708" t="s">
        <v>1637</v>
      </c>
      <c r="L708">
        <v>2022</v>
      </c>
    </row>
    <row r="709" spans="11:12">
      <c r="K709" t="s">
        <v>1973</v>
      </c>
      <c r="L709">
        <v>2022</v>
      </c>
    </row>
    <row r="710" spans="11:12">
      <c r="K710" t="s">
        <v>1858</v>
      </c>
      <c r="L710">
        <v>2022</v>
      </c>
    </row>
    <row r="711" spans="11:12">
      <c r="K711" t="s">
        <v>1375</v>
      </c>
      <c r="L711">
        <v>2022</v>
      </c>
    </row>
    <row r="712" spans="11:12">
      <c r="K712" t="s">
        <v>1025</v>
      </c>
      <c r="L712">
        <v>2022</v>
      </c>
    </row>
    <row r="713" spans="11:12">
      <c r="K713" t="s">
        <v>790</v>
      </c>
      <c r="L713">
        <v>2022</v>
      </c>
    </row>
    <row r="714" spans="11:12">
      <c r="K714" t="s">
        <v>1440</v>
      </c>
      <c r="L714">
        <v>2022</v>
      </c>
    </row>
    <row r="715" spans="11:12">
      <c r="K715" t="s">
        <v>912</v>
      </c>
      <c r="L715">
        <v>2022</v>
      </c>
    </row>
    <row r="716" spans="11:12">
      <c r="K716" t="s">
        <v>1976</v>
      </c>
      <c r="L716">
        <v>2022</v>
      </c>
    </row>
    <row r="717" spans="11:12">
      <c r="K717" t="s">
        <v>1746</v>
      </c>
      <c r="L717">
        <v>2022</v>
      </c>
    </row>
    <row r="718" spans="11:12">
      <c r="K718" t="s">
        <v>1979</v>
      </c>
      <c r="L718">
        <v>2022</v>
      </c>
    </row>
    <row r="719" spans="11:12">
      <c r="K719" t="s">
        <v>1106</v>
      </c>
      <c r="L719">
        <v>2022</v>
      </c>
    </row>
    <row r="720" spans="11:12">
      <c r="K720" t="s">
        <v>740</v>
      </c>
      <c r="L720">
        <v>2022</v>
      </c>
    </row>
    <row r="721" spans="11:12">
      <c r="K721" t="s">
        <v>1403</v>
      </c>
      <c r="L721">
        <v>2022</v>
      </c>
    </row>
    <row r="722" spans="11:12">
      <c r="K722" t="s">
        <v>109</v>
      </c>
      <c r="L722">
        <v>2022</v>
      </c>
    </row>
    <row r="723" spans="11:12">
      <c r="K723" t="s">
        <v>1635</v>
      </c>
      <c r="L723">
        <v>2022</v>
      </c>
    </row>
    <row r="724" spans="11:12">
      <c r="K724" t="s">
        <v>282</v>
      </c>
      <c r="L724">
        <v>2022</v>
      </c>
    </row>
    <row r="725" spans="11:12">
      <c r="K725" t="s">
        <v>683</v>
      </c>
      <c r="L725">
        <v>2022</v>
      </c>
    </row>
    <row r="726" spans="11:12">
      <c r="K726" t="s">
        <v>1359</v>
      </c>
      <c r="L726">
        <v>2022</v>
      </c>
    </row>
    <row r="727" spans="11:12">
      <c r="K727" t="s">
        <v>1428</v>
      </c>
      <c r="L727">
        <v>2022</v>
      </c>
    </row>
    <row r="728" spans="11:12">
      <c r="K728" t="s">
        <v>291</v>
      </c>
      <c r="L728">
        <v>2022</v>
      </c>
    </row>
    <row r="729" spans="11:12">
      <c r="K729" t="s">
        <v>309</v>
      </c>
      <c r="L729">
        <v>2022</v>
      </c>
    </row>
    <row r="730" spans="11:12">
      <c r="K730" t="s">
        <v>1988</v>
      </c>
      <c r="L730">
        <v>2022</v>
      </c>
    </row>
    <row r="731" spans="11:12">
      <c r="K731" t="s">
        <v>400</v>
      </c>
      <c r="L731">
        <v>2022</v>
      </c>
    </row>
    <row r="732" spans="11:12">
      <c r="K732" t="s">
        <v>924</v>
      </c>
      <c r="L732">
        <v>2022</v>
      </c>
    </row>
    <row r="733" spans="11:12">
      <c r="K733" t="s">
        <v>1993</v>
      </c>
      <c r="L733">
        <v>2022</v>
      </c>
    </row>
    <row r="734" spans="11:12">
      <c r="K734" t="s">
        <v>1790</v>
      </c>
      <c r="L734">
        <v>2022</v>
      </c>
    </row>
    <row r="735" spans="11:12">
      <c r="K735" t="s">
        <v>1996</v>
      </c>
      <c r="L735">
        <v>2022</v>
      </c>
    </row>
    <row r="736" spans="11:12">
      <c r="K736" t="s">
        <v>419</v>
      </c>
      <c r="L736">
        <v>2022</v>
      </c>
    </row>
    <row r="737" spans="11:12">
      <c r="K737" t="s">
        <v>1523</v>
      </c>
      <c r="L737">
        <v>2022</v>
      </c>
    </row>
    <row r="738" spans="11:12">
      <c r="K738" t="s">
        <v>788</v>
      </c>
      <c r="L738">
        <v>2022</v>
      </c>
    </row>
    <row r="739" spans="11:12">
      <c r="K739" t="s">
        <v>141</v>
      </c>
      <c r="L739">
        <v>2022</v>
      </c>
    </row>
    <row r="740" spans="11:12">
      <c r="K740" t="s">
        <v>831</v>
      </c>
      <c r="L740">
        <v>2022</v>
      </c>
    </row>
    <row r="741" spans="11:12">
      <c r="K741" t="s">
        <v>1373</v>
      </c>
      <c r="L741">
        <v>2022</v>
      </c>
    </row>
    <row r="742" spans="11:12">
      <c r="K742" t="s">
        <v>937</v>
      </c>
      <c r="L742">
        <v>2022</v>
      </c>
    </row>
    <row r="743" spans="11:12">
      <c r="K743" t="s">
        <v>620</v>
      </c>
      <c r="L743">
        <v>2022</v>
      </c>
    </row>
    <row r="744" spans="11:12">
      <c r="K744" t="s">
        <v>1179</v>
      </c>
      <c r="L744">
        <v>2022</v>
      </c>
    </row>
    <row r="745" spans="11:12">
      <c r="K745" t="s">
        <v>507</v>
      </c>
      <c r="L745">
        <v>2022</v>
      </c>
    </row>
    <row r="746" spans="11:12">
      <c r="K746" t="s">
        <v>833</v>
      </c>
      <c r="L746">
        <v>2022</v>
      </c>
    </row>
    <row r="747" spans="11:12">
      <c r="K747" t="s">
        <v>1487</v>
      </c>
      <c r="L747">
        <v>2022</v>
      </c>
    </row>
    <row r="748" spans="11:12">
      <c r="K748" t="s">
        <v>1416</v>
      </c>
      <c r="L748">
        <v>2022</v>
      </c>
    </row>
    <row r="749" spans="11:12">
      <c r="K749" t="s">
        <v>1496</v>
      </c>
      <c r="L749">
        <v>2022</v>
      </c>
    </row>
    <row r="750" spans="11:12">
      <c r="K750" t="s">
        <v>511</v>
      </c>
      <c r="L750">
        <v>2022</v>
      </c>
    </row>
    <row r="751" spans="11:12">
      <c r="K751" t="s">
        <v>1214</v>
      </c>
      <c r="L751">
        <v>2022</v>
      </c>
    </row>
    <row r="752" spans="11:12">
      <c r="K752" t="s">
        <v>1707</v>
      </c>
      <c r="L752">
        <v>2022</v>
      </c>
    </row>
    <row r="753" spans="11:12">
      <c r="K753" t="s">
        <v>2013</v>
      </c>
      <c r="L753">
        <v>2022</v>
      </c>
    </row>
    <row r="754" spans="11:12">
      <c r="K754" t="s">
        <v>1461</v>
      </c>
      <c r="L754">
        <v>2022</v>
      </c>
    </row>
    <row r="755" spans="11:12">
      <c r="K755" t="s">
        <v>2014</v>
      </c>
      <c r="L755">
        <v>2022</v>
      </c>
    </row>
    <row r="756" spans="11:12">
      <c r="K756" t="s">
        <v>2015</v>
      </c>
      <c r="L756">
        <v>2022</v>
      </c>
    </row>
    <row r="757" spans="11:12">
      <c r="K757" t="s">
        <v>1069</v>
      </c>
      <c r="L757">
        <v>2022</v>
      </c>
    </row>
    <row r="758" spans="11:12">
      <c r="K758" t="s">
        <v>2019</v>
      </c>
      <c r="L758">
        <v>2022</v>
      </c>
    </row>
    <row r="759" spans="11:12">
      <c r="K759" t="s">
        <v>1394</v>
      </c>
      <c r="L759">
        <v>2022</v>
      </c>
    </row>
    <row r="760" spans="11:12">
      <c r="K760" t="s">
        <v>1760</v>
      </c>
      <c r="L760">
        <v>2022</v>
      </c>
    </row>
    <row r="761" spans="11:12">
      <c r="K761" t="s">
        <v>2023</v>
      </c>
      <c r="L761">
        <v>2022</v>
      </c>
    </row>
    <row r="762" spans="11:12">
      <c r="K762" t="s">
        <v>562</v>
      </c>
      <c r="L762">
        <v>2022</v>
      </c>
    </row>
    <row r="763" spans="11:12">
      <c r="K763" t="s">
        <v>1279</v>
      </c>
      <c r="L763">
        <v>2022</v>
      </c>
    </row>
    <row r="764" spans="11:12">
      <c r="K764" t="s">
        <v>1343</v>
      </c>
      <c r="L764">
        <v>2022</v>
      </c>
    </row>
    <row r="765" spans="11:12">
      <c r="K765" t="s">
        <v>592</v>
      </c>
      <c r="L765">
        <v>2022</v>
      </c>
    </row>
    <row r="766" spans="11:12">
      <c r="K766" t="s">
        <v>1557</v>
      </c>
      <c r="L766">
        <v>2022</v>
      </c>
    </row>
    <row r="767" spans="11:12">
      <c r="K767" t="s">
        <v>682</v>
      </c>
      <c r="L767">
        <v>2022</v>
      </c>
    </row>
    <row r="768" spans="11:12">
      <c r="K768" t="s">
        <v>1290</v>
      </c>
      <c r="L768">
        <v>2022</v>
      </c>
    </row>
    <row r="769" spans="11:12">
      <c r="K769" t="s">
        <v>11</v>
      </c>
      <c r="L769">
        <v>2022</v>
      </c>
    </row>
    <row r="770" spans="11:12">
      <c r="K770" t="s">
        <v>1414</v>
      </c>
      <c r="L770">
        <v>2022</v>
      </c>
    </row>
    <row r="771" spans="11:12">
      <c r="K771" t="s">
        <v>1078</v>
      </c>
      <c r="L771">
        <v>2022</v>
      </c>
    </row>
    <row r="772" spans="11:12">
      <c r="K772" t="s">
        <v>1145</v>
      </c>
      <c r="L772">
        <v>2022</v>
      </c>
    </row>
    <row r="773" spans="11:12">
      <c r="K773" t="s">
        <v>609</v>
      </c>
      <c r="L773">
        <v>2022</v>
      </c>
    </row>
    <row r="774" spans="11:12">
      <c r="K774" t="s">
        <v>2035</v>
      </c>
      <c r="L774">
        <v>2022</v>
      </c>
    </row>
    <row r="775" spans="11:12">
      <c r="K775" t="s">
        <v>637</v>
      </c>
      <c r="L775">
        <v>2022</v>
      </c>
    </row>
    <row r="776" spans="11:12">
      <c r="K776" t="s">
        <v>1337</v>
      </c>
      <c r="L776">
        <v>2022</v>
      </c>
    </row>
    <row r="777" spans="11:12">
      <c r="K777" t="s">
        <v>2039</v>
      </c>
      <c r="L777">
        <v>2022</v>
      </c>
    </row>
    <row r="778" spans="11:12">
      <c r="K778" t="s">
        <v>2041</v>
      </c>
      <c r="L778">
        <v>2022</v>
      </c>
    </row>
    <row r="779" spans="11:12">
      <c r="K779" t="s">
        <v>327</v>
      </c>
      <c r="L779">
        <v>2022</v>
      </c>
    </row>
    <row r="780" spans="11:12">
      <c r="K780" t="s">
        <v>169</v>
      </c>
      <c r="L780">
        <v>2022</v>
      </c>
    </row>
    <row r="781" spans="11:12">
      <c r="K781" t="s">
        <v>251</v>
      </c>
      <c r="L781">
        <v>2022</v>
      </c>
    </row>
    <row r="782" spans="11:12">
      <c r="K782" t="s">
        <v>2044</v>
      </c>
      <c r="L782">
        <v>2022</v>
      </c>
    </row>
    <row r="783" spans="11:12">
      <c r="K783" t="s">
        <v>859</v>
      </c>
      <c r="L783">
        <v>2022</v>
      </c>
    </row>
    <row r="784" spans="11:12">
      <c r="K784" t="s">
        <v>220</v>
      </c>
      <c r="L784">
        <v>2022</v>
      </c>
    </row>
    <row r="785" spans="11:12">
      <c r="K785" t="s">
        <v>711</v>
      </c>
      <c r="L785">
        <v>2022</v>
      </c>
    </row>
    <row r="786" spans="11:12">
      <c r="K786" t="s">
        <v>1678</v>
      </c>
      <c r="L786">
        <v>2022</v>
      </c>
    </row>
    <row r="787" spans="11:12">
      <c r="K787" t="s">
        <v>891</v>
      </c>
      <c r="L787">
        <v>2022</v>
      </c>
    </row>
    <row r="788" spans="11:12">
      <c r="K788" t="s">
        <v>133</v>
      </c>
      <c r="L788">
        <v>2022</v>
      </c>
    </row>
    <row r="789" spans="11:12">
      <c r="K789" t="s">
        <v>535</v>
      </c>
      <c r="L789">
        <v>2022</v>
      </c>
    </row>
    <row r="790" spans="11:12">
      <c r="K790" t="s">
        <v>554</v>
      </c>
      <c r="L790">
        <v>2022</v>
      </c>
    </row>
    <row r="791" spans="11:12">
      <c r="K791" t="s">
        <v>2050</v>
      </c>
      <c r="L791">
        <v>2022</v>
      </c>
    </row>
    <row r="792" spans="11:12">
      <c r="K792" t="s">
        <v>1297</v>
      </c>
      <c r="L792">
        <v>2022</v>
      </c>
    </row>
    <row r="793" spans="11:12">
      <c r="K793" t="s">
        <v>2055</v>
      </c>
      <c r="L793">
        <v>2022</v>
      </c>
    </row>
    <row r="794" spans="11:12">
      <c r="K794" t="s">
        <v>1548</v>
      </c>
      <c r="L794">
        <v>2022</v>
      </c>
    </row>
    <row r="795" spans="11:12">
      <c r="K795" t="s">
        <v>1521</v>
      </c>
      <c r="L795">
        <v>2022</v>
      </c>
    </row>
    <row r="796" spans="11:12">
      <c r="K796" t="s">
        <v>2059</v>
      </c>
      <c r="L796">
        <v>2022</v>
      </c>
    </row>
    <row r="797" spans="11:12">
      <c r="K797" t="s">
        <v>525</v>
      </c>
      <c r="L797">
        <v>2022</v>
      </c>
    </row>
    <row r="798" spans="11:12">
      <c r="K798" t="s">
        <v>2062</v>
      </c>
      <c r="L798">
        <v>2022</v>
      </c>
    </row>
    <row r="799" spans="11:12">
      <c r="K799" t="s">
        <v>1480</v>
      </c>
      <c r="L799">
        <v>2022</v>
      </c>
    </row>
    <row r="800" spans="11:12">
      <c r="K800" t="s">
        <v>595</v>
      </c>
      <c r="L800">
        <v>2022</v>
      </c>
    </row>
    <row r="801" spans="11:12">
      <c r="K801" t="s">
        <v>445</v>
      </c>
      <c r="L801">
        <v>2022</v>
      </c>
    </row>
    <row r="802" spans="11:12">
      <c r="K802" t="s">
        <v>2066</v>
      </c>
      <c r="L802">
        <v>2022</v>
      </c>
    </row>
    <row r="803" spans="11:12">
      <c r="K803" t="s">
        <v>2067</v>
      </c>
      <c r="L803">
        <v>2022</v>
      </c>
    </row>
    <row r="804" spans="11:12">
      <c r="K804" t="s">
        <v>1273</v>
      </c>
      <c r="L804">
        <v>2022</v>
      </c>
    </row>
    <row r="805" spans="11:12">
      <c r="K805" t="s">
        <v>1269</v>
      </c>
      <c r="L805">
        <v>2022</v>
      </c>
    </row>
    <row r="806" spans="11:12">
      <c r="K806" t="s">
        <v>1005</v>
      </c>
      <c r="L806">
        <v>2022</v>
      </c>
    </row>
    <row r="807" spans="11:12">
      <c r="K807" t="s">
        <v>850</v>
      </c>
      <c r="L807">
        <v>2022</v>
      </c>
    </row>
    <row r="808" spans="11:12">
      <c r="K808" t="s">
        <v>947</v>
      </c>
      <c r="L808">
        <v>2022</v>
      </c>
    </row>
    <row r="809" spans="11:12">
      <c r="K809" t="s">
        <v>394</v>
      </c>
      <c r="L809">
        <v>2022</v>
      </c>
    </row>
    <row r="810" spans="11:12">
      <c r="K810" t="s">
        <v>1202</v>
      </c>
      <c r="L810">
        <v>2022</v>
      </c>
    </row>
    <row r="811" spans="11:12">
      <c r="K811" t="s">
        <v>2073</v>
      </c>
      <c r="L811">
        <v>2022</v>
      </c>
    </row>
    <row r="812" spans="11:12">
      <c r="K812" t="s">
        <v>744</v>
      </c>
      <c r="L812">
        <v>2022</v>
      </c>
    </row>
    <row r="813" spans="11:12">
      <c r="K813" t="s">
        <v>532</v>
      </c>
      <c r="L813">
        <v>2022</v>
      </c>
    </row>
    <row r="814" spans="11:12">
      <c r="K814" t="s">
        <v>1469</v>
      </c>
      <c r="L814">
        <v>2022</v>
      </c>
    </row>
    <row r="815" spans="11:12">
      <c r="K815" t="s">
        <v>458</v>
      </c>
      <c r="L815">
        <v>2022</v>
      </c>
    </row>
    <row r="816" spans="11:12">
      <c r="K816" t="s">
        <v>1291</v>
      </c>
      <c r="L816">
        <v>2022</v>
      </c>
    </row>
    <row r="817" spans="11:12">
      <c r="K817" t="s">
        <v>861</v>
      </c>
      <c r="L817">
        <v>2022</v>
      </c>
    </row>
    <row r="818" spans="11:12">
      <c r="K818" t="s">
        <v>56</v>
      </c>
      <c r="L818">
        <v>2022</v>
      </c>
    </row>
    <row r="819" spans="11:12">
      <c r="K819" t="s">
        <v>991</v>
      </c>
      <c r="L819">
        <v>2022</v>
      </c>
    </row>
    <row r="820" spans="11:12">
      <c r="K820" t="s">
        <v>1345</v>
      </c>
      <c r="L820">
        <v>2022</v>
      </c>
    </row>
    <row r="821" spans="11:12">
      <c r="K821" t="s">
        <v>1289</v>
      </c>
      <c r="L821">
        <v>2022</v>
      </c>
    </row>
    <row r="822" spans="11:12">
      <c r="K822" t="s">
        <v>624</v>
      </c>
      <c r="L822">
        <v>2022</v>
      </c>
    </row>
    <row r="823" spans="11:12">
      <c r="K823" t="s">
        <v>359</v>
      </c>
      <c r="L823">
        <v>2022</v>
      </c>
    </row>
    <row r="824" spans="11:12">
      <c r="K824" t="s">
        <v>182</v>
      </c>
      <c r="L824">
        <v>2022</v>
      </c>
    </row>
    <row r="825" spans="11:12">
      <c r="K825" t="s">
        <v>48</v>
      </c>
      <c r="L825">
        <v>2022</v>
      </c>
    </row>
    <row r="826" spans="11:12">
      <c r="K826" t="s">
        <v>2081</v>
      </c>
      <c r="L826">
        <v>2022</v>
      </c>
    </row>
    <row r="827" spans="11:12">
      <c r="K827" t="s">
        <v>270</v>
      </c>
      <c r="L827">
        <v>2022</v>
      </c>
    </row>
    <row r="828" spans="11:12">
      <c r="K828" t="s">
        <v>1778</v>
      </c>
      <c r="L828">
        <v>2022</v>
      </c>
    </row>
    <row r="829" spans="11:12">
      <c r="K829" t="s">
        <v>121</v>
      </c>
      <c r="L829">
        <v>2022</v>
      </c>
    </row>
    <row r="830" spans="11:12">
      <c r="K830" t="s">
        <v>822</v>
      </c>
      <c r="L830">
        <v>2022</v>
      </c>
    </row>
    <row r="831" spans="11:12">
      <c r="K831" t="s">
        <v>2085</v>
      </c>
      <c r="L831">
        <v>2022</v>
      </c>
    </row>
    <row r="832" spans="11:12">
      <c r="K832" t="s">
        <v>904</v>
      </c>
      <c r="L832">
        <v>2022</v>
      </c>
    </row>
    <row r="833" spans="11:12">
      <c r="K833" t="s">
        <v>1079</v>
      </c>
      <c r="L833">
        <v>2022</v>
      </c>
    </row>
    <row r="834" spans="11:12">
      <c r="K834" t="s">
        <v>1216</v>
      </c>
      <c r="L834">
        <v>2022</v>
      </c>
    </row>
    <row r="835" spans="11:12">
      <c r="K835" t="s">
        <v>1795</v>
      </c>
      <c r="L835">
        <v>2022</v>
      </c>
    </row>
    <row r="836" spans="11:12">
      <c r="K836" t="s">
        <v>2090</v>
      </c>
      <c r="L836">
        <v>2022</v>
      </c>
    </row>
    <row r="837" spans="11:12">
      <c r="K837" t="s">
        <v>2093</v>
      </c>
      <c r="L837">
        <v>2022</v>
      </c>
    </row>
    <row r="838" spans="11:12">
      <c r="K838" t="s">
        <v>538</v>
      </c>
      <c r="L838">
        <v>2022</v>
      </c>
    </row>
    <row r="839" spans="11:12">
      <c r="K839" t="s">
        <v>345</v>
      </c>
      <c r="L839">
        <v>2022</v>
      </c>
    </row>
    <row r="840" spans="11:12">
      <c r="K840" t="s">
        <v>219</v>
      </c>
      <c r="L840">
        <v>2022</v>
      </c>
    </row>
    <row r="841" spans="11:12">
      <c r="K841" t="s">
        <v>2096</v>
      </c>
      <c r="L841">
        <v>2022</v>
      </c>
    </row>
    <row r="842" spans="11:12">
      <c r="K842" t="s">
        <v>2097</v>
      </c>
      <c r="L842">
        <v>2022</v>
      </c>
    </row>
    <row r="843" spans="11:12">
      <c r="K843" t="s">
        <v>1169</v>
      </c>
      <c r="L843">
        <v>2022</v>
      </c>
    </row>
    <row r="844" spans="11:12">
      <c r="K844" t="s">
        <v>447</v>
      </c>
      <c r="L844">
        <v>2022</v>
      </c>
    </row>
    <row r="845" spans="11:12">
      <c r="K845" t="s">
        <v>246</v>
      </c>
      <c r="L845">
        <v>2022</v>
      </c>
    </row>
    <row r="846" spans="11:12">
      <c r="K846" t="s">
        <v>2102</v>
      </c>
      <c r="L846">
        <v>2022</v>
      </c>
    </row>
    <row r="847" spans="11:12">
      <c r="K847" t="s">
        <v>1559</v>
      </c>
      <c r="L847">
        <v>2022</v>
      </c>
    </row>
    <row r="848" spans="11:12">
      <c r="K848" t="s">
        <v>2103</v>
      </c>
      <c r="L848">
        <v>2022</v>
      </c>
    </row>
    <row r="849" spans="11:12">
      <c r="K849" t="s">
        <v>2105</v>
      </c>
      <c r="L849">
        <v>2022</v>
      </c>
    </row>
    <row r="850" spans="11:12">
      <c r="K850" t="s">
        <v>2106</v>
      </c>
      <c r="L850">
        <v>2022</v>
      </c>
    </row>
    <row r="851" spans="11:12">
      <c r="K851" t="s">
        <v>663</v>
      </c>
      <c r="L851">
        <v>2022</v>
      </c>
    </row>
    <row r="852" spans="11:12">
      <c r="K852" t="s">
        <v>1844</v>
      </c>
      <c r="L852">
        <v>2022</v>
      </c>
    </row>
    <row r="853" spans="11:12">
      <c r="K853" t="s">
        <v>1314</v>
      </c>
      <c r="L853">
        <v>2022</v>
      </c>
    </row>
    <row r="854" spans="11:12">
      <c r="K854" t="s">
        <v>431</v>
      </c>
      <c r="L854">
        <v>2022</v>
      </c>
    </row>
    <row r="855" spans="11:12">
      <c r="K855" t="s">
        <v>2109</v>
      </c>
      <c r="L855">
        <v>2022</v>
      </c>
    </row>
    <row r="856" spans="11:12">
      <c r="K856" t="s">
        <v>74</v>
      </c>
      <c r="L856">
        <v>2022</v>
      </c>
    </row>
    <row r="857" spans="11:12">
      <c r="K857" t="s">
        <v>1468</v>
      </c>
      <c r="L857">
        <v>2022</v>
      </c>
    </row>
    <row r="858" spans="11:12">
      <c r="K858" t="s">
        <v>2113</v>
      </c>
      <c r="L858">
        <v>2022</v>
      </c>
    </row>
    <row r="859" spans="11:12">
      <c r="K859" t="s">
        <v>734</v>
      </c>
      <c r="L859">
        <v>2022</v>
      </c>
    </row>
    <row r="860" spans="11:12">
      <c r="K860" t="s">
        <v>2114</v>
      </c>
      <c r="L860">
        <v>2022</v>
      </c>
    </row>
    <row r="861" spans="11:12">
      <c r="K861" t="s">
        <v>1225</v>
      </c>
      <c r="L861">
        <v>2022</v>
      </c>
    </row>
    <row r="862" spans="11:12">
      <c r="K862" t="s">
        <v>961</v>
      </c>
      <c r="L862">
        <v>2022</v>
      </c>
    </row>
    <row r="863" spans="11:12">
      <c r="K863" t="s">
        <v>2117</v>
      </c>
      <c r="L863">
        <v>2022</v>
      </c>
    </row>
    <row r="864" spans="11:12">
      <c r="K864" t="s">
        <v>1667</v>
      </c>
      <c r="L864">
        <v>2022</v>
      </c>
    </row>
    <row r="865" spans="11:12">
      <c r="K865" t="s">
        <v>1536</v>
      </c>
      <c r="L865">
        <v>2022</v>
      </c>
    </row>
    <row r="866" spans="11:12">
      <c r="K866" t="s">
        <v>877</v>
      </c>
      <c r="L866">
        <v>2022</v>
      </c>
    </row>
    <row r="867" spans="11:12">
      <c r="K867" t="s">
        <v>28</v>
      </c>
      <c r="L867">
        <v>2022</v>
      </c>
    </row>
    <row r="868" spans="11:12">
      <c r="K868" t="s">
        <v>569</v>
      </c>
      <c r="L868">
        <v>2022</v>
      </c>
    </row>
    <row r="869" spans="11:12">
      <c r="K869" t="s">
        <v>2119</v>
      </c>
      <c r="L869">
        <v>2022</v>
      </c>
    </row>
    <row r="870" spans="11:12">
      <c r="K870" t="s">
        <v>378</v>
      </c>
      <c r="L870">
        <v>2022</v>
      </c>
    </row>
    <row r="871" spans="11:12">
      <c r="K871" t="s">
        <v>1123</v>
      </c>
      <c r="L871">
        <v>2022</v>
      </c>
    </row>
    <row r="872" spans="11:12">
      <c r="K872" t="s">
        <v>1780</v>
      </c>
      <c r="L872">
        <v>2022</v>
      </c>
    </row>
    <row r="873" spans="11:12">
      <c r="K873" t="s">
        <v>34</v>
      </c>
      <c r="L873">
        <v>2022</v>
      </c>
    </row>
    <row r="874" spans="11:12">
      <c r="K874" t="s">
        <v>975</v>
      </c>
      <c r="L874">
        <v>2022</v>
      </c>
    </row>
    <row r="875" spans="11:12">
      <c r="K875" t="s">
        <v>1183</v>
      </c>
      <c r="L875">
        <v>2022</v>
      </c>
    </row>
    <row r="876" spans="11:12">
      <c r="K876" t="s">
        <v>2126</v>
      </c>
      <c r="L876">
        <v>2022</v>
      </c>
    </row>
    <row r="877" spans="11:12">
      <c r="K877" t="s">
        <v>919</v>
      </c>
      <c r="L877">
        <v>2022</v>
      </c>
    </row>
    <row r="878" spans="11:12">
      <c r="K878" t="s">
        <v>1014</v>
      </c>
      <c r="L878">
        <v>2022</v>
      </c>
    </row>
    <row r="879" spans="11:12">
      <c r="K879" t="s">
        <v>222</v>
      </c>
      <c r="L879">
        <v>2022</v>
      </c>
    </row>
    <row r="880" spans="11:12">
      <c r="K880" t="s">
        <v>2128</v>
      </c>
      <c r="L880">
        <v>2022</v>
      </c>
    </row>
    <row r="881" spans="11:12">
      <c r="K881" t="s">
        <v>796</v>
      </c>
      <c r="L881">
        <v>2022</v>
      </c>
    </row>
    <row r="882" spans="11:12">
      <c r="K882" t="s">
        <v>1124</v>
      </c>
      <c r="L882">
        <v>2022</v>
      </c>
    </row>
    <row r="883" spans="11:12">
      <c r="K883" t="s">
        <v>686</v>
      </c>
      <c r="L883">
        <v>2022</v>
      </c>
    </row>
    <row r="884" spans="11:12">
      <c r="K884" t="s">
        <v>2133</v>
      </c>
      <c r="L884">
        <v>2022</v>
      </c>
    </row>
    <row r="885" spans="11:12">
      <c r="K885" t="s">
        <v>1665</v>
      </c>
      <c r="L885">
        <v>2022</v>
      </c>
    </row>
    <row r="886" spans="11:12">
      <c r="K886" t="s">
        <v>1165</v>
      </c>
      <c r="L886">
        <v>2022</v>
      </c>
    </row>
    <row r="887" spans="11:12">
      <c r="K887" t="s">
        <v>415</v>
      </c>
      <c r="L887">
        <v>2022</v>
      </c>
    </row>
    <row r="888" spans="11:12">
      <c r="K888" t="s">
        <v>770</v>
      </c>
      <c r="L888">
        <v>2022</v>
      </c>
    </row>
    <row r="889" spans="11:12">
      <c r="K889" t="s">
        <v>516</v>
      </c>
      <c r="L889">
        <v>2022</v>
      </c>
    </row>
    <row r="890" spans="11:12">
      <c r="K890" t="s">
        <v>307</v>
      </c>
      <c r="L890">
        <v>2022</v>
      </c>
    </row>
    <row r="891" spans="11:12">
      <c r="K891" t="s">
        <v>2139</v>
      </c>
      <c r="L891">
        <v>2022</v>
      </c>
    </row>
    <row r="892" spans="11:12">
      <c r="K892" t="s">
        <v>2140</v>
      </c>
      <c r="L892">
        <v>2022</v>
      </c>
    </row>
    <row r="893" spans="11:12">
      <c r="K893" t="s">
        <v>1546</v>
      </c>
      <c r="L893">
        <v>2022</v>
      </c>
    </row>
    <row r="894" spans="11:12">
      <c r="K894" t="s">
        <v>1805</v>
      </c>
      <c r="L894">
        <v>2022</v>
      </c>
    </row>
    <row r="895" spans="11:12">
      <c r="K895" t="s">
        <v>1371</v>
      </c>
      <c r="L895">
        <v>2022</v>
      </c>
    </row>
    <row r="896" spans="11:12">
      <c r="K896" t="s">
        <v>2147</v>
      </c>
      <c r="L896">
        <v>2022</v>
      </c>
    </row>
    <row r="897" spans="11:12">
      <c r="K897" t="s">
        <v>1174</v>
      </c>
      <c r="L897">
        <v>2022</v>
      </c>
    </row>
    <row r="898" spans="11:12">
      <c r="K898" t="s">
        <v>492</v>
      </c>
      <c r="L898">
        <v>2022</v>
      </c>
    </row>
    <row r="899" spans="11:12">
      <c r="K899" t="s">
        <v>2149</v>
      </c>
      <c r="L899">
        <v>2022</v>
      </c>
    </row>
    <row r="900" spans="11:12">
      <c r="K900" t="s">
        <v>1305</v>
      </c>
      <c r="L900">
        <v>2022</v>
      </c>
    </row>
    <row r="901" spans="11:12">
      <c r="K901" t="s">
        <v>1721</v>
      </c>
      <c r="L901">
        <v>2022</v>
      </c>
    </row>
    <row r="902" spans="11:12">
      <c r="K902" t="s">
        <v>1740</v>
      </c>
      <c r="L902">
        <v>2022</v>
      </c>
    </row>
    <row r="903" spans="11:12">
      <c r="K903" t="s">
        <v>521</v>
      </c>
      <c r="L903">
        <v>2022</v>
      </c>
    </row>
    <row r="904" spans="11:12">
      <c r="K904" t="s">
        <v>902</v>
      </c>
      <c r="L904">
        <v>2022</v>
      </c>
    </row>
    <row r="905" spans="11:12">
      <c r="K905" t="s">
        <v>1842</v>
      </c>
      <c r="L905">
        <v>2022</v>
      </c>
    </row>
    <row r="906" spans="11:12">
      <c r="K906" t="s">
        <v>235</v>
      </c>
      <c r="L906">
        <v>2022</v>
      </c>
    </row>
    <row r="907" spans="11:12">
      <c r="K907" t="s">
        <v>1516</v>
      </c>
      <c r="L907">
        <v>2022</v>
      </c>
    </row>
    <row r="908" spans="11:12">
      <c r="K908" t="s">
        <v>1753</v>
      </c>
      <c r="L908">
        <v>2022</v>
      </c>
    </row>
    <row r="909" spans="11:12">
      <c r="K909" t="s">
        <v>2158</v>
      </c>
      <c r="L909">
        <v>2022</v>
      </c>
    </row>
    <row r="910" spans="11:12">
      <c r="K910" t="s">
        <v>71</v>
      </c>
      <c r="L910">
        <v>2022</v>
      </c>
    </row>
    <row r="911" spans="11:12">
      <c r="K911" t="s">
        <v>173</v>
      </c>
      <c r="L911">
        <v>2022</v>
      </c>
    </row>
    <row r="912" spans="11:12">
      <c r="K912" t="s">
        <v>1865</v>
      </c>
      <c r="L912">
        <v>2022</v>
      </c>
    </row>
    <row r="913" spans="11:12">
      <c r="K913" t="s">
        <v>2164</v>
      </c>
      <c r="L913">
        <v>2022</v>
      </c>
    </row>
    <row r="914" spans="11:12">
      <c r="K914" t="s">
        <v>1244</v>
      </c>
      <c r="L914">
        <v>2022</v>
      </c>
    </row>
    <row r="915" spans="11:12">
      <c r="K915" t="s">
        <v>489</v>
      </c>
      <c r="L915">
        <v>2022</v>
      </c>
    </row>
    <row r="916" spans="11:12">
      <c r="K916" t="s">
        <v>2166</v>
      </c>
      <c r="L916">
        <v>2022</v>
      </c>
    </row>
    <row r="917" spans="11:12">
      <c r="K917" t="s">
        <v>2168</v>
      </c>
      <c r="L917">
        <v>2022</v>
      </c>
    </row>
    <row r="918" spans="11:12">
      <c r="K918" t="s">
        <v>52</v>
      </c>
      <c r="L918">
        <v>2022</v>
      </c>
    </row>
    <row r="919" spans="11:12">
      <c r="K919" t="s">
        <v>959</v>
      </c>
      <c r="L919">
        <v>2022</v>
      </c>
    </row>
    <row r="920" spans="11:12">
      <c r="K920" t="s">
        <v>771</v>
      </c>
      <c r="L920">
        <v>2022</v>
      </c>
    </row>
    <row r="921" spans="11:12">
      <c r="K921" t="s">
        <v>923</v>
      </c>
      <c r="L921">
        <v>2022</v>
      </c>
    </row>
    <row r="922" spans="11:12">
      <c r="K922" t="s">
        <v>1431</v>
      </c>
      <c r="L922">
        <v>2022</v>
      </c>
    </row>
    <row r="923" spans="11:12">
      <c r="K923" t="s">
        <v>881</v>
      </c>
      <c r="L923">
        <v>2022</v>
      </c>
    </row>
    <row r="924" spans="11:12">
      <c r="K924" t="s">
        <v>1454</v>
      </c>
      <c r="L924">
        <v>2022</v>
      </c>
    </row>
    <row r="925" spans="11:12">
      <c r="K925" t="s">
        <v>178</v>
      </c>
      <c r="L925">
        <v>2022</v>
      </c>
    </row>
    <row r="926" spans="11:12">
      <c r="K926" t="s">
        <v>1188</v>
      </c>
      <c r="L926">
        <v>2022</v>
      </c>
    </row>
    <row r="927" spans="11:12">
      <c r="K927" t="s">
        <v>927</v>
      </c>
      <c r="L927">
        <v>2022</v>
      </c>
    </row>
    <row r="928" spans="11:12">
      <c r="K928" t="s">
        <v>1150</v>
      </c>
      <c r="L928">
        <v>2022</v>
      </c>
    </row>
    <row r="929" spans="11:12">
      <c r="K929" t="s">
        <v>1426</v>
      </c>
      <c r="L929">
        <v>2022</v>
      </c>
    </row>
    <row r="930" spans="11:12">
      <c r="K930" t="s">
        <v>1799</v>
      </c>
      <c r="L930">
        <v>2022</v>
      </c>
    </row>
    <row r="931" spans="11:12">
      <c r="K931" t="s">
        <v>502</v>
      </c>
      <c r="L931">
        <v>2022</v>
      </c>
    </row>
    <row r="932" spans="11:12">
      <c r="K932" t="s">
        <v>841</v>
      </c>
      <c r="L932">
        <v>2022</v>
      </c>
    </row>
    <row r="933" spans="11:12">
      <c r="K933" t="s">
        <v>2176</v>
      </c>
      <c r="L933">
        <v>2022</v>
      </c>
    </row>
    <row r="934" spans="11:12">
      <c r="K934" t="s">
        <v>1695</v>
      </c>
      <c r="L934">
        <v>2022</v>
      </c>
    </row>
    <row r="935" spans="11:12">
      <c r="K935" t="s">
        <v>1491</v>
      </c>
      <c r="L935">
        <v>2022</v>
      </c>
    </row>
    <row r="936" spans="11:12">
      <c r="K936" t="s">
        <v>2178</v>
      </c>
      <c r="L936">
        <v>2022</v>
      </c>
    </row>
    <row r="937" spans="11:12">
      <c r="K937" t="s">
        <v>751</v>
      </c>
      <c r="L937">
        <v>2022</v>
      </c>
    </row>
    <row r="938" spans="11:12">
      <c r="K938" t="s">
        <v>2181</v>
      </c>
      <c r="L938">
        <v>2022</v>
      </c>
    </row>
    <row r="939" spans="11:12">
      <c r="K939" t="s">
        <v>2185</v>
      </c>
      <c r="L939">
        <v>2022</v>
      </c>
    </row>
    <row r="940" spans="11:12">
      <c r="K940" t="s">
        <v>591</v>
      </c>
      <c r="L940">
        <v>2022</v>
      </c>
    </row>
    <row r="941" spans="11:12">
      <c r="K941" t="s">
        <v>669</v>
      </c>
      <c r="L941">
        <v>2022</v>
      </c>
    </row>
    <row r="942" spans="11:12">
      <c r="K942" t="s">
        <v>500</v>
      </c>
      <c r="L942">
        <v>2022</v>
      </c>
    </row>
    <row r="943" spans="11:12">
      <c r="K943" t="s">
        <v>230</v>
      </c>
      <c r="L943">
        <v>2022</v>
      </c>
    </row>
    <row r="944" spans="11:12">
      <c r="K944" t="s">
        <v>1549</v>
      </c>
      <c r="L944">
        <v>2022</v>
      </c>
    </row>
    <row r="945" spans="11:12">
      <c r="K945" t="s">
        <v>1565</v>
      </c>
      <c r="L945">
        <v>2022</v>
      </c>
    </row>
    <row r="946" spans="11:12">
      <c r="K946" t="s">
        <v>719</v>
      </c>
      <c r="L946">
        <v>2022</v>
      </c>
    </row>
    <row r="947" spans="11:12">
      <c r="K947" t="s">
        <v>2190</v>
      </c>
      <c r="L947">
        <v>2022</v>
      </c>
    </row>
    <row r="948" spans="11:12">
      <c r="K948" t="s">
        <v>1783</v>
      </c>
      <c r="L948">
        <v>2022</v>
      </c>
    </row>
    <row r="949" spans="11:12">
      <c r="K949" t="s">
        <v>145</v>
      </c>
      <c r="L949">
        <v>2022</v>
      </c>
    </row>
    <row r="950" spans="11:12">
      <c r="K950" t="s">
        <v>1275</v>
      </c>
      <c r="L950">
        <v>2022</v>
      </c>
    </row>
    <row r="951" spans="11:12">
      <c r="K951" t="s">
        <v>2192</v>
      </c>
      <c r="L951">
        <v>2022</v>
      </c>
    </row>
    <row r="952" spans="11:12">
      <c r="K952" t="s">
        <v>773</v>
      </c>
      <c r="L952">
        <v>2022</v>
      </c>
    </row>
    <row r="953" spans="11:12">
      <c r="K953" t="s">
        <v>1663</v>
      </c>
      <c r="L953">
        <v>2022</v>
      </c>
    </row>
    <row r="954" spans="11:12">
      <c r="K954" t="s">
        <v>2199</v>
      </c>
      <c r="L954">
        <v>2022</v>
      </c>
    </row>
    <row r="955" spans="11:12">
      <c r="K955" t="s">
        <v>2201</v>
      </c>
      <c r="L955">
        <v>2022</v>
      </c>
    </row>
    <row r="956" spans="11:12">
      <c r="K956" t="s">
        <v>1048</v>
      </c>
      <c r="L956">
        <v>2022</v>
      </c>
    </row>
    <row r="957" spans="11:12">
      <c r="K957" t="s">
        <v>338</v>
      </c>
      <c r="L957">
        <v>2022</v>
      </c>
    </row>
    <row r="958" spans="11:12">
      <c r="K958" t="s">
        <v>2207</v>
      </c>
      <c r="L958">
        <v>2022</v>
      </c>
    </row>
    <row r="959" spans="11:12">
      <c r="K959" t="s">
        <v>2208</v>
      </c>
      <c r="L959">
        <v>2022</v>
      </c>
    </row>
    <row r="960" spans="11:12">
      <c r="K960" t="s">
        <v>685</v>
      </c>
      <c r="L960">
        <v>2022</v>
      </c>
    </row>
    <row r="961" spans="11:12">
      <c r="K961" t="s">
        <v>2211</v>
      </c>
      <c r="L961">
        <v>2022</v>
      </c>
    </row>
    <row r="962" spans="11:12">
      <c r="K962" t="s">
        <v>354</v>
      </c>
      <c r="L962">
        <v>2022</v>
      </c>
    </row>
    <row r="963" spans="11:12">
      <c r="K963" t="s">
        <v>2214</v>
      </c>
      <c r="L963">
        <v>2022</v>
      </c>
    </row>
    <row r="964" spans="11:12">
      <c r="K964" t="s">
        <v>1537</v>
      </c>
      <c r="L964">
        <v>2022</v>
      </c>
    </row>
    <row r="965" spans="11:12">
      <c r="K965" t="s">
        <v>1195</v>
      </c>
      <c r="L965">
        <v>2022</v>
      </c>
    </row>
    <row r="966" spans="11:12">
      <c r="K966" t="s">
        <v>1336</v>
      </c>
      <c r="L966">
        <v>2022</v>
      </c>
    </row>
    <row r="967" spans="11:12">
      <c r="K967" t="s">
        <v>603</v>
      </c>
      <c r="L967">
        <v>2022</v>
      </c>
    </row>
    <row r="968" spans="11:12">
      <c r="K968" t="s">
        <v>1631</v>
      </c>
      <c r="L968">
        <v>2022</v>
      </c>
    </row>
    <row r="969" spans="11:12">
      <c r="K969" t="s">
        <v>1415</v>
      </c>
      <c r="L969">
        <v>2022</v>
      </c>
    </row>
    <row r="970" spans="11:12">
      <c r="K970" t="s">
        <v>1657</v>
      </c>
      <c r="L970">
        <v>2022</v>
      </c>
    </row>
    <row r="971" spans="11:12">
      <c r="K971" t="s">
        <v>405</v>
      </c>
      <c r="L971">
        <v>2022</v>
      </c>
    </row>
    <row r="972" spans="11:12">
      <c r="K972" t="s">
        <v>1046</v>
      </c>
      <c r="L972">
        <v>2022</v>
      </c>
    </row>
    <row r="973" spans="11:12">
      <c r="K973" t="s">
        <v>1007</v>
      </c>
      <c r="L973">
        <v>2022</v>
      </c>
    </row>
    <row r="974" spans="11:12">
      <c r="K974" t="s">
        <v>2224</v>
      </c>
      <c r="L974">
        <v>2022</v>
      </c>
    </row>
    <row r="975" spans="11:12">
      <c r="K975" t="s">
        <v>1828</v>
      </c>
      <c r="L975">
        <v>2022</v>
      </c>
    </row>
    <row r="976" spans="11:12">
      <c r="K976" t="s">
        <v>571</v>
      </c>
      <c r="L976">
        <v>2022</v>
      </c>
    </row>
    <row r="977" spans="11:12">
      <c r="K977" t="s">
        <v>2227</v>
      </c>
      <c r="L977">
        <v>2022</v>
      </c>
    </row>
    <row r="978" spans="11:12">
      <c r="K978" t="s">
        <v>1701</v>
      </c>
      <c r="L978">
        <v>2022</v>
      </c>
    </row>
    <row r="979" spans="11:12">
      <c r="K979" t="s">
        <v>83</v>
      </c>
      <c r="L979">
        <v>2022</v>
      </c>
    </row>
    <row r="980" spans="11:12">
      <c r="K980" t="s">
        <v>1097</v>
      </c>
      <c r="L980">
        <v>2022</v>
      </c>
    </row>
    <row r="981" spans="11:12">
      <c r="K981" t="s">
        <v>1232</v>
      </c>
      <c r="L981">
        <v>2022</v>
      </c>
    </row>
    <row r="982" spans="11:12">
      <c r="K982" t="s">
        <v>1445</v>
      </c>
      <c r="L982">
        <v>2022</v>
      </c>
    </row>
    <row r="983" spans="11:12">
      <c r="K983" t="s">
        <v>2232</v>
      </c>
      <c r="L983">
        <v>2022</v>
      </c>
    </row>
    <row r="984" spans="11:12">
      <c r="K984" t="s">
        <v>261</v>
      </c>
      <c r="L984">
        <v>2022</v>
      </c>
    </row>
    <row r="985" spans="11:12">
      <c r="K985" t="s">
        <v>527</v>
      </c>
      <c r="L985">
        <v>2022</v>
      </c>
    </row>
    <row r="986" spans="11:12">
      <c r="K986" t="s">
        <v>2234</v>
      </c>
      <c r="L986">
        <v>2022</v>
      </c>
    </row>
    <row r="987" spans="11:12">
      <c r="K987" t="s">
        <v>1870</v>
      </c>
      <c r="L987">
        <v>2022</v>
      </c>
    </row>
    <row r="988" spans="11:12">
      <c r="K988" t="s">
        <v>639</v>
      </c>
      <c r="L988">
        <v>2022</v>
      </c>
    </row>
    <row r="989" spans="11:12">
      <c r="K989" t="s">
        <v>914</v>
      </c>
      <c r="L989">
        <v>2022</v>
      </c>
    </row>
    <row r="990" spans="11:12">
      <c r="K990" t="s">
        <v>585</v>
      </c>
      <c r="L990">
        <v>2022</v>
      </c>
    </row>
    <row r="991" spans="11:12">
      <c r="K991" t="s">
        <v>653</v>
      </c>
      <c r="L991">
        <v>2022</v>
      </c>
    </row>
    <row r="992" spans="11:12">
      <c r="K992" t="s">
        <v>1833</v>
      </c>
      <c r="L992">
        <v>2022</v>
      </c>
    </row>
    <row r="993" spans="11:12">
      <c r="K993" t="s">
        <v>594</v>
      </c>
      <c r="L993">
        <v>2022</v>
      </c>
    </row>
    <row r="994" spans="11:12">
      <c r="K994" t="s">
        <v>1530</v>
      </c>
      <c r="L994">
        <v>2022</v>
      </c>
    </row>
    <row r="995" spans="11:12">
      <c r="K995" t="s">
        <v>2244</v>
      </c>
      <c r="L995">
        <v>2022</v>
      </c>
    </row>
    <row r="996" spans="11:12">
      <c r="K996" t="s">
        <v>385</v>
      </c>
      <c r="L996">
        <v>2022</v>
      </c>
    </row>
    <row r="997" spans="11:12">
      <c r="K997" t="s">
        <v>1698</v>
      </c>
      <c r="L997">
        <v>2022</v>
      </c>
    </row>
    <row r="998" spans="11:12">
      <c r="K998" t="s">
        <v>632</v>
      </c>
      <c r="L998">
        <v>2022</v>
      </c>
    </row>
    <row r="999" spans="11:12">
      <c r="K999" t="s">
        <v>2246</v>
      </c>
      <c r="L999">
        <v>2022</v>
      </c>
    </row>
    <row r="1000" spans="11:12">
      <c r="K1000" t="s">
        <v>2248</v>
      </c>
      <c r="L1000">
        <v>2022</v>
      </c>
    </row>
    <row r="1001" spans="11:12">
      <c r="K1001" t="s">
        <v>158</v>
      </c>
      <c r="L1001">
        <v>2022</v>
      </c>
    </row>
    <row r="1002" spans="11:12">
      <c r="K1002" t="s">
        <v>1479</v>
      </c>
      <c r="L1002">
        <v>2022</v>
      </c>
    </row>
    <row r="1003" spans="11:12">
      <c r="K1003" t="s">
        <v>2250</v>
      </c>
      <c r="L1003">
        <v>2022</v>
      </c>
    </row>
    <row r="1004" spans="11:12">
      <c r="K1004" t="s">
        <v>1499</v>
      </c>
      <c r="L1004">
        <v>2022</v>
      </c>
    </row>
    <row r="1005" spans="11:12">
      <c r="K1005" t="s">
        <v>2254</v>
      </c>
      <c r="L1005">
        <v>2022</v>
      </c>
    </row>
    <row r="1006" spans="11:12">
      <c r="K1006" t="s">
        <v>2255</v>
      </c>
      <c r="L1006">
        <v>2022</v>
      </c>
    </row>
    <row r="1007" spans="11:12">
      <c r="K1007" t="s">
        <v>2256</v>
      </c>
      <c r="L1007">
        <v>2022</v>
      </c>
    </row>
    <row r="1008" spans="11:12">
      <c r="K1008" t="s">
        <v>243</v>
      </c>
      <c r="L1008">
        <v>2022</v>
      </c>
    </row>
    <row r="1009" spans="11:12">
      <c r="K1009" t="s">
        <v>239</v>
      </c>
      <c r="L1009">
        <v>2022</v>
      </c>
    </row>
    <row r="1010" spans="11:12">
      <c r="K1010" t="s">
        <v>578</v>
      </c>
      <c r="L1010">
        <v>2022</v>
      </c>
    </row>
    <row r="1011" spans="11:12">
      <c r="K1011" t="s">
        <v>666</v>
      </c>
      <c r="L1011">
        <v>2022</v>
      </c>
    </row>
    <row r="1012" spans="11:12">
      <c r="K1012" t="s">
        <v>1578</v>
      </c>
      <c r="L1012">
        <v>2022</v>
      </c>
    </row>
    <row r="1013" spans="11:12">
      <c r="K1013" t="s">
        <v>1576</v>
      </c>
      <c r="L1013">
        <v>2022</v>
      </c>
    </row>
    <row r="1014" spans="11:12">
      <c r="K1014" t="s">
        <v>1066</v>
      </c>
      <c r="L1014">
        <v>2022</v>
      </c>
    </row>
    <row r="1015" spans="11:12">
      <c r="K1015" t="s">
        <v>161</v>
      </c>
      <c r="L1015">
        <v>2022</v>
      </c>
    </row>
    <row r="1016" spans="11:12">
      <c r="K1016" t="s">
        <v>1117</v>
      </c>
      <c r="L1016">
        <v>2022</v>
      </c>
    </row>
    <row r="1017" spans="11:12">
      <c r="K1017" t="s">
        <v>2261</v>
      </c>
      <c r="L1017">
        <v>2022</v>
      </c>
    </row>
    <row r="1018" spans="11:12">
      <c r="K1018" t="s">
        <v>1674</v>
      </c>
      <c r="L1018">
        <v>2022</v>
      </c>
    </row>
    <row r="1019" spans="11:12">
      <c r="K1019" t="s">
        <v>2264</v>
      </c>
      <c r="L1019">
        <v>2022</v>
      </c>
    </row>
    <row r="1020" spans="11:12">
      <c r="K1020" t="s">
        <v>407</v>
      </c>
      <c r="L1020">
        <v>2022</v>
      </c>
    </row>
    <row r="1021" spans="11:12">
      <c r="K1021" t="s">
        <v>1086</v>
      </c>
      <c r="L1021">
        <v>2022</v>
      </c>
    </row>
    <row r="1022" spans="11:12">
      <c r="K1022" t="s">
        <v>1625</v>
      </c>
      <c r="L1022">
        <v>2022</v>
      </c>
    </row>
    <row r="1023" spans="11:12">
      <c r="K1023" t="s">
        <v>16</v>
      </c>
      <c r="L1023">
        <v>2022</v>
      </c>
    </row>
    <row r="1024" spans="11:12">
      <c r="K1024" t="s">
        <v>2267</v>
      </c>
      <c r="L1024">
        <v>2022</v>
      </c>
    </row>
    <row r="1025" spans="11:12">
      <c r="K1025" t="s">
        <v>85</v>
      </c>
      <c r="L1025">
        <v>2022</v>
      </c>
    </row>
    <row r="1026" spans="11:12">
      <c r="K1026" t="s">
        <v>1773</v>
      </c>
      <c r="L1026">
        <v>2022</v>
      </c>
    </row>
    <row r="1027" spans="11:12">
      <c r="K1027" t="s">
        <v>199</v>
      </c>
      <c r="L1027">
        <v>2022</v>
      </c>
    </row>
    <row r="1028" spans="11:12">
      <c r="K1028" t="s">
        <v>793</v>
      </c>
      <c r="L1028">
        <v>2022</v>
      </c>
    </row>
    <row r="1029" spans="11:12">
      <c r="K1029" t="s">
        <v>2272</v>
      </c>
      <c r="L1029">
        <v>2022</v>
      </c>
    </row>
    <row r="1030" spans="11:12">
      <c r="K1030" t="s">
        <v>2273</v>
      </c>
      <c r="L1030">
        <v>2022</v>
      </c>
    </row>
    <row r="1031" spans="11:12">
      <c r="K1031" t="s">
        <v>940</v>
      </c>
      <c r="L1031">
        <v>2022</v>
      </c>
    </row>
    <row r="1032" spans="11:12">
      <c r="K1032" t="s">
        <v>1682</v>
      </c>
      <c r="L1032">
        <v>2022</v>
      </c>
    </row>
    <row r="1033" spans="11:12">
      <c r="K1033" t="s">
        <v>1622</v>
      </c>
      <c r="L1033">
        <v>2022</v>
      </c>
    </row>
    <row r="1034" spans="11:12">
      <c r="K1034" t="s">
        <v>2278</v>
      </c>
      <c r="L1034">
        <v>2022</v>
      </c>
    </row>
    <row r="1035" spans="11:12">
      <c r="K1035" t="s">
        <v>1163</v>
      </c>
      <c r="L1035">
        <v>2022</v>
      </c>
    </row>
    <row r="1036" spans="11:12">
      <c r="K1036" t="s">
        <v>1385</v>
      </c>
      <c r="L1036">
        <v>2022</v>
      </c>
    </row>
    <row r="1037" spans="11:12">
      <c r="K1037" t="s">
        <v>2279</v>
      </c>
      <c r="L1037">
        <v>2022</v>
      </c>
    </row>
    <row r="1038" spans="11:12">
      <c r="K1038" t="s">
        <v>452</v>
      </c>
      <c r="L1038">
        <v>2022</v>
      </c>
    </row>
    <row r="1039" spans="11:12">
      <c r="K1039" t="s">
        <v>677</v>
      </c>
      <c r="L1039">
        <v>2022</v>
      </c>
    </row>
    <row r="1040" spans="11:12">
      <c r="K1040" t="s">
        <v>1768</v>
      </c>
      <c r="L1040">
        <v>2022</v>
      </c>
    </row>
    <row r="1041" spans="11:12">
      <c r="K1041" t="s">
        <v>421</v>
      </c>
      <c r="L1041">
        <v>2022</v>
      </c>
    </row>
    <row r="1042" spans="11:12">
      <c r="K1042" t="s">
        <v>2282</v>
      </c>
      <c r="L1042">
        <v>2022</v>
      </c>
    </row>
    <row r="1043" spans="11:12">
      <c r="K1043" t="s">
        <v>1489</v>
      </c>
      <c r="L1043">
        <v>2022</v>
      </c>
    </row>
    <row r="1044" spans="11:12">
      <c r="K1044" t="s">
        <v>2284</v>
      </c>
      <c r="L1044">
        <v>2022</v>
      </c>
    </row>
    <row r="1045" spans="11:12">
      <c r="K1045" t="s">
        <v>1764</v>
      </c>
      <c r="L1045">
        <v>2022</v>
      </c>
    </row>
    <row r="1046" spans="11:12">
      <c r="K1046" t="s">
        <v>925</v>
      </c>
      <c r="L1046">
        <v>2022</v>
      </c>
    </row>
    <row r="1047" spans="11:12">
      <c r="K1047" t="s">
        <v>824</v>
      </c>
      <c r="L1047">
        <v>2022</v>
      </c>
    </row>
    <row r="1048" spans="11:12">
      <c r="K1048" t="s">
        <v>1735</v>
      </c>
      <c r="L1048">
        <v>2022</v>
      </c>
    </row>
    <row r="1049" spans="11:12">
      <c r="K1049" t="s">
        <v>2286</v>
      </c>
      <c r="L1049">
        <v>2022</v>
      </c>
    </row>
    <row r="1050" spans="11:12">
      <c r="K1050" t="s">
        <v>1550</v>
      </c>
      <c r="L1050">
        <v>2022</v>
      </c>
    </row>
    <row r="1051" spans="11:12">
      <c r="K1051" t="s">
        <v>645</v>
      </c>
      <c r="L1051">
        <v>2022</v>
      </c>
    </row>
    <row r="1052" spans="11:12">
      <c r="K1052" t="s">
        <v>2288</v>
      </c>
      <c r="L1052">
        <v>2022</v>
      </c>
    </row>
    <row r="1053" spans="11:12">
      <c r="K1053" t="s">
        <v>241</v>
      </c>
      <c r="L1053">
        <v>2022</v>
      </c>
    </row>
    <row r="1054" spans="11:12">
      <c r="K1054" t="s">
        <v>1303</v>
      </c>
      <c r="L1054">
        <v>2022</v>
      </c>
    </row>
    <row r="1055" spans="11:12">
      <c r="K1055" t="s">
        <v>604</v>
      </c>
      <c r="L1055">
        <v>2022</v>
      </c>
    </row>
    <row r="1056" spans="11:12">
      <c r="K1056" t="s">
        <v>762</v>
      </c>
      <c r="L1056">
        <v>2022</v>
      </c>
    </row>
    <row r="1057" spans="11:12">
      <c r="K1057" t="s">
        <v>2296</v>
      </c>
      <c r="L1057">
        <v>2022</v>
      </c>
    </row>
    <row r="1058" spans="11:12">
      <c r="K1058" t="s">
        <v>1377</v>
      </c>
      <c r="L1058">
        <v>2022</v>
      </c>
    </row>
    <row r="1059" spans="11:12">
      <c r="K1059" t="s">
        <v>815</v>
      </c>
      <c r="L1059">
        <v>2022</v>
      </c>
    </row>
    <row r="1060" spans="11:12">
      <c r="K1060" t="s">
        <v>2300</v>
      </c>
      <c r="L1060">
        <v>2022</v>
      </c>
    </row>
    <row r="1061" spans="11:12">
      <c r="K1061" t="s">
        <v>204</v>
      </c>
      <c r="L1061">
        <v>2022</v>
      </c>
    </row>
    <row r="1062" spans="11:12">
      <c r="K1062" t="s">
        <v>628</v>
      </c>
      <c r="L1062">
        <v>2022</v>
      </c>
    </row>
    <row r="1063" spans="11:12">
      <c r="K1063" t="s">
        <v>279</v>
      </c>
      <c r="L1063">
        <v>2022</v>
      </c>
    </row>
    <row r="1064" spans="11:12">
      <c r="K1064" t="s">
        <v>2308</v>
      </c>
      <c r="L1064">
        <v>2022</v>
      </c>
    </row>
    <row r="1065" spans="11:12">
      <c r="K1065" t="s">
        <v>494</v>
      </c>
      <c r="L1065">
        <v>2022</v>
      </c>
    </row>
    <row r="1066" spans="11:12">
      <c r="K1066" t="s">
        <v>336</v>
      </c>
      <c r="L1066">
        <v>2022</v>
      </c>
    </row>
    <row r="1067" spans="11:12">
      <c r="K1067" t="s">
        <v>1564</v>
      </c>
      <c r="L1067">
        <v>2022</v>
      </c>
    </row>
    <row r="1068" spans="11:12">
      <c r="K1068" t="s">
        <v>424</v>
      </c>
      <c r="L1068">
        <v>2022</v>
      </c>
    </row>
    <row r="1069" spans="11:12">
      <c r="K1069" t="s">
        <v>2310</v>
      </c>
      <c r="L1069">
        <v>2022</v>
      </c>
    </row>
    <row r="1070" spans="11:12">
      <c r="K1070" t="s">
        <v>979</v>
      </c>
      <c r="L1070">
        <v>2022</v>
      </c>
    </row>
    <row r="1071" spans="11:12">
      <c r="K1071" t="s">
        <v>1099</v>
      </c>
      <c r="L1071">
        <v>2022</v>
      </c>
    </row>
    <row r="1072" spans="11:12">
      <c r="K1072" t="s">
        <v>1037</v>
      </c>
      <c r="L1072">
        <v>2022</v>
      </c>
    </row>
    <row r="1073" spans="11:12">
      <c r="K1073" t="s">
        <v>2315</v>
      </c>
      <c r="L1073">
        <v>2022</v>
      </c>
    </row>
    <row r="1074" spans="11:12">
      <c r="K1074" t="s">
        <v>782</v>
      </c>
      <c r="L1074">
        <v>2022</v>
      </c>
    </row>
    <row r="1075" spans="11:12">
      <c r="K1075" t="s">
        <v>1689</v>
      </c>
      <c r="L1075">
        <v>2022</v>
      </c>
    </row>
    <row r="1076" spans="11:12">
      <c r="K1076" t="s">
        <v>2320</v>
      </c>
      <c r="L1076">
        <v>2022</v>
      </c>
    </row>
    <row r="1077" spans="11:12">
      <c r="K1077" t="s">
        <v>2321</v>
      </c>
      <c r="L1077">
        <v>2022</v>
      </c>
    </row>
    <row r="1078" spans="11:12">
      <c r="K1078" t="s">
        <v>429</v>
      </c>
      <c r="L1078">
        <v>2022</v>
      </c>
    </row>
    <row r="1079" spans="11:12">
      <c r="K1079" t="s">
        <v>321</v>
      </c>
      <c r="L1079">
        <v>2022</v>
      </c>
    </row>
    <row r="1080" spans="11:12">
      <c r="K1080" t="s">
        <v>2325</v>
      </c>
      <c r="L1080">
        <v>2022</v>
      </c>
    </row>
    <row r="1081" spans="11:12">
      <c r="K1081" t="s">
        <v>1819</v>
      </c>
      <c r="L1081">
        <v>2022</v>
      </c>
    </row>
    <row r="1082" spans="11:12">
      <c r="K1082" t="s">
        <v>889</v>
      </c>
      <c r="L1082">
        <v>2022</v>
      </c>
    </row>
    <row r="1083" spans="11:12">
      <c r="K1083" t="s">
        <v>2328</v>
      </c>
      <c r="L1083">
        <v>2022</v>
      </c>
    </row>
    <row r="1084" spans="11:12">
      <c r="K1084" t="s">
        <v>195</v>
      </c>
      <c r="L1084">
        <v>2022</v>
      </c>
    </row>
    <row r="1085" spans="11:12">
      <c r="K1085" t="s">
        <v>826</v>
      </c>
      <c r="L1085">
        <v>2022</v>
      </c>
    </row>
    <row r="1086" spans="11:12">
      <c r="K1086" t="s">
        <v>1396</v>
      </c>
      <c r="L1086">
        <v>2022</v>
      </c>
    </row>
    <row r="1087" spans="11:12">
      <c r="K1087" t="s">
        <v>1363</v>
      </c>
      <c r="L1087">
        <v>2022</v>
      </c>
    </row>
    <row r="1088" spans="11:12">
      <c r="K1088" t="s">
        <v>726</v>
      </c>
      <c r="L1088">
        <v>2022</v>
      </c>
    </row>
    <row r="1089" spans="11:12">
      <c r="K1089" t="s">
        <v>1725</v>
      </c>
      <c r="L1089">
        <v>2022</v>
      </c>
    </row>
    <row r="1090" spans="11:12">
      <c r="K1090" t="s">
        <v>254</v>
      </c>
      <c r="L1090">
        <v>2022</v>
      </c>
    </row>
    <row r="1091" spans="11:12">
      <c r="K1091" t="s">
        <v>1640</v>
      </c>
      <c r="L1091">
        <v>2022</v>
      </c>
    </row>
    <row r="1092" spans="11:12">
      <c r="K1092" t="s">
        <v>953</v>
      </c>
      <c r="L1092">
        <v>2022</v>
      </c>
    </row>
    <row r="1093" spans="11:12">
      <c r="K1093" t="s">
        <v>736</v>
      </c>
      <c r="L1093">
        <v>2022</v>
      </c>
    </row>
    <row r="1094" spans="11:12">
      <c r="K1094" t="s">
        <v>1507</v>
      </c>
      <c r="L1094">
        <v>2022</v>
      </c>
    </row>
    <row r="1095" spans="11:12">
      <c r="K1095" t="s">
        <v>1076</v>
      </c>
      <c r="L1095">
        <v>2022</v>
      </c>
    </row>
    <row r="1096" spans="11:12">
      <c r="K1096" t="s">
        <v>293</v>
      </c>
      <c r="L1096">
        <v>2022</v>
      </c>
    </row>
    <row r="1097" spans="11:12">
      <c r="K1097" t="s">
        <v>729</v>
      </c>
      <c r="L1097">
        <v>2022</v>
      </c>
    </row>
    <row r="1098" spans="11:12">
      <c r="K1098" t="s">
        <v>403</v>
      </c>
      <c r="L1098">
        <v>2022</v>
      </c>
    </row>
    <row r="1099" spans="11:12">
      <c r="K1099" t="s">
        <v>348</v>
      </c>
      <c r="L1099">
        <v>2022</v>
      </c>
    </row>
    <row r="1100" spans="11:12">
      <c r="K1100" t="s">
        <v>464</v>
      </c>
      <c r="L1100">
        <v>2022</v>
      </c>
    </row>
    <row r="1101" spans="11:12">
      <c r="K1101" t="s">
        <v>2345</v>
      </c>
      <c r="L1101">
        <v>2022</v>
      </c>
    </row>
    <row r="1102" spans="11:12">
      <c r="K1102" t="s">
        <v>868</v>
      </c>
      <c r="L1102">
        <v>2022</v>
      </c>
    </row>
    <row r="1103" spans="11:12">
      <c r="K1103" t="s">
        <v>863</v>
      </c>
      <c r="L1103">
        <v>2022</v>
      </c>
    </row>
    <row r="1104" spans="11:12">
      <c r="K1104" t="s">
        <v>575</v>
      </c>
      <c r="L1104">
        <v>2022</v>
      </c>
    </row>
    <row r="1105" spans="11:12">
      <c r="K1105" t="s">
        <v>1209</v>
      </c>
      <c r="L1105">
        <v>2022</v>
      </c>
    </row>
    <row r="1106" spans="11:12">
      <c r="K1106" t="s">
        <v>886</v>
      </c>
      <c r="L1106">
        <v>2022</v>
      </c>
    </row>
    <row r="1107" spans="11:12">
      <c r="K1107" t="s">
        <v>2348</v>
      </c>
      <c r="L1107">
        <v>2022</v>
      </c>
    </row>
    <row r="1108" spans="11:12">
      <c r="K1108" t="s">
        <v>2349</v>
      </c>
      <c r="L1108">
        <v>2022</v>
      </c>
    </row>
    <row r="1109" spans="11:12">
      <c r="K1109" t="s">
        <v>870</v>
      </c>
      <c r="L1109">
        <v>2022</v>
      </c>
    </row>
    <row r="1110" spans="11:12">
      <c r="K1110" t="s">
        <v>742</v>
      </c>
      <c r="L1110">
        <v>2022</v>
      </c>
    </row>
    <row r="1111" spans="11:12">
      <c r="K1111" t="s">
        <v>248</v>
      </c>
      <c r="L1111">
        <v>2022</v>
      </c>
    </row>
    <row r="1112" spans="11:12">
      <c r="K1112" t="s">
        <v>1198</v>
      </c>
      <c r="L1112">
        <v>2022</v>
      </c>
    </row>
    <row r="1113" spans="11:12">
      <c r="K1113" t="s">
        <v>472</v>
      </c>
      <c r="L1113">
        <v>2022</v>
      </c>
    </row>
    <row r="1114" spans="11:12">
      <c r="K1114" t="s">
        <v>1800</v>
      </c>
      <c r="L1114">
        <v>2022</v>
      </c>
    </row>
    <row r="1115" spans="11:12">
      <c r="K1115" t="s">
        <v>380</v>
      </c>
      <c r="L1115">
        <v>2022</v>
      </c>
    </row>
    <row r="1116" spans="11:12">
      <c r="K1116" t="s">
        <v>1848</v>
      </c>
      <c r="L1116">
        <v>2022</v>
      </c>
    </row>
    <row r="1117" spans="11:12">
      <c r="K1117" t="s">
        <v>630</v>
      </c>
      <c r="L1117">
        <v>2022</v>
      </c>
    </row>
    <row r="1118" spans="11:12">
      <c r="K1118" t="s">
        <v>1090</v>
      </c>
      <c r="L1118">
        <v>2022</v>
      </c>
    </row>
    <row r="1119" spans="11:12">
      <c r="K1119" t="s">
        <v>2367</v>
      </c>
      <c r="L1119">
        <v>2022</v>
      </c>
    </row>
    <row r="1120" spans="11:12">
      <c r="K1120" t="s">
        <v>750</v>
      </c>
      <c r="L1120">
        <v>2022</v>
      </c>
    </row>
    <row r="1121" spans="11:12">
      <c r="K1121" t="s">
        <v>1340</v>
      </c>
      <c r="L1121">
        <v>2022</v>
      </c>
    </row>
    <row r="1122" spans="11:12">
      <c r="K1122" t="s">
        <v>343</v>
      </c>
      <c r="L1122">
        <v>2022</v>
      </c>
    </row>
    <row r="1123" spans="11:12">
      <c r="K1123" t="s">
        <v>657</v>
      </c>
      <c r="L1123">
        <v>2022</v>
      </c>
    </row>
    <row r="1124" spans="11:12">
      <c r="K1124" t="s">
        <v>716</v>
      </c>
      <c r="L1124">
        <v>2022</v>
      </c>
    </row>
    <row r="1125" spans="11:12">
      <c r="K1125" t="s">
        <v>1081</v>
      </c>
      <c r="L1125">
        <v>2022</v>
      </c>
    </row>
    <row r="1126" spans="11:12">
      <c r="K1126" t="s">
        <v>1265</v>
      </c>
      <c r="L1126">
        <v>2022</v>
      </c>
    </row>
    <row r="1127" spans="11:12">
      <c r="K1127" t="s">
        <v>1724</v>
      </c>
      <c r="L1127">
        <v>2022</v>
      </c>
    </row>
    <row r="1128" spans="11:12">
      <c r="K1128" t="s">
        <v>1348</v>
      </c>
      <c r="L1128">
        <v>2022</v>
      </c>
    </row>
    <row r="1129" spans="11:12">
      <c r="K1129" t="s">
        <v>2380</v>
      </c>
      <c r="L1129">
        <v>2022</v>
      </c>
    </row>
    <row r="1130" spans="11:12">
      <c r="K1130" t="s">
        <v>994</v>
      </c>
      <c r="L1130">
        <v>2022</v>
      </c>
    </row>
    <row r="1131" spans="11:12">
      <c r="K1131" t="s">
        <v>1597</v>
      </c>
      <c r="L1131">
        <v>2022</v>
      </c>
    </row>
    <row r="1132" spans="11:12">
      <c r="K1132" t="s">
        <v>2382</v>
      </c>
      <c r="L1132">
        <v>2022</v>
      </c>
    </row>
    <row r="1133" spans="11:12">
      <c r="K1133" t="s">
        <v>2383</v>
      </c>
      <c r="L1133">
        <v>2022</v>
      </c>
    </row>
    <row r="1134" spans="11:12">
      <c r="K1134" t="s">
        <v>1438</v>
      </c>
      <c r="L1134">
        <v>2022</v>
      </c>
    </row>
    <row r="1135" spans="11:12">
      <c r="K1135" t="s">
        <v>1262</v>
      </c>
      <c r="L1135">
        <v>2022</v>
      </c>
    </row>
    <row r="1136" spans="11:12">
      <c r="K1136" t="s">
        <v>828</v>
      </c>
      <c r="L1136">
        <v>2022</v>
      </c>
    </row>
    <row r="1137" spans="11:12">
      <c r="K1137" t="s">
        <v>1223</v>
      </c>
      <c r="L1137">
        <v>2022</v>
      </c>
    </row>
    <row r="1138" spans="11:12">
      <c r="K1138" t="s">
        <v>130</v>
      </c>
      <c r="L1138">
        <v>2022</v>
      </c>
    </row>
    <row r="1139" spans="11:12">
      <c r="K1139" t="s">
        <v>2385</v>
      </c>
      <c r="L1139">
        <v>2022</v>
      </c>
    </row>
    <row r="1140" spans="11:12">
      <c r="K1140" t="s">
        <v>2387</v>
      </c>
      <c r="L1140">
        <v>2022</v>
      </c>
    </row>
    <row r="1141" spans="11:12">
      <c r="K1141" t="s">
        <v>1868</v>
      </c>
      <c r="L1141">
        <v>2022</v>
      </c>
    </row>
    <row r="1142" spans="11:12">
      <c r="K1142" t="s">
        <v>1824</v>
      </c>
      <c r="L1142">
        <v>2022</v>
      </c>
    </row>
    <row r="1143" spans="11:12">
      <c r="K1143" t="s">
        <v>2390</v>
      </c>
      <c r="L1143">
        <v>2022</v>
      </c>
    </row>
    <row r="1144" spans="11:12">
      <c r="K1144" t="s">
        <v>1754</v>
      </c>
      <c r="L1144">
        <v>2022</v>
      </c>
    </row>
    <row r="1145" spans="11:12">
      <c r="K1145" t="s">
        <v>111</v>
      </c>
      <c r="L1145">
        <v>2022</v>
      </c>
    </row>
    <row r="1146" spans="11:12">
      <c r="K1146" t="s">
        <v>389</v>
      </c>
      <c r="L1146">
        <v>2022</v>
      </c>
    </row>
    <row r="1147" spans="11:12">
      <c r="K1147" t="s">
        <v>1600</v>
      </c>
      <c r="L1147">
        <v>2022</v>
      </c>
    </row>
    <row r="1148" spans="11:12">
      <c r="K1148" t="s">
        <v>2398</v>
      </c>
      <c r="L1148">
        <v>2022</v>
      </c>
    </row>
    <row r="1149" spans="11:12">
      <c r="K1149" t="s">
        <v>1616</v>
      </c>
      <c r="L1149">
        <v>2022</v>
      </c>
    </row>
    <row r="1150" spans="11:12">
      <c r="K1150" t="s">
        <v>184</v>
      </c>
      <c r="L1150">
        <v>2022</v>
      </c>
    </row>
    <row r="1151" spans="11:12">
      <c r="K1151" t="s">
        <v>539</v>
      </c>
      <c r="L1151">
        <v>2022</v>
      </c>
    </row>
    <row r="1152" spans="11:12">
      <c r="K1152" t="s">
        <v>1659</v>
      </c>
      <c r="L1152">
        <v>2022</v>
      </c>
    </row>
    <row r="1153" spans="11:12">
      <c r="K1153" t="s">
        <v>1153</v>
      </c>
      <c r="L1153">
        <v>2022</v>
      </c>
    </row>
    <row r="1154" spans="11:12">
      <c r="K1154" t="s">
        <v>2407</v>
      </c>
      <c r="L1154">
        <v>2022</v>
      </c>
    </row>
    <row r="1155" spans="11:12">
      <c r="K1155" t="s">
        <v>2408</v>
      </c>
      <c r="L1155">
        <v>2022</v>
      </c>
    </row>
    <row r="1156" spans="11:12">
      <c r="K1156" t="s">
        <v>505</v>
      </c>
      <c r="L1156">
        <v>2022</v>
      </c>
    </row>
    <row r="1157" spans="11:12">
      <c r="K1157" t="s">
        <v>2409</v>
      </c>
      <c r="L1157">
        <v>2022</v>
      </c>
    </row>
    <row r="1158" spans="11:12">
      <c r="K1158" t="s">
        <v>1477</v>
      </c>
      <c r="L1158">
        <v>2022</v>
      </c>
    </row>
    <row r="1159" spans="11:12">
      <c r="K1159" t="s">
        <v>985</v>
      </c>
      <c r="L1159">
        <v>2022</v>
      </c>
    </row>
    <row r="1160" spans="11:12">
      <c r="K1160" t="s">
        <v>1633</v>
      </c>
      <c r="L1160">
        <v>2022</v>
      </c>
    </row>
    <row r="1161" spans="11:12">
      <c r="K1161" t="s">
        <v>2413</v>
      </c>
      <c r="L1161">
        <v>2022</v>
      </c>
    </row>
    <row r="1162" spans="11:12">
      <c r="K1162" t="s">
        <v>1256</v>
      </c>
      <c r="L1162">
        <v>2022</v>
      </c>
    </row>
    <row r="1163" spans="11:12">
      <c r="K1163" t="s">
        <v>2414</v>
      </c>
      <c r="L1163">
        <v>2022</v>
      </c>
    </row>
    <row r="1164" spans="11:12">
      <c r="K1164" t="s">
        <v>1140</v>
      </c>
      <c r="L1164">
        <v>2022</v>
      </c>
    </row>
    <row r="1165" spans="11:12">
      <c r="K1165" t="s">
        <v>1433</v>
      </c>
      <c r="L1165">
        <v>2022</v>
      </c>
    </row>
    <row r="1166" spans="11:12">
      <c r="K1166" t="s">
        <v>1573</v>
      </c>
      <c r="L1166">
        <v>2022</v>
      </c>
    </row>
    <row r="1167" spans="11:12">
      <c r="K1167" t="s">
        <v>2418</v>
      </c>
      <c r="L1167">
        <v>2022</v>
      </c>
    </row>
    <row r="1168" spans="11:12">
      <c r="K1168" t="s">
        <v>560</v>
      </c>
      <c r="L1168">
        <v>2022</v>
      </c>
    </row>
    <row r="1169" spans="11:12">
      <c r="K1169" t="s">
        <v>1612</v>
      </c>
      <c r="L1169">
        <v>2022</v>
      </c>
    </row>
    <row r="1170" spans="11:12">
      <c r="K1170" t="s">
        <v>258</v>
      </c>
      <c r="L1170">
        <v>2022</v>
      </c>
    </row>
    <row r="1171" spans="11:12">
      <c r="K1171" t="s">
        <v>2246</v>
      </c>
      <c r="L1171">
        <v>2023</v>
      </c>
    </row>
    <row r="1172" spans="11:12">
      <c r="K1172" t="s">
        <v>1081</v>
      </c>
      <c r="L1172">
        <v>2023</v>
      </c>
    </row>
    <row r="1173" spans="11:12">
      <c r="K1173" t="s">
        <v>969</v>
      </c>
      <c r="L1173">
        <v>2023</v>
      </c>
    </row>
    <row r="1174" spans="11:12">
      <c r="K1174" t="s">
        <v>2425</v>
      </c>
      <c r="L1174">
        <v>2023</v>
      </c>
    </row>
    <row r="1175" spans="11:12">
      <c r="K1175" t="s">
        <v>2426</v>
      </c>
      <c r="L1175">
        <v>2023</v>
      </c>
    </row>
    <row r="1176" spans="11:12">
      <c r="K1176" t="s">
        <v>1976</v>
      </c>
      <c r="L1176">
        <v>2023</v>
      </c>
    </row>
    <row r="1177" spans="11:12">
      <c r="K1177" t="s">
        <v>671</v>
      </c>
      <c r="L1177">
        <v>2023</v>
      </c>
    </row>
    <row r="1178" spans="11:12">
      <c r="K1178" t="s">
        <v>754</v>
      </c>
      <c r="L1178">
        <v>2023</v>
      </c>
    </row>
    <row r="1179" spans="11:12">
      <c r="K1179" t="s">
        <v>2232</v>
      </c>
      <c r="L1179">
        <v>2023</v>
      </c>
    </row>
    <row r="1180" spans="11:12">
      <c r="K1180" t="s">
        <v>31</v>
      </c>
      <c r="L1180">
        <v>2023</v>
      </c>
    </row>
    <row r="1181" spans="11:12">
      <c r="K1181" t="s">
        <v>48</v>
      </c>
      <c r="L1181">
        <v>2023</v>
      </c>
    </row>
    <row r="1182" spans="11:12">
      <c r="K1182" t="s">
        <v>595</v>
      </c>
      <c r="L1182">
        <v>2023</v>
      </c>
    </row>
    <row r="1183" spans="11:12">
      <c r="K1183" t="s">
        <v>1869</v>
      </c>
      <c r="L1183">
        <v>2023</v>
      </c>
    </row>
    <row r="1184" spans="11:12">
      <c r="K1184" t="s">
        <v>454</v>
      </c>
      <c r="L1184">
        <v>2023</v>
      </c>
    </row>
    <row r="1185" spans="11:12">
      <c r="K1185" t="s">
        <v>2431</v>
      </c>
      <c r="L1185">
        <v>2023</v>
      </c>
    </row>
    <row r="1186" spans="11:12">
      <c r="K1186" t="s">
        <v>1145</v>
      </c>
      <c r="L1186">
        <v>2023</v>
      </c>
    </row>
    <row r="1187" spans="11:12">
      <c r="K1187" t="s">
        <v>415</v>
      </c>
      <c r="L1187">
        <v>2023</v>
      </c>
    </row>
    <row r="1188" spans="11:12">
      <c r="K1188" t="s">
        <v>2067</v>
      </c>
      <c r="L1188">
        <v>2023</v>
      </c>
    </row>
    <row r="1189" spans="11:12">
      <c r="K1189" t="s">
        <v>726</v>
      </c>
      <c r="L1189">
        <v>2023</v>
      </c>
    </row>
    <row r="1190" spans="11:12">
      <c r="K1190" t="s">
        <v>1749</v>
      </c>
      <c r="L1190">
        <v>2023</v>
      </c>
    </row>
    <row r="1191" spans="11:12">
      <c r="K1191" t="s">
        <v>1565</v>
      </c>
      <c r="L1191">
        <v>2023</v>
      </c>
    </row>
    <row r="1192" spans="11:12">
      <c r="K1192" t="s">
        <v>2434</v>
      </c>
      <c r="L1192">
        <v>2023</v>
      </c>
    </row>
    <row r="1193" spans="11:12">
      <c r="K1193" t="s">
        <v>902</v>
      </c>
      <c r="L1193">
        <v>2023</v>
      </c>
    </row>
    <row r="1194" spans="11:12">
      <c r="K1194" t="s">
        <v>2227</v>
      </c>
      <c r="L1194">
        <v>2023</v>
      </c>
    </row>
    <row r="1195" spans="11:12">
      <c r="K1195" t="s">
        <v>2414</v>
      </c>
      <c r="L1195">
        <v>2023</v>
      </c>
    </row>
    <row r="1196" spans="11:12">
      <c r="K1196" t="s">
        <v>685</v>
      </c>
      <c r="L1196">
        <v>2023</v>
      </c>
    </row>
    <row r="1197" spans="11:12">
      <c r="K1197" t="s">
        <v>653</v>
      </c>
      <c r="L1197">
        <v>2023</v>
      </c>
    </row>
    <row r="1198" spans="11:12">
      <c r="K1198" t="s">
        <v>2264</v>
      </c>
      <c r="L1198">
        <v>2023</v>
      </c>
    </row>
    <row r="1199" spans="11:12">
      <c r="K1199" t="s">
        <v>1253</v>
      </c>
      <c r="L1199">
        <v>2023</v>
      </c>
    </row>
    <row r="1200" spans="11:12">
      <c r="K1200" t="s">
        <v>1760</v>
      </c>
      <c r="L1200">
        <v>2023</v>
      </c>
    </row>
    <row r="1201" spans="11:12">
      <c r="K1201" t="s">
        <v>697</v>
      </c>
      <c r="L1201">
        <v>2023</v>
      </c>
    </row>
    <row r="1202" spans="11:12">
      <c r="K1202" t="s">
        <v>855</v>
      </c>
      <c r="L1202">
        <v>2023</v>
      </c>
    </row>
    <row r="1203" spans="11:12">
      <c r="K1203" t="s">
        <v>2320</v>
      </c>
      <c r="L1203">
        <v>2023</v>
      </c>
    </row>
    <row r="1204" spans="11:12">
      <c r="K1204" t="s">
        <v>1885</v>
      </c>
      <c r="L1204">
        <v>2023</v>
      </c>
    </row>
    <row r="1205" spans="11:12">
      <c r="K1205" t="s">
        <v>1345</v>
      </c>
      <c r="L1205">
        <v>2023</v>
      </c>
    </row>
    <row r="1206" spans="11:12">
      <c r="K1206" t="s">
        <v>2437</v>
      </c>
      <c r="L1206">
        <v>2023</v>
      </c>
    </row>
    <row r="1207" spans="11:12">
      <c r="K1207" t="s">
        <v>389</v>
      </c>
      <c r="L1207">
        <v>2023</v>
      </c>
    </row>
    <row r="1208" spans="11:12">
      <c r="K1208" t="s">
        <v>1489</v>
      </c>
      <c r="L1208">
        <v>2023</v>
      </c>
    </row>
    <row r="1209" spans="11:12">
      <c r="K1209" t="s">
        <v>770</v>
      </c>
      <c r="L1209">
        <v>2023</v>
      </c>
    </row>
    <row r="1210" spans="11:12">
      <c r="K1210" t="s">
        <v>1764</v>
      </c>
      <c r="L1210">
        <v>2023</v>
      </c>
    </row>
    <row r="1211" spans="11:12">
      <c r="K1211" t="s">
        <v>2441</v>
      </c>
      <c r="L1211">
        <v>2023</v>
      </c>
    </row>
    <row r="1212" spans="11:12">
      <c r="K1212" t="s">
        <v>1433</v>
      </c>
      <c r="L1212">
        <v>2023</v>
      </c>
    </row>
    <row r="1213" spans="11:12">
      <c r="K1213" t="s">
        <v>345</v>
      </c>
      <c r="L1213">
        <v>2023</v>
      </c>
    </row>
    <row r="1214" spans="11:12">
      <c r="K1214" t="s">
        <v>261</v>
      </c>
      <c r="L1214">
        <v>2023</v>
      </c>
    </row>
    <row r="1215" spans="11:12">
      <c r="K1215" t="s">
        <v>1673</v>
      </c>
      <c r="L1215">
        <v>2023</v>
      </c>
    </row>
    <row r="1216" spans="11:12">
      <c r="K1216" t="s">
        <v>532</v>
      </c>
      <c r="L1216">
        <v>2023</v>
      </c>
    </row>
    <row r="1217" spans="11:12">
      <c r="K1217" t="s">
        <v>178</v>
      </c>
      <c r="L1217">
        <v>2023</v>
      </c>
    </row>
    <row r="1218" spans="11:12">
      <c r="K1218" t="s">
        <v>1403</v>
      </c>
      <c r="L1218">
        <v>2023</v>
      </c>
    </row>
    <row r="1219" spans="11:12">
      <c r="K1219" t="s">
        <v>1819</v>
      </c>
      <c r="L1219">
        <v>2023</v>
      </c>
    </row>
    <row r="1220" spans="11:12">
      <c r="K1220" t="s">
        <v>511</v>
      </c>
      <c r="L1220">
        <v>2023</v>
      </c>
    </row>
    <row r="1221" spans="11:12">
      <c r="K1221" t="s">
        <v>875</v>
      </c>
      <c r="L1221">
        <v>2023</v>
      </c>
    </row>
    <row r="1222" spans="11:12">
      <c r="K1222" t="s">
        <v>156</v>
      </c>
      <c r="L1222">
        <v>2023</v>
      </c>
    </row>
    <row r="1223" spans="11:12">
      <c r="K1223" t="s">
        <v>1479</v>
      </c>
      <c r="L1223">
        <v>2023</v>
      </c>
    </row>
    <row r="1224" spans="11:12">
      <c r="K1224" t="s">
        <v>1260</v>
      </c>
      <c r="L1224">
        <v>2023</v>
      </c>
    </row>
    <row r="1225" spans="11:12">
      <c r="K1225" t="s">
        <v>1297</v>
      </c>
      <c r="L1225">
        <v>2023</v>
      </c>
    </row>
    <row r="1226" spans="11:12">
      <c r="K1226" t="s">
        <v>1183</v>
      </c>
      <c r="L1226">
        <v>2023</v>
      </c>
    </row>
    <row r="1227" spans="11:12">
      <c r="K1227" t="s">
        <v>327</v>
      </c>
      <c r="L1227">
        <v>2023</v>
      </c>
    </row>
    <row r="1228" spans="11:12">
      <c r="K1228" t="s">
        <v>429</v>
      </c>
      <c r="L1228">
        <v>2023</v>
      </c>
    </row>
    <row r="1229" spans="11:12">
      <c r="K1229" t="s">
        <v>385</v>
      </c>
      <c r="L1229">
        <v>2023</v>
      </c>
    </row>
    <row r="1230" spans="11:12">
      <c r="K1230" t="s">
        <v>2446</v>
      </c>
      <c r="L1230">
        <v>2023</v>
      </c>
    </row>
    <row r="1231" spans="11:12">
      <c r="K1231" t="s">
        <v>2133</v>
      </c>
      <c r="L1231">
        <v>2023</v>
      </c>
    </row>
    <row r="1232" spans="11:12">
      <c r="K1232" t="s">
        <v>172</v>
      </c>
      <c r="L1232">
        <v>2023</v>
      </c>
    </row>
    <row r="1233" spans="11:12">
      <c r="K1233" t="s">
        <v>2254</v>
      </c>
      <c r="L1233">
        <v>2023</v>
      </c>
    </row>
    <row r="1234" spans="11:12">
      <c r="K1234" t="s">
        <v>1684</v>
      </c>
      <c r="L1234">
        <v>2023</v>
      </c>
    </row>
    <row r="1235" spans="11:12">
      <c r="K1235" t="s">
        <v>505</v>
      </c>
      <c r="L1235">
        <v>2023</v>
      </c>
    </row>
    <row r="1236" spans="11:12">
      <c r="K1236" t="s">
        <v>1515</v>
      </c>
      <c r="L1236">
        <v>2023</v>
      </c>
    </row>
    <row r="1237" spans="11:12">
      <c r="K1237" t="s">
        <v>1935</v>
      </c>
      <c r="L1237">
        <v>2023</v>
      </c>
    </row>
    <row r="1238" spans="11:12">
      <c r="K1238" t="s">
        <v>2158</v>
      </c>
      <c r="L1238">
        <v>2023</v>
      </c>
    </row>
    <row r="1239" spans="11:12">
      <c r="K1239" t="s">
        <v>637</v>
      </c>
      <c r="L1239">
        <v>2023</v>
      </c>
    </row>
    <row r="1240" spans="11:12">
      <c r="K1240" t="s">
        <v>1289</v>
      </c>
      <c r="L1240">
        <v>2023</v>
      </c>
    </row>
    <row r="1241" spans="11:12">
      <c r="K1241" t="s">
        <v>1996</v>
      </c>
      <c r="L1241">
        <v>2023</v>
      </c>
    </row>
    <row r="1242" spans="11:12">
      <c r="K1242" t="s">
        <v>239</v>
      </c>
      <c r="L1242">
        <v>2023</v>
      </c>
    </row>
    <row r="1243" spans="11:12">
      <c r="K1243" t="s">
        <v>1450</v>
      </c>
      <c r="L1243">
        <v>2023</v>
      </c>
    </row>
    <row r="1244" spans="11:12">
      <c r="K1244" t="s">
        <v>711</v>
      </c>
      <c r="L1244">
        <v>2023</v>
      </c>
    </row>
    <row r="1245" spans="11:12">
      <c r="K1245" t="s">
        <v>1725</v>
      </c>
      <c r="L1245">
        <v>2023</v>
      </c>
    </row>
    <row r="1246" spans="11:12">
      <c r="K1246" t="s">
        <v>1722</v>
      </c>
      <c r="L1246">
        <v>2023</v>
      </c>
    </row>
    <row r="1247" spans="11:12">
      <c r="K1247" t="s">
        <v>1979</v>
      </c>
      <c r="L1247">
        <v>2023</v>
      </c>
    </row>
    <row r="1248" spans="11:12">
      <c r="K1248" t="s">
        <v>1924</v>
      </c>
      <c r="L1248">
        <v>2023</v>
      </c>
    </row>
    <row r="1249" spans="11:12">
      <c r="K1249" t="s">
        <v>949</v>
      </c>
      <c r="L1249">
        <v>2023</v>
      </c>
    </row>
    <row r="1250" spans="11:12">
      <c r="K1250" t="s">
        <v>1597</v>
      </c>
      <c r="L1250">
        <v>2023</v>
      </c>
    </row>
    <row r="1251" spans="11:12">
      <c r="K1251" t="s">
        <v>942</v>
      </c>
      <c r="L1251">
        <v>2023</v>
      </c>
    </row>
    <row r="1252" spans="11:12">
      <c r="K1252" t="s">
        <v>2140</v>
      </c>
      <c r="L1252">
        <v>2023</v>
      </c>
    </row>
    <row r="1253" spans="11:12">
      <c r="K1253" t="s">
        <v>886</v>
      </c>
      <c r="L1253">
        <v>2023</v>
      </c>
    </row>
    <row r="1254" spans="11:12">
      <c r="K1254" t="s">
        <v>163</v>
      </c>
      <c r="L1254">
        <v>2023</v>
      </c>
    </row>
    <row r="1255" spans="11:12">
      <c r="K1255" t="s">
        <v>2449</v>
      </c>
      <c r="L1255">
        <v>2023</v>
      </c>
    </row>
    <row r="1256" spans="11:12">
      <c r="K1256" t="s">
        <v>1262</v>
      </c>
      <c r="L1256">
        <v>2023</v>
      </c>
    </row>
    <row r="1257" spans="11:12">
      <c r="K1257" t="s">
        <v>1600</v>
      </c>
      <c r="L1257">
        <v>2023</v>
      </c>
    </row>
    <row r="1258" spans="11:12">
      <c r="K1258" t="s">
        <v>1291</v>
      </c>
      <c r="L1258">
        <v>2023</v>
      </c>
    </row>
    <row r="1259" spans="11:12">
      <c r="K1259" t="s">
        <v>798</v>
      </c>
      <c r="L1259">
        <v>2023</v>
      </c>
    </row>
    <row r="1260" spans="11:12">
      <c r="K1260" t="s">
        <v>2452</v>
      </c>
      <c r="L1260">
        <v>2023</v>
      </c>
    </row>
    <row r="1261" spans="11:12">
      <c r="K1261" t="s">
        <v>1833</v>
      </c>
      <c r="L1261">
        <v>2023</v>
      </c>
    </row>
    <row r="1262" spans="11:12">
      <c r="K1262" t="s">
        <v>1273</v>
      </c>
      <c r="L1262">
        <v>2023</v>
      </c>
    </row>
    <row r="1263" spans="11:12">
      <c r="K1263" t="s">
        <v>562</v>
      </c>
      <c r="L1263">
        <v>2023</v>
      </c>
    </row>
    <row r="1264" spans="11:12">
      <c r="K1264" t="s">
        <v>421</v>
      </c>
      <c r="L1264">
        <v>2023</v>
      </c>
    </row>
    <row r="1265" spans="11:12">
      <c r="K1265" t="s">
        <v>1865</v>
      </c>
      <c r="L1265">
        <v>2023</v>
      </c>
    </row>
    <row r="1266" spans="11:12">
      <c r="K1266" t="s">
        <v>686</v>
      </c>
      <c r="L1266">
        <v>2023</v>
      </c>
    </row>
    <row r="1267" spans="11:12">
      <c r="K1267" t="s">
        <v>796</v>
      </c>
      <c r="L1267">
        <v>2023</v>
      </c>
    </row>
    <row r="1268" spans="11:12">
      <c r="K1268" t="s">
        <v>2106</v>
      </c>
      <c r="L1268">
        <v>2023</v>
      </c>
    </row>
    <row r="1269" spans="11:12">
      <c r="K1269" t="s">
        <v>885</v>
      </c>
      <c r="L1269">
        <v>2023</v>
      </c>
    </row>
    <row r="1270" spans="11:12">
      <c r="K1270" t="s">
        <v>2059</v>
      </c>
      <c r="L1270">
        <v>2023</v>
      </c>
    </row>
    <row r="1271" spans="11:12">
      <c r="K1271" t="s">
        <v>2062</v>
      </c>
      <c r="L1271">
        <v>2023</v>
      </c>
    </row>
    <row r="1272" spans="11:12">
      <c r="K1272" t="s">
        <v>924</v>
      </c>
      <c r="L1272">
        <v>2023</v>
      </c>
    </row>
    <row r="1273" spans="11:12">
      <c r="K1273" t="s">
        <v>1461</v>
      </c>
      <c r="L1273">
        <v>2023</v>
      </c>
    </row>
    <row r="1274" spans="11:12">
      <c r="K1274" t="s">
        <v>897</v>
      </c>
      <c r="L1274">
        <v>2023</v>
      </c>
    </row>
    <row r="1275" spans="11:12">
      <c r="K1275" t="s">
        <v>2113</v>
      </c>
      <c r="L1275">
        <v>2023</v>
      </c>
    </row>
    <row r="1276" spans="11:12">
      <c r="K1276" t="s">
        <v>2261</v>
      </c>
      <c r="L1276">
        <v>2023</v>
      </c>
    </row>
    <row r="1277" spans="11:12">
      <c r="K1277" t="s">
        <v>538</v>
      </c>
      <c r="L1277">
        <v>2023</v>
      </c>
    </row>
    <row r="1278" spans="11:12">
      <c r="K1278" t="s">
        <v>303</v>
      </c>
      <c r="L1278">
        <v>2023</v>
      </c>
    </row>
    <row r="1279" spans="11:12">
      <c r="K1279" t="s">
        <v>822</v>
      </c>
      <c r="L1279">
        <v>2023</v>
      </c>
    </row>
    <row r="1280" spans="11:12">
      <c r="K1280" t="s">
        <v>2457</v>
      </c>
      <c r="L1280">
        <v>2023</v>
      </c>
    </row>
    <row r="1281" spans="11:12">
      <c r="K1281" t="s">
        <v>2458</v>
      </c>
      <c r="L1281">
        <v>2023</v>
      </c>
    </row>
    <row r="1282" spans="11:12">
      <c r="K1282" t="s">
        <v>1387</v>
      </c>
      <c r="L1282">
        <v>2023</v>
      </c>
    </row>
    <row r="1283" spans="11:12">
      <c r="K1283" t="s">
        <v>1631</v>
      </c>
      <c r="L1283">
        <v>2023</v>
      </c>
    </row>
    <row r="1284" spans="11:12">
      <c r="K1284" t="s">
        <v>729</v>
      </c>
      <c r="L1284">
        <v>2023</v>
      </c>
    </row>
    <row r="1285" spans="11:12">
      <c r="K1285" t="s">
        <v>24</v>
      </c>
      <c r="L1285">
        <v>2023</v>
      </c>
    </row>
    <row r="1286" spans="11:12">
      <c r="K1286" t="s">
        <v>1371</v>
      </c>
      <c r="L1286">
        <v>2023</v>
      </c>
    </row>
    <row r="1287" spans="11:12">
      <c r="K1287" t="s">
        <v>2418</v>
      </c>
      <c r="L1287">
        <v>2023</v>
      </c>
    </row>
    <row r="1288" spans="11:12">
      <c r="K1288" t="s">
        <v>1332</v>
      </c>
      <c r="L1288">
        <v>2023</v>
      </c>
    </row>
    <row r="1289" spans="11:12">
      <c r="K1289" t="s">
        <v>1842</v>
      </c>
      <c r="L1289">
        <v>2023</v>
      </c>
    </row>
    <row r="1290" spans="11:12">
      <c r="K1290" t="s">
        <v>293</v>
      </c>
      <c r="L1290">
        <v>2023</v>
      </c>
    </row>
    <row r="1291" spans="11:12">
      <c r="K1291" t="s">
        <v>979</v>
      </c>
      <c r="L1291">
        <v>2023</v>
      </c>
    </row>
    <row r="1292" spans="11:12">
      <c r="K1292" t="s">
        <v>1828</v>
      </c>
      <c r="L1292">
        <v>2023</v>
      </c>
    </row>
    <row r="1293" spans="11:12">
      <c r="K1293" t="s">
        <v>762</v>
      </c>
      <c r="L1293">
        <v>2023</v>
      </c>
    </row>
    <row r="1294" spans="11:12">
      <c r="K1294" t="s">
        <v>2255</v>
      </c>
      <c r="L1294">
        <v>2023</v>
      </c>
    </row>
    <row r="1295" spans="11:12">
      <c r="K1295" t="s">
        <v>527</v>
      </c>
      <c r="L1295">
        <v>2023</v>
      </c>
    </row>
    <row r="1296" spans="11:12">
      <c r="K1296" t="s">
        <v>2126</v>
      </c>
      <c r="L1296">
        <v>2023</v>
      </c>
    </row>
    <row r="1297" spans="11:12">
      <c r="K1297" t="s">
        <v>1665</v>
      </c>
      <c r="L1297">
        <v>2023</v>
      </c>
    </row>
    <row r="1298" spans="11:12">
      <c r="K1298" t="s">
        <v>2465</v>
      </c>
      <c r="L1298">
        <v>2023</v>
      </c>
    </row>
    <row r="1299" spans="11:12">
      <c r="K1299" t="s">
        <v>121</v>
      </c>
      <c r="L1299">
        <v>2023</v>
      </c>
    </row>
    <row r="1300" spans="11:12">
      <c r="K1300" t="s">
        <v>1465</v>
      </c>
      <c r="L1300">
        <v>2023</v>
      </c>
    </row>
    <row r="1301" spans="11:12">
      <c r="K1301" t="s">
        <v>1543</v>
      </c>
      <c r="L1301">
        <v>2023</v>
      </c>
    </row>
    <row r="1302" spans="11:12">
      <c r="K1302" t="s">
        <v>1448</v>
      </c>
      <c r="L1302">
        <v>2023</v>
      </c>
    </row>
    <row r="1303" spans="11:12">
      <c r="K1303" t="s">
        <v>580</v>
      </c>
      <c r="L1303">
        <v>2023</v>
      </c>
    </row>
    <row r="1304" spans="11:12">
      <c r="K1304" t="s">
        <v>1124</v>
      </c>
      <c r="L1304">
        <v>2023</v>
      </c>
    </row>
    <row r="1305" spans="11:12">
      <c r="K1305" t="s">
        <v>374</v>
      </c>
      <c r="L1305">
        <v>2023</v>
      </c>
    </row>
    <row r="1306" spans="11:12">
      <c r="K1306" t="s">
        <v>1076</v>
      </c>
      <c r="L1306">
        <v>2023</v>
      </c>
    </row>
    <row r="1307" spans="11:12">
      <c r="K1307" t="s">
        <v>1476</v>
      </c>
      <c r="L1307">
        <v>2023</v>
      </c>
    </row>
    <row r="1308" spans="11:12">
      <c r="K1308" t="s">
        <v>2073</v>
      </c>
      <c r="L1308">
        <v>2023</v>
      </c>
    </row>
    <row r="1309" spans="11:12">
      <c r="K1309" t="s">
        <v>229</v>
      </c>
      <c r="L1309">
        <v>2023</v>
      </c>
    </row>
    <row r="1310" spans="11:12">
      <c r="K1310" t="s">
        <v>776</v>
      </c>
      <c r="L1310">
        <v>2023</v>
      </c>
    </row>
    <row r="1311" spans="11:12">
      <c r="K1311" t="s">
        <v>2468</v>
      </c>
      <c r="L1311">
        <v>2023</v>
      </c>
    </row>
    <row r="1312" spans="11:12">
      <c r="K1312" t="s">
        <v>1188</v>
      </c>
      <c r="L1312">
        <v>2023</v>
      </c>
    </row>
    <row r="1313" spans="11:12">
      <c r="K1313" t="s">
        <v>1627</v>
      </c>
      <c r="L1313">
        <v>2023</v>
      </c>
    </row>
    <row r="1314" spans="11:12">
      <c r="K1314" t="s">
        <v>2013</v>
      </c>
      <c r="L1314">
        <v>2023</v>
      </c>
    </row>
    <row r="1315" spans="11:12">
      <c r="K1315" t="s">
        <v>560</v>
      </c>
      <c r="L1315">
        <v>2023</v>
      </c>
    </row>
    <row r="1316" spans="11:12">
      <c r="K1316" t="s">
        <v>1256</v>
      </c>
      <c r="L1316">
        <v>2023</v>
      </c>
    </row>
    <row r="1317" spans="11:12">
      <c r="K1317" t="s">
        <v>1416</v>
      </c>
      <c r="L1317">
        <v>2023</v>
      </c>
    </row>
    <row r="1318" spans="11:12">
      <c r="K1318" t="s">
        <v>1153</v>
      </c>
      <c r="L1318">
        <v>2023</v>
      </c>
    </row>
    <row r="1319" spans="11:12">
      <c r="K1319" t="s">
        <v>2267</v>
      </c>
      <c r="L1319">
        <v>2023</v>
      </c>
    </row>
    <row r="1320" spans="11:12">
      <c r="K1320" t="s">
        <v>1361</v>
      </c>
      <c r="L1320">
        <v>2023</v>
      </c>
    </row>
    <row r="1321" spans="11:12">
      <c r="K1321" t="s">
        <v>909</v>
      </c>
      <c r="L1321">
        <v>2023</v>
      </c>
    </row>
    <row r="1322" spans="11:12">
      <c r="K1322" t="s">
        <v>391</v>
      </c>
      <c r="L1322">
        <v>2023</v>
      </c>
    </row>
    <row r="1323" spans="11:12">
      <c r="K1323" t="s">
        <v>1970</v>
      </c>
      <c r="L1323">
        <v>2023</v>
      </c>
    </row>
    <row r="1324" spans="11:12">
      <c r="K1324" t="s">
        <v>109</v>
      </c>
      <c r="L1324">
        <v>2023</v>
      </c>
    </row>
    <row r="1325" spans="11:12">
      <c r="K1325" t="s">
        <v>591</v>
      </c>
      <c r="L1325">
        <v>2023</v>
      </c>
    </row>
    <row r="1326" spans="11:12">
      <c r="K1326" t="s">
        <v>1035</v>
      </c>
      <c r="L1326">
        <v>2023</v>
      </c>
    </row>
    <row r="1327" spans="11:12">
      <c r="K1327" t="s">
        <v>34</v>
      </c>
      <c r="L1327">
        <v>2023</v>
      </c>
    </row>
    <row r="1328" spans="11:12">
      <c r="K1328" t="s">
        <v>2474</v>
      </c>
      <c r="L1328">
        <v>2023</v>
      </c>
    </row>
    <row r="1329" spans="11:12">
      <c r="K1329" t="s">
        <v>210</v>
      </c>
      <c r="L1329">
        <v>2023</v>
      </c>
    </row>
    <row r="1330" spans="11:12">
      <c r="K1330" t="s">
        <v>1746</v>
      </c>
      <c r="L1330">
        <v>2023</v>
      </c>
    </row>
    <row r="1331" spans="11:12">
      <c r="K1331" t="s">
        <v>793</v>
      </c>
      <c r="L1331">
        <v>2023</v>
      </c>
    </row>
    <row r="1332" spans="11:12">
      <c r="K1332" t="s">
        <v>85</v>
      </c>
      <c r="L1332">
        <v>2023</v>
      </c>
    </row>
    <row r="1333" spans="11:12">
      <c r="K1333" t="s">
        <v>2476</v>
      </c>
      <c r="L1333">
        <v>2023</v>
      </c>
    </row>
    <row r="1334" spans="11:12">
      <c r="K1334" t="s">
        <v>1037</v>
      </c>
      <c r="L1334">
        <v>2023</v>
      </c>
    </row>
    <row r="1335" spans="11:12">
      <c r="K1335" t="s">
        <v>1762</v>
      </c>
      <c r="L1335">
        <v>2023</v>
      </c>
    </row>
    <row r="1336" spans="11:12">
      <c r="K1336" t="s">
        <v>1509</v>
      </c>
      <c r="L1336">
        <v>2023</v>
      </c>
    </row>
    <row r="1337" spans="11:12">
      <c r="K1337" t="s">
        <v>1768</v>
      </c>
      <c r="L1337">
        <v>2023</v>
      </c>
    </row>
    <row r="1338" spans="11:12">
      <c r="K1338" t="s">
        <v>1185</v>
      </c>
      <c r="L1338">
        <v>2023</v>
      </c>
    </row>
    <row r="1339" spans="11:12">
      <c r="K1339" t="s">
        <v>217</v>
      </c>
      <c r="L1339">
        <v>2023</v>
      </c>
    </row>
    <row r="1340" spans="11:12">
      <c r="K1340" t="s">
        <v>704</v>
      </c>
      <c r="L1340">
        <v>2023</v>
      </c>
    </row>
    <row r="1341" spans="11:12">
      <c r="K1341" t="s">
        <v>919</v>
      </c>
      <c r="L1341">
        <v>2023</v>
      </c>
    </row>
    <row r="1342" spans="11:12">
      <c r="K1342" t="s">
        <v>514</v>
      </c>
      <c r="L1342">
        <v>2023</v>
      </c>
    </row>
    <row r="1343" spans="11:12">
      <c r="K1343" t="s">
        <v>2081</v>
      </c>
      <c r="L1343">
        <v>2023</v>
      </c>
    </row>
    <row r="1344" spans="11:12">
      <c r="K1344" t="s">
        <v>494</v>
      </c>
      <c r="L1344">
        <v>2023</v>
      </c>
    </row>
    <row r="1345" spans="11:12">
      <c r="K1345" t="s">
        <v>1640</v>
      </c>
      <c r="L1345">
        <v>2023</v>
      </c>
    </row>
    <row r="1346" spans="11:12">
      <c r="K1346" t="s">
        <v>409</v>
      </c>
      <c r="L1346">
        <v>2023</v>
      </c>
    </row>
    <row r="1347" spans="11:12">
      <c r="K1347" t="s">
        <v>1830</v>
      </c>
      <c r="L1347">
        <v>2023</v>
      </c>
    </row>
    <row r="1348" spans="11:12">
      <c r="K1348" t="s">
        <v>1419</v>
      </c>
      <c r="L1348">
        <v>2023</v>
      </c>
    </row>
    <row r="1349" spans="11:12">
      <c r="K1349" t="s">
        <v>309</v>
      </c>
      <c r="L1349">
        <v>2023</v>
      </c>
    </row>
    <row r="1350" spans="11:12">
      <c r="K1350" t="s">
        <v>1619</v>
      </c>
      <c r="L1350">
        <v>2023</v>
      </c>
    </row>
    <row r="1351" spans="11:12">
      <c r="K1351" t="s">
        <v>1265</v>
      </c>
      <c r="L1351">
        <v>2023</v>
      </c>
    </row>
    <row r="1352" spans="11:12">
      <c r="K1352" t="s">
        <v>1496</v>
      </c>
      <c r="L1352">
        <v>2023</v>
      </c>
    </row>
    <row r="1353" spans="11:12">
      <c r="K1353" t="s">
        <v>657</v>
      </c>
      <c r="L1353">
        <v>2023</v>
      </c>
    </row>
    <row r="1354" spans="11:12">
      <c r="K1354" t="s">
        <v>295</v>
      </c>
      <c r="L1354">
        <v>2023</v>
      </c>
    </row>
    <row r="1355" spans="11:12">
      <c r="K1355" t="s">
        <v>1948</v>
      </c>
      <c r="L1355">
        <v>2023</v>
      </c>
    </row>
    <row r="1356" spans="11:12">
      <c r="K1356" t="s">
        <v>2484</v>
      </c>
      <c r="L1356">
        <v>2023</v>
      </c>
    </row>
    <row r="1357" spans="11:12">
      <c r="K1357" t="s">
        <v>724</v>
      </c>
      <c r="L1357">
        <v>2023</v>
      </c>
    </row>
    <row r="1358" spans="11:12">
      <c r="K1358" t="s">
        <v>287</v>
      </c>
      <c r="L1358">
        <v>2023</v>
      </c>
    </row>
    <row r="1359" spans="11:12">
      <c r="K1359" t="s">
        <v>1721</v>
      </c>
      <c r="L1359">
        <v>2023</v>
      </c>
    </row>
    <row r="1360" spans="11:12">
      <c r="K1360" t="s">
        <v>336</v>
      </c>
      <c r="L1360">
        <v>2023</v>
      </c>
    </row>
    <row r="1361" spans="11:12">
      <c r="K1361" t="s">
        <v>74</v>
      </c>
      <c r="L1361">
        <v>2023</v>
      </c>
    </row>
    <row r="1362" spans="11:12">
      <c r="K1362" t="s">
        <v>1425</v>
      </c>
      <c r="L1362">
        <v>2023</v>
      </c>
    </row>
    <row r="1363" spans="11:12">
      <c r="K1363" t="s">
        <v>297</v>
      </c>
      <c r="L1363">
        <v>2023</v>
      </c>
    </row>
    <row r="1364" spans="11:12">
      <c r="K1364" t="s">
        <v>1679</v>
      </c>
      <c r="L1364">
        <v>2023</v>
      </c>
    </row>
    <row r="1365" spans="11:12">
      <c r="K1365" t="s">
        <v>955</v>
      </c>
      <c r="L1365">
        <v>2023</v>
      </c>
    </row>
    <row r="1366" spans="11:12">
      <c r="K1366" t="s">
        <v>124</v>
      </c>
      <c r="L1366">
        <v>2023</v>
      </c>
    </row>
    <row r="1367" spans="11:12">
      <c r="K1367" t="s">
        <v>2488</v>
      </c>
      <c r="L1367">
        <v>2023</v>
      </c>
    </row>
    <row r="1368" spans="11:12">
      <c r="K1368" t="s">
        <v>771</v>
      </c>
      <c r="L1368">
        <v>2023</v>
      </c>
    </row>
    <row r="1369" spans="11:12">
      <c r="K1369" t="s">
        <v>2096</v>
      </c>
      <c r="L1369">
        <v>2023</v>
      </c>
    </row>
    <row r="1370" spans="11:12">
      <c r="K1370" t="s">
        <v>1549</v>
      </c>
      <c r="L1370">
        <v>2023</v>
      </c>
    </row>
    <row r="1371" spans="11:12">
      <c r="K1371" t="s">
        <v>1154</v>
      </c>
      <c r="L1371">
        <v>2023</v>
      </c>
    </row>
    <row r="1372" spans="11:12">
      <c r="K1372" t="s">
        <v>617</v>
      </c>
      <c r="L1372">
        <v>2023</v>
      </c>
    </row>
    <row r="1373" spans="11:12">
      <c r="K1373" t="s">
        <v>780</v>
      </c>
      <c r="L1373">
        <v>2023</v>
      </c>
    </row>
    <row r="1374" spans="11:12">
      <c r="K1374" t="s">
        <v>1595</v>
      </c>
      <c r="L1374">
        <v>2023</v>
      </c>
    </row>
    <row r="1375" spans="11:12">
      <c r="K1375" t="s">
        <v>1290</v>
      </c>
      <c r="L1375">
        <v>2023</v>
      </c>
    </row>
    <row r="1376" spans="11:12">
      <c r="K1376" t="s">
        <v>1113</v>
      </c>
      <c r="L1376">
        <v>2023</v>
      </c>
    </row>
    <row r="1377" spans="11:12">
      <c r="K1377" t="s">
        <v>2498</v>
      </c>
      <c r="L1377">
        <v>2023</v>
      </c>
    </row>
    <row r="1378" spans="11:12">
      <c r="K1378" t="s">
        <v>1612</v>
      </c>
      <c r="L1378">
        <v>2023</v>
      </c>
    </row>
    <row r="1379" spans="11:12">
      <c r="K1379" t="s">
        <v>1370</v>
      </c>
      <c r="L1379">
        <v>2023</v>
      </c>
    </row>
    <row r="1380" spans="11:12">
      <c r="K1380" t="s">
        <v>1894</v>
      </c>
      <c r="L1380">
        <v>2023</v>
      </c>
    </row>
    <row r="1381" spans="11:12">
      <c r="K1381" t="s">
        <v>424</v>
      </c>
      <c r="L1381">
        <v>2023</v>
      </c>
    </row>
    <row r="1382" spans="11:12">
      <c r="K1382" t="s">
        <v>407</v>
      </c>
      <c r="L1382">
        <v>2023</v>
      </c>
    </row>
    <row r="1383" spans="11:12">
      <c r="K1383" t="s">
        <v>1341</v>
      </c>
      <c r="L1383">
        <v>2023</v>
      </c>
    </row>
    <row r="1384" spans="11:12">
      <c r="K1384" t="s">
        <v>1445</v>
      </c>
      <c r="L1384">
        <v>2023</v>
      </c>
    </row>
    <row r="1385" spans="11:12">
      <c r="K1385" t="s">
        <v>2500</v>
      </c>
      <c r="L1385">
        <v>2023</v>
      </c>
    </row>
    <row r="1386" spans="11:12">
      <c r="K1386" t="s">
        <v>2387</v>
      </c>
      <c r="L1386">
        <v>2023</v>
      </c>
    </row>
    <row r="1387" spans="11:12">
      <c r="K1387" t="s">
        <v>79</v>
      </c>
      <c r="L1387">
        <v>2023</v>
      </c>
    </row>
    <row r="1388" spans="11:12">
      <c r="K1388" t="s">
        <v>877</v>
      </c>
      <c r="L1388">
        <v>2023</v>
      </c>
    </row>
    <row r="1389" spans="11:12">
      <c r="K1389" t="s">
        <v>815</v>
      </c>
      <c r="L1389">
        <v>2023</v>
      </c>
    </row>
    <row r="1390" spans="11:12">
      <c r="K1390" t="s">
        <v>2109</v>
      </c>
      <c r="L1390">
        <v>2023</v>
      </c>
    </row>
    <row r="1391" spans="11:12">
      <c r="K1391" t="s">
        <v>2385</v>
      </c>
      <c r="L1391">
        <v>2023</v>
      </c>
    </row>
    <row r="1392" spans="11:12">
      <c r="K1392" t="s">
        <v>2224</v>
      </c>
      <c r="L1392">
        <v>2023</v>
      </c>
    </row>
    <row r="1393" spans="11:12">
      <c r="K1393" t="s">
        <v>967</v>
      </c>
      <c r="L1393">
        <v>2023</v>
      </c>
    </row>
    <row r="1394" spans="11:12">
      <c r="K1394" t="s">
        <v>2503</v>
      </c>
      <c r="L1394">
        <v>2023</v>
      </c>
    </row>
    <row r="1395" spans="11:12">
      <c r="K1395" t="s">
        <v>1006</v>
      </c>
      <c r="L1395">
        <v>2023</v>
      </c>
    </row>
    <row r="1396" spans="11:12">
      <c r="K1396" t="s">
        <v>1750</v>
      </c>
      <c r="L1396">
        <v>2023</v>
      </c>
    </row>
    <row r="1397" spans="11:12">
      <c r="K1397" t="s">
        <v>667</v>
      </c>
      <c r="L1397">
        <v>2023</v>
      </c>
    </row>
    <row r="1398" spans="11:12">
      <c r="K1398" t="s">
        <v>2505</v>
      </c>
      <c r="L1398">
        <v>2023</v>
      </c>
    </row>
    <row r="1399" spans="11:12">
      <c r="K1399" t="s">
        <v>539</v>
      </c>
      <c r="L1399">
        <v>2023</v>
      </c>
    </row>
    <row r="1400" spans="11:12">
      <c r="K1400" t="s">
        <v>2244</v>
      </c>
      <c r="L1400">
        <v>2023</v>
      </c>
    </row>
    <row r="1401" spans="11:12">
      <c r="K1401" t="s">
        <v>2506</v>
      </c>
      <c r="L1401">
        <v>2023</v>
      </c>
    </row>
    <row r="1402" spans="11:12">
      <c r="K1402" t="s">
        <v>674</v>
      </c>
      <c r="L1402">
        <v>2023</v>
      </c>
    </row>
    <row r="1403" spans="11:12">
      <c r="K1403" t="s">
        <v>1363</v>
      </c>
      <c r="L1403">
        <v>2023</v>
      </c>
    </row>
    <row r="1404" spans="11:12">
      <c r="K1404" t="s">
        <v>791</v>
      </c>
      <c r="L1404">
        <v>2023</v>
      </c>
    </row>
    <row r="1405" spans="11:12">
      <c r="K1405" t="s">
        <v>2509</v>
      </c>
      <c r="L1405">
        <v>2023</v>
      </c>
    </row>
    <row r="1406" spans="11:12">
      <c r="K1406" t="s">
        <v>71</v>
      </c>
      <c r="L1406">
        <v>2023</v>
      </c>
    </row>
    <row r="1407" spans="11:12">
      <c r="K1407" t="s">
        <v>736</v>
      </c>
      <c r="L1407">
        <v>2023</v>
      </c>
    </row>
    <row r="1408" spans="11:12">
      <c r="K1408" t="s">
        <v>1380</v>
      </c>
      <c r="L1408">
        <v>2023</v>
      </c>
    </row>
    <row r="1409" spans="11:12">
      <c r="K1409" t="s">
        <v>1305</v>
      </c>
      <c r="L1409">
        <v>2023</v>
      </c>
    </row>
    <row r="1410" spans="11:12">
      <c r="K1410" t="s">
        <v>1887</v>
      </c>
      <c r="L1410">
        <v>2023</v>
      </c>
    </row>
    <row r="1411" spans="11:12">
      <c r="K1411" t="s">
        <v>2512</v>
      </c>
      <c r="L1411">
        <v>2023</v>
      </c>
    </row>
    <row r="1412" spans="11:12">
      <c r="K1412" t="s">
        <v>2176</v>
      </c>
      <c r="L1412">
        <v>2023</v>
      </c>
    </row>
    <row r="1413" spans="11:12">
      <c r="K1413" t="s">
        <v>1106</v>
      </c>
      <c r="L1413">
        <v>2023</v>
      </c>
    </row>
    <row r="1414" spans="11:12">
      <c r="K1414" t="s">
        <v>585</v>
      </c>
      <c r="L1414">
        <v>2023</v>
      </c>
    </row>
    <row r="1415" spans="11:12">
      <c r="K1415" t="s">
        <v>258</v>
      </c>
      <c r="L1415">
        <v>2023</v>
      </c>
    </row>
    <row r="1416" spans="11:12">
      <c r="K1416" t="s">
        <v>1079</v>
      </c>
      <c r="L1416">
        <v>2023</v>
      </c>
    </row>
    <row r="1417" spans="11:12">
      <c r="K1417" t="s">
        <v>1069</v>
      </c>
      <c r="L1417">
        <v>2023</v>
      </c>
    </row>
    <row r="1418" spans="11:12">
      <c r="K1418" t="s">
        <v>1968</v>
      </c>
      <c r="L1418">
        <v>2023</v>
      </c>
    </row>
    <row r="1419" spans="11:12">
      <c r="K1419" t="s">
        <v>535</v>
      </c>
      <c r="L1419">
        <v>2023</v>
      </c>
    </row>
    <row r="1420" spans="11:12">
      <c r="K1420" t="s">
        <v>1072</v>
      </c>
      <c r="L1420">
        <v>2023</v>
      </c>
    </row>
    <row r="1421" spans="11:12">
      <c r="K1421" t="s">
        <v>1394</v>
      </c>
      <c r="L1421">
        <v>2023</v>
      </c>
    </row>
    <row r="1422" spans="11:12">
      <c r="K1422" t="s">
        <v>2520</v>
      </c>
      <c r="L1422">
        <v>2023</v>
      </c>
    </row>
    <row r="1423" spans="11:12">
      <c r="K1423" t="s">
        <v>985</v>
      </c>
      <c r="L1423">
        <v>2023</v>
      </c>
    </row>
    <row r="1424" spans="11:12">
      <c r="K1424" t="s">
        <v>1385</v>
      </c>
      <c r="L1424">
        <v>2023</v>
      </c>
    </row>
    <row r="1425" spans="11:12">
      <c r="K1425" t="s">
        <v>679</v>
      </c>
      <c r="L1425">
        <v>2023</v>
      </c>
    </row>
    <row r="1426" spans="11:12">
      <c r="K1426" t="s">
        <v>994</v>
      </c>
      <c r="L1426">
        <v>2023</v>
      </c>
    </row>
    <row r="1427" spans="11:12">
      <c r="K1427" t="s">
        <v>1780</v>
      </c>
      <c r="L1427">
        <v>2023</v>
      </c>
    </row>
    <row r="1428" spans="11:12">
      <c r="K1428" t="s">
        <v>1659</v>
      </c>
      <c r="L1428">
        <v>2023</v>
      </c>
    </row>
    <row r="1429" spans="11:12">
      <c r="K1429" t="s">
        <v>1570</v>
      </c>
      <c r="L1429">
        <v>2023</v>
      </c>
    </row>
    <row r="1430" spans="11:12">
      <c r="K1430" t="s">
        <v>630</v>
      </c>
      <c r="L1430">
        <v>2023</v>
      </c>
    </row>
    <row r="1431" spans="11:12">
      <c r="K1431" t="s">
        <v>1373</v>
      </c>
      <c r="L1431">
        <v>2023</v>
      </c>
    </row>
    <row r="1432" spans="11:12">
      <c r="K1432" t="s">
        <v>11</v>
      </c>
      <c r="L1432">
        <v>2023</v>
      </c>
    </row>
    <row r="1433" spans="11:12">
      <c r="K1433" t="s">
        <v>206</v>
      </c>
      <c r="L1433">
        <v>2023</v>
      </c>
    </row>
    <row r="1434" spans="11:12">
      <c r="K1434" t="s">
        <v>2413</v>
      </c>
      <c r="L1434">
        <v>2023</v>
      </c>
    </row>
    <row r="1435" spans="11:12">
      <c r="K1435" t="s">
        <v>1428</v>
      </c>
      <c r="L1435">
        <v>2023</v>
      </c>
    </row>
    <row r="1436" spans="11:12">
      <c r="K1436" t="s">
        <v>195</v>
      </c>
      <c r="L1436">
        <v>2023</v>
      </c>
    </row>
    <row r="1437" spans="11:12">
      <c r="K1437" t="s">
        <v>470</v>
      </c>
      <c r="L1437">
        <v>2023</v>
      </c>
    </row>
    <row r="1438" spans="11:12">
      <c r="K1438" t="s">
        <v>1007</v>
      </c>
      <c r="L1438">
        <v>2023</v>
      </c>
    </row>
    <row r="1439" spans="11:12">
      <c r="K1439" t="s">
        <v>1288</v>
      </c>
      <c r="L1439">
        <v>2023</v>
      </c>
    </row>
    <row r="1440" spans="11:12">
      <c r="K1440" t="s">
        <v>734</v>
      </c>
      <c r="L1440">
        <v>2023</v>
      </c>
    </row>
    <row r="1441" spans="11:12">
      <c r="K1441" t="s">
        <v>316</v>
      </c>
      <c r="L1441">
        <v>2023</v>
      </c>
    </row>
    <row r="1442" spans="11:12">
      <c r="K1442" t="s">
        <v>1519</v>
      </c>
      <c r="L1442">
        <v>2023</v>
      </c>
    </row>
    <row r="1443" spans="11:12">
      <c r="K1443" t="s">
        <v>445</v>
      </c>
      <c r="L1443">
        <v>2023</v>
      </c>
    </row>
    <row r="1444" spans="11:12">
      <c r="K1444" t="s">
        <v>1654</v>
      </c>
      <c r="L1444">
        <v>2023</v>
      </c>
    </row>
    <row r="1445" spans="11:12">
      <c r="K1445" t="s">
        <v>214</v>
      </c>
      <c r="L1445">
        <v>2023</v>
      </c>
    </row>
    <row r="1446" spans="11:12">
      <c r="K1446" t="s">
        <v>321</v>
      </c>
      <c r="L1446">
        <v>2023</v>
      </c>
    </row>
    <row r="1447" spans="11:12">
      <c r="K1447" t="s">
        <v>2528</v>
      </c>
      <c r="L1447">
        <v>2023</v>
      </c>
    </row>
    <row r="1448" spans="11:12">
      <c r="K1448" t="s">
        <v>1773</v>
      </c>
      <c r="L1448">
        <v>2023</v>
      </c>
    </row>
    <row r="1449" spans="11:12">
      <c r="K1449" t="s">
        <v>1468</v>
      </c>
      <c r="L1449">
        <v>2023</v>
      </c>
    </row>
    <row r="1450" spans="11:12">
      <c r="K1450" t="s">
        <v>1407</v>
      </c>
      <c r="L1450">
        <v>2023</v>
      </c>
    </row>
    <row r="1451" spans="11:12">
      <c r="K1451" t="s">
        <v>1014</v>
      </c>
      <c r="L1451">
        <v>2023</v>
      </c>
    </row>
    <row r="1452" spans="11:12">
      <c r="K1452" t="s">
        <v>248</v>
      </c>
      <c r="L1452">
        <v>2023</v>
      </c>
    </row>
    <row r="1453" spans="11:12">
      <c r="K1453" t="s">
        <v>2530</v>
      </c>
      <c r="L1453">
        <v>2023</v>
      </c>
    </row>
    <row r="1454" spans="11:12">
      <c r="K1454" t="s">
        <v>912</v>
      </c>
      <c r="L1454">
        <v>2023</v>
      </c>
    </row>
    <row r="1455" spans="11:12">
      <c r="K1455" t="s">
        <v>382</v>
      </c>
      <c r="L1455">
        <v>2023</v>
      </c>
    </row>
    <row r="1456" spans="11:12">
      <c r="K1456" t="s">
        <v>525</v>
      </c>
      <c r="L1456">
        <v>2023</v>
      </c>
    </row>
    <row r="1457" spans="11:12">
      <c r="K1457" t="s">
        <v>868</v>
      </c>
      <c r="L1457">
        <v>2023</v>
      </c>
    </row>
    <row r="1458" spans="11:12">
      <c r="K1458" t="s">
        <v>1477</v>
      </c>
      <c r="L1458">
        <v>2023</v>
      </c>
    </row>
    <row r="1459" spans="11:12">
      <c r="K1459" t="s">
        <v>1057</v>
      </c>
      <c r="L1459">
        <v>2023</v>
      </c>
    </row>
    <row r="1460" spans="11:12">
      <c r="K1460" t="s">
        <v>1785</v>
      </c>
      <c r="L1460">
        <v>2023</v>
      </c>
    </row>
    <row r="1461" spans="11:12">
      <c r="K1461" t="s">
        <v>1753</v>
      </c>
      <c r="L1461">
        <v>2023</v>
      </c>
    </row>
    <row r="1462" spans="11:12">
      <c r="K1462" t="s">
        <v>2300</v>
      </c>
      <c r="L1462">
        <v>2023</v>
      </c>
    </row>
    <row r="1463" spans="11:12">
      <c r="K1463" t="s">
        <v>2536</v>
      </c>
      <c r="L1463">
        <v>2023</v>
      </c>
    </row>
    <row r="1464" spans="11:12">
      <c r="K1464" t="s">
        <v>659</v>
      </c>
      <c r="L1464">
        <v>2023</v>
      </c>
    </row>
    <row r="1465" spans="11:12">
      <c r="K1465" t="s">
        <v>601</v>
      </c>
      <c r="L1465">
        <v>2023</v>
      </c>
    </row>
    <row r="1466" spans="11:12">
      <c r="K1466" t="s">
        <v>1537</v>
      </c>
      <c r="L1466">
        <v>2023</v>
      </c>
    </row>
    <row r="1467" spans="11:12">
      <c r="K1467" t="s">
        <v>973</v>
      </c>
      <c r="L1467">
        <v>2023</v>
      </c>
    </row>
    <row r="1468" spans="11:12">
      <c r="K1468" t="s">
        <v>1198</v>
      </c>
      <c r="L1468">
        <v>2023</v>
      </c>
    </row>
    <row r="1469" spans="11:12">
      <c r="K1469" t="s">
        <v>1244</v>
      </c>
      <c r="L1469">
        <v>2023</v>
      </c>
    </row>
    <row r="1470" spans="11:12">
      <c r="K1470" t="s">
        <v>2090</v>
      </c>
      <c r="L1470">
        <v>2023</v>
      </c>
    </row>
    <row r="1471" spans="11:12">
      <c r="K1471" t="s">
        <v>607</v>
      </c>
      <c r="L1471">
        <v>2023</v>
      </c>
    </row>
    <row r="1472" spans="11:12">
      <c r="K1472" t="s">
        <v>716</v>
      </c>
      <c r="L1472">
        <v>2023</v>
      </c>
    </row>
    <row r="1473" spans="11:12">
      <c r="K1473" t="s">
        <v>282</v>
      </c>
      <c r="L1473">
        <v>2023</v>
      </c>
    </row>
    <row r="1474" spans="11:12">
      <c r="K1474" t="s">
        <v>1868</v>
      </c>
      <c r="L1474">
        <v>2023</v>
      </c>
    </row>
    <row r="1475" spans="11:12">
      <c r="K1475" t="s">
        <v>2539</v>
      </c>
      <c r="L1475">
        <v>2023</v>
      </c>
    </row>
    <row r="1476" spans="11:12">
      <c r="K1476" t="s">
        <v>2542</v>
      </c>
      <c r="L1476">
        <v>2023</v>
      </c>
    </row>
    <row r="1477" spans="11:12">
      <c r="K1477" t="s">
        <v>1179</v>
      </c>
      <c r="L1477">
        <v>2023</v>
      </c>
    </row>
    <row r="1478" spans="11:12">
      <c r="K1478" t="s">
        <v>2543</v>
      </c>
      <c r="L1478">
        <v>2023</v>
      </c>
    </row>
    <row r="1479" spans="11:12">
      <c r="K1479" t="s">
        <v>648</v>
      </c>
      <c r="L1479">
        <v>2023</v>
      </c>
    </row>
    <row r="1480" spans="11:12">
      <c r="K1480" t="s">
        <v>1473</v>
      </c>
      <c r="L1480">
        <v>2023</v>
      </c>
    </row>
    <row r="1481" spans="11:12">
      <c r="K1481" t="s">
        <v>1586</v>
      </c>
      <c r="L1481">
        <v>2023</v>
      </c>
    </row>
    <row r="1482" spans="11:12">
      <c r="K1482" t="s">
        <v>2039</v>
      </c>
      <c r="L1482">
        <v>2023</v>
      </c>
    </row>
    <row r="1483" spans="11:12">
      <c r="K1483" t="s">
        <v>452</v>
      </c>
      <c r="L1483">
        <v>2023</v>
      </c>
    </row>
    <row r="1484" spans="11:12">
      <c r="K1484" t="s">
        <v>1337</v>
      </c>
      <c r="L1484">
        <v>2023</v>
      </c>
    </row>
    <row r="1485" spans="11:12">
      <c r="K1485" t="s">
        <v>60</v>
      </c>
      <c r="L1485">
        <v>2023</v>
      </c>
    </row>
    <row r="1486" spans="11:12">
      <c r="K1486" t="s">
        <v>2546</v>
      </c>
      <c r="L1486">
        <v>2023</v>
      </c>
    </row>
    <row r="1487" spans="11:12">
      <c r="K1487" t="s">
        <v>2190</v>
      </c>
      <c r="L1487">
        <v>2023</v>
      </c>
    </row>
    <row r="1488" spans="11:12">
      <c r="K1488" t="s">
        <v>1142</v>
      </c>
      <c r="L1488">
        <v>2023</v>
      </c>
    </row>
    <row r="1489" spans="11:12">
      <c r="K1489" t="s">
        <v>953</v>
      </c>
      <c r="L1489">
        <v>2023</v>
      </c>
    </row>
    <row r="1490" spans="11:12">
      <c r="K1490" t="s">
        <v>578</v>
      </c>
      <c r="L1490">
        <v>2023</v>
      </c>
    </row>
    <row r="1491" spans="11:12">
      <c r="K1491" t="s">
        <v>2550</v>
      </c>
      <c r="L1491">
        <v>2023</v>
      </c>
    </row>
    <row r="1492" spans="11:12">
      <c r="K1492" t="s">
        <v>893</v>
      </c>
      <c r="L1492">
        <v>2023</v>
      </c>
    </row>
    <row r="1493" spans="11:12">
      <c r="K1493" t="s">
        <v>1879</v>
      </c>
      <c r="L1493">
        <v>2023</v>
      </c>
    </row>
    <row r="1494" spans="11:12">
      <c r="K1494" t="s">
        <v>1939</v>
      </c>
      <c r="L1494">
        <v>2023</v>
      </c>
    </row>
    <row r="1495" spans="11:12">
      <c r="K1495" t="s">
        <v>2552</v>
      </c>
      <c r="L1495">
        <v>2023</v>
      </c>
    </row>
    <row r="1496" spans="11:12">
      <c r="K1496" t="s">
        <v>1487</v>
      </c>
      <c r="L1496">
        <v>2023</v>
      </c>
    </row>
    <row r="1497" spans="11:12">
      <c r="K1497" t="s">
        <v>153</v>
      </c>
      <c r="L1497">
        <v>2023</v>
      </c>
    </row>
    <row r="1498" spans="11:12">
      <c r="K1498" t="s">
        <v>569</v>
      </c>
      <c r="L1498">
        <v>2023</v>
      </c>
    </row>
    <row r="1499" spans="11:12">
      <c r="K1499" t="s">
        <v>1557</v>
      </c>
      <c r="L1499">
        <v>2023</v>
      </c>
    </row>
    <row r="1500" spans="11:12">
      <c r="K1500" t="s">
        <v>1140</v>
      </c>
      <c r="L1500">
        <v>2023</v>
      </c>
    </row>
    <row r="1501" spans="11:12">
      <c r="K1501" t="s">
        <v>2207</v>
      </c>
      <c r="L1501">
        <v>2023</v>
      </c>
    </row>
    <row r="1502" spans="11:12">
      <c r="K1502" t="s">
        <v>2102</v>
      </c>
      <c r="L1502">
        <v>2023</v>
      </c>
    </row>
    <row r="1503" spans="11:12">
      <c r="K1503" t="s">
        <v>1805</v>
      </c>
      <c r="L1503">
        <v>2023</v>
      </c>
    </row>
    <row r="1504" spans="11:12">
      <c r="K1504" t="s">
        <v>1844</v>
      </c>
      <c r="L1504">
        <v>2023</v>
      </c>
    </row>
    <row r="1505" spans="11:12">
      <c r="K1505" t="s">
        <v>467</v>
      </c>
      <c r="L1505">
        <v>2023</v>
      </c>
    </row>
    <row r="1506" spans="11:12">
      <c r="K1506" t="s">
        <v>1686</v>
      </c>
      <c r="L1506">
        <v>2023</v>
      </c>
    </row>
    <row r="1507" spans="11:12">
      <c r="K1507" t="s">
        <v>102</v>
      </c>
      <c r="L1507">
        <v>2023</v>
      </c>
    </row>
    <row r="1508" spans="11:12">
      <c r="K1508" t="s">
        <v>1671</v>
      </c>
      <c r="L1508">
        <v>2023</v>
      </c>
    </row>
    <row r="1509" spans="11:12">
      <c r="K1509" t="s">
        <v>464</v>
      </c>
      <c r="L1509">
        <v>2023</v>
      </c>
    </row>
    <row r="1510" spans="11:12">
      <c r="K1510" t="s">
        <v>1005</v>
      </c>
      <c r="L1510">
        <v>2023</v>
      </c>
    </row>
    <row r="1511" spans="11:12">
      <c r="K1511" t="s">
        <v>2558</v>
      </c>
      <c r="L1511">
        <v>2023</v>
      </c>
    </row>
    <row r="1512" spans="11:12">
      <c r="K1512" t="s">
        <v>2119</v>
      </c>
      <c r="L1512">
        <v>2023</v>
      </c>
    </row>
    <row r="1513" spans="11:12">
      <c r="K1513" t="s">
        <v>1633</v>
      </c>
      <c r="L1513">
        <v>2023</v>
      </c>
    </row>
    <row r="1514" spans="11:12">
      <c r="K1514" t="s">
        <v>1216</v>
      </c>
      <c r="L1514">
        <v>2023</v>
      </c>
    </row>
    <row r="1515" spans="11:12">
      <c r="K1515" t="s">
        <v>2560</v>
      </c>
      <c r="L1515">
        <v>2023</v>
      </c>
    </row>
    <row r="1516" spans="11:12">
      <c r="K1516" t="s">
        <v>435</v>
      </c>
      <c r="L1516">
        <v>2023</v>
      </c>
    </row>
    <row r="1517" spans="11:12">
      <c r="K1517" t="s">
        <v>1078</v>
      </c>
      <c r="L1517">
        <v>2023</v>
      </c>
    </row>
    <row r="1518" spans="11:12">
      <c r="K1518" t="s">
        <v>63</v>
      </c>
      <c r="L1518">
        <v>2023</v>
      </c>
    </row>
    <row r="1519" spans="11:12">
      <c r="K1519" t="s">
        <v>2103</v>
      </c>
      <c r="L1519">
        <v>2023</v>
      </c>
    </row>
    <row r="1520" spans="11:12">
      <c r="K1520" t="s">
        <v>841</v>
      </c>
      <c r="L1520">
        <v>2023</v>
      </c>
    </row>
    <row r="1521" spans="11:12">
      <c r="K1521" t="s">
        <v>1336</v>
      </c>
      <c r="L1521">
        <v>2023</v>
      </c>
    </row>
    <row r="1522" spans="11:12">
      <c r="K1522" t="s">
        <v>965</v>
      </c>
      <c r="L1522">
        <v>2023</v>
      </c>
    </row>
    <row r="1523" spans="11:12">
      <c r="K1523" t="s">
        <v>2296</v>
      </c>
      <c r="L1523">
        <v>2023</v>
      </c>
    </row>
    <row r="1524" spans="11:12">
      <c r="K1524" t="s">
        <v>2383</v>
      </c>
      <c r="L1524">
        <v>2023</v>
      </c>
    </row>
    <row r="1525" spans="11:12">
      <c r="K1525" t="s">
        <v>1048</v>
      </c>
      <c r="L1525">
        <v>2023</v>
      </c>
    </row>
    <row r="1526" spans="11:12">
      <c r="K1526" t="s">
        <v>598</v>
      </c>
      <c r="L1526">
        <v>2023</v>
      </c>
    </row>
    <row r="1527" spans="11:12">
      <c r="K1527" t="s">
        <v>1922</v>
      </c>
      <c r="L1527">
        <v>2023</v>
      </c>
    </row>
    <row r="1528" spans="11:12">
      <c r="K1528" t="s">
        <v>863</v>
      </c>
      <c r="L1528">
        <v>2023</v>
      </c>
    </row>
    <row r="1529" spans="11:12">
      <c r="K1529" t="s">
        <v>1799</v>
      </c>
      <c r="L1529">
        <v>2023</v>
      </c>
    </row>
    <row r="1530" spans="11:12">
      <c r="K1530" t="s">
        <v>204</v>
      </c>
      <c r="L1530">
        <v>2023</v>
      </c>
    </row>
    <row r="1531" spans="11:12">
      <c r="K1531" t="s">
        <v>1795</v>
      </c>
      <c r="L1531">
        <v>2023</v>
      </c>
    </row>
    <row r="1532" spans="11:12">
      <c r="K1532" t="s">
        <v>1175</v>
      </c>
      <c r="L1532">
        <v>2023</v>
      </c>
    </row>
    <row r="1533" spans="11:12">
      <c r="K1533" t="s">
        <v>556</v>
      </c>
      <c r="L1533">
        <v>2023</v>
      </c>
    </row>
    <row r="1534" spans="11:12">
      <c r="K1534" t="s">
        <v>359</v>
      </c>
      <c r="L1534">
        <v>2023</v>
      </c>
    </row>
    <row r="1535" spans="11:12">
      <c r="K1535" t="s">
        <v>2023</v>
      </c>
      <c r="L1535">
        <v>2023</v>
      </c>
    </row>
    <row r="1536" spans="11:12">
      <c r="K1536" t="s">
        <v>1552</v>
      </c>
      <c r="L1536">
        <v>2023</v>
      </c>
    </row>
    <row r="1537" spans="11:12">
      <c r="K1537" t="s">
        <v>2139</v>
      </c>
      <c r="L1537">
        <v>2023</v>
      </c>
    </row>
    <row r="1538" spans="11:12">
      <c r="K1538" t="s">
        <v>773</v>
      </c>
      <c r="L1538">
        <v>2023</v>
      </c>
    </row>
    <row r="1539" spans="11:12">
      <c r="K1539" t="s">
        <v>2566</v>
      </c>
      <c r="L1539">
        <v>2023</v>
      </c>
    </row>
    <row r="1540" spans="11:12">
      <c r="K1540" t="s">
        <v>750</v>
      </c>
      <c r="L1540">
        <v>2023</v>
      </c>
    </row>
    <row r="1541" spans="11:12">
      <c r="K1541" t="s">
        <v>1440</v>
      </c>
      <c r="L1541">
        <v>2023</v>
      </c>
    </row>
    <row r="1542" spans="11:12">
      <c r="K1542" t="s">
        <v>500</v>
      </c>
      <c r="L1542">
        <v>2023</v>
      </c>
    </row>
    <row r="1543" spans="11:12">
      <c r="K1543" t="s">
        <v>691</v>
      </c>
      <c r="L1543">
        <v>2023</v>
      </c>
    </row>
    <row r="1544" spans="11:12">
      <c r="K1544" t="s">
        <v>614</v>
      </c>
      <c r="L1544">
        <v>2023</v>
      </c>
    </row>
    <row r="1545" spans="11:12">
      <c r="K1545" t="s">
        <v>1223</v>
      </c>
      <c r="L1545">
        <v>2023</v>
      </c>
    </row>
    <row r="1546" spans="11:12">
      <c r="K1546" t="s">
        <v>2044</v>
      </c>
      <c r="L1546">
        <v>2023</v>
      </c>
    </row>
    <row r="1547" spans="11:12">
      <c r="K1547" t="s">
        <v>1163</v>
      </c>
      <c r="L1547">
        <v>2023</v>
      </c>
    </row>
    <row r="1548" spans="11:12">
      <c r="K1548" t="s">
        <v>1928</v>
      </c>
      <c r="L1548">
        <v>2023</v>
      </c>
    </row>
    <row r="1549" spans="11:12">
      <c r="K1549" t="s">
        <v>2085</v>
      </c>
      <c r="L1549">
        <v>2023</v>
      </c>
    </row>
    <row r="1550" spans="11:12">
      <c r="K1550" t="s">
        <v>227</v>
      </c>
      <c r="L1550">
        <v>2023</v>
      </c>
    </row>
    <row r="1551" spans="11:12">
      <c r="K1551" t="s">
        <v>1559</v>
      </c>
      <c r="L1551">
        <v>2023</v>
      </c>
    </row>
    <row r="1552" spans="11:12">
      <c r="K1552" t="s">
        <v>489</v>
      </c>
      <c r="L1552">
        <v>2023</v>
      </c>
    </row>
    <row r="1553" spans="11:12">
      <c r="K1553" t="s">
        <v>241</v>
      </c>
      <c r="L1553">
        <v>2023</v>
      </c>
    </row>
    <row r="1554" spans="11:12">
      <c r="K1554" t="s">
        <v>307</v>
      </c>
      <c r="L1554">
        <v>2023</v>
      </c>
    </row>
    <row r="1555" spans="11:12">
      <c r="K1555" t="s">
        <v>1044</v>
      </c>
      <c r="L1555">
        <v>2023</v>
      </c>
    </row>
    <row r="1556" spans="11:12">
      <c r="K1556" t="s">
        <v>1616</v>
      </c>
      <c r="L1556">
        <v>2023</v>
      </c>
    </row>
    <row r="1557" spans="11:12">
      <c r="K1557" t="s">
        <v>744</v>
      </c>
      <c r="L1557">
        <v>2023</v>
      </c>
    </row>
    <row r="1558" spans="11:12">
      <c r="K1558" t="s">
        <v>2575</v>
      </c>
      <c r="L1558">
        <v>2023</v>
      </c>
    </row>
    <row r="1559" spans="11:12">
      <c r="K1559" t="s">
        <v>1540</v>
      </c>
      <c r="L1559">
        <v>2023</v>
      </c>
    </row>
    <row r="1560" spans="11:12">
      <c r="K1560" t="s">
        <v>2321</v>
      </c>
      <c r="L1560">
        <v>2023</v>
      </c>
    </row>
    <row r="1561" spans="11:12">
      <c r="K1561" t="s">
        <v>975</v>
      </c>
      <c r="L1561">
        <v>2023</v>
      </c>
    </row>
    <row r="1562" spans="11:12">
      <c r="K1562" t="s">
        <v>1674</v>
      </c>
      <c r="L1562">
        <v>2023</v>
      </c>
    </row>
    <row r="1563" spans="11:12">
      <c r="K1563" t="s">
        <v>1824</v>
      </c>
      <c r="L1563">
        <v>2023</v>
      </c>
    </row>
    <row r="1564" spans="11:12">
      <c r="K1564" t="s">
        <v>1645</v>
      </c>
      <c r="L1564">
        <v>2023</v>
      </c>
    </row>
    <row r="1565" spans="11:12">
      <c r="K1565" t="s">
        <v>2380</v>
      </c>
      <c r="L1565">
        <v>2023</v>
      </c>
    </row>
    <row r="1566" spans="11:12">
      <c r="K1566" t="s">
        <v>1499</v>
      </c>
      <c r="L1566">
        <v>2023</v>
      </c>
    </row>
    <row r="1567" spans="11:12">
      <c r="K1567" t="s">
        <v>412</v>
      </c>
      <c r="L1567">
        <v>2023</v>
      </c>
    </row>
    <row r="1568" spans="11:12">
      <c r="K1568" t="s">
        <v>357</v>
      </c>
      <c r="L1568">
        <v>2023</v>
      </c>
    </row>
    <row r="1569" spans="11:12">
      <c r="K1569" t="s">
        <v>2580</v>
      </c>
      <c r="L1569">
        <v>2023</v>
      </c>
    </row>
    <row r="1570" spans="11:12">
      <c r="K1570" t="s">
        <v>2582</v>
      </c>
      <c r="L1570">
        <v>2023</v>
      </c>
    </row>
    <row r="1571" spans="11:12">
      <c r="K1571" t="s">
        <v>1783</v>
      </c>
      <c r="L1571">
        <v>2023</v>
      </c>
    </row>
    <row r="1572" spans="11:12">
      <c r="K1572" t="s">
        <v>1095</v>
      </c>
      <c r="L1572">
        <v>2023</v>
      </c>
    </row>
    <row r="1573" spans="11:12">
      <c r="K1573" t="s">
        <v>880</v>
      </c>
      <c r="L1573">
        <v>2023</v>
      </c>
    </row>
    <row r="1574" spans="11:12">
      <c r="K1574" t="s">
        <v>1165</v>
      </c>
      <c r="L1574">
        <v>2023</v>
      </c>
    </row>
    <row r="1575" spans="11:12">
      <c r="K1575" t="s">
        <v>1964</v>
      </c>
      <c r="L1575">
        <v>2023</v>
      </c>
    </row>
    <row r="1576" spans="11:12">
      <c r="K1576" t="s">
        <v>980</v>
      </c>
      <c r="L1576">
        <v>2023</v>
      </c>
    </row>
    <row r="1577" spans="11:12">
      <c r="K1577" t="s">
        <v>1454</v>
      </c>
      <c r="L1577">
        <v>2023</v>
      </c>
    </row>
    <row r="1578" spans="11:12">
      <c r="K1578" t="s">
        <v>927</v>
      </c>
      <c r="L1578">
        <v>2023</v>
      </c>
    </row>
    <row r="1579" spans="11:12">
      <c r="K1579" t="s">
        <v>1377</v>
      </c>
      <c r="L1579">
        <v>2023</v>
      </c>
    </row>
    <row r="1580" spans="11:12">
      <c r="K1580" t="s">
        <v>1213</v>
      </c>
      <c r="L1580">
        <v>2023</v>
      </c>
    </row>
    <row r="1581" spans="11:12">
      <c r="K1581" t="s">
        <v>169</v>
      </c>
      <c r="L1581">
        <v>2023</v>
      </c>
    </row>
    <row r="1582" spans="11:12">
      <c r="K1582" t="s">
        <v>999</v>
      </c>
      <c r="L1582">
        <v>2023</v>
      </c>
    </row>
    <row r="1583" spans="11:12">
      <c r="K1583" t="s">
        <v>1469</v>
      </c>
      <c r="L1583">
        <v>2023</v>
      </c>
    </row>
    <row r="1584" spans="11:12">
      <c r="K1584" t="s">
        <v>632</v>
      </c>
      <c r="L1584">
        <v>2023</v>
      </c>
    </row>
    <row r="1585" spans="11:12">
      <c r="K1585" t="s">
        <v>1729</v>
      </c>
      <c r="L1585">
        <v>2023</v>
      </c>
    </row>
    <row r="1586" spans="11:12">
      <c r="K1586" t="s">
        <v>947</v>
      </c>
      <c r="L1586">
        <v>2023</v>
      </c>
    </row>
    <row r="1587" spans="11:12">
      <c r="K1587" t="s">
        <v>1778</v>
      </c>
      <c r="L1587">
        <v>2023</v>
      </c>
    </row>
    <row r="1588" spans="11:12">
      <c r="K1588" t="s">
        <v>1303</v>
      </c>
      <c r="L1588">
        <v>2023</v>
      </c>
    </row>
    <row r="1589" spans="11:12">
      <c r="K1589" t="s">
        <v>2586</v>
      </c>
      <c r="L1589">
        <v>2023</v>
      </c>
    </row>
    <row r="1590" spans="11:12">
      <c r="K1590" t="s">
        <v>1147</v>
      </c>
      <c r="L1590">
        <v>2023</v>
      </c>
    </row>
    <row r="1591" spans="11:12">
      <c r="K1591" t="s">
        <v>2273</v>
      </c>
      <c r="L1591">
        <v>2023</v>
      </c>
    </row>
    <row r="1592" spans="11:12">
      <c r="K1592" t="s">
        <v>1523</v>
      </c>
      <c r="L1592">
        <v>2023</v>
      </c>
    </row>
    <row r="1593" spans="11:12">
      <c r="K1593" t="s">
        <v>184</v>
      </c>
      <c r="L1593">
        <v>2023</v>
      </c>
    </row>
    <row r="1594" spans="11:12">
      <c r="K1594" t="s">
        <v>1090</v>
      </c>
      <c r="L1594">
        <v>2023</v>
      </c>
    </row>
    <row r="1595" spans="11:12">
      <c r="K1595" t="s">
        <v>714</v>
      </c>
      <c r="L1595">
        <v>2023</v>
      </c>
    </row>
    <row r="1596" spans="11:12">
      <c r="K1596" t="s">
        <v>1491</v>
      </c>
      <c r="L1596">
        <v>2023</v>
      </c>
    </row>
    <row r="1597" spans="11:12">
      <c r="K1597" t="s">
        <v>507</v>
      </c>
      <c r="L1597">
        <v>2023</v>
      </c>
    </row>
    <row r="1598" spans="11:12">
      <c r="K1598" t="s">
        <v>426</v>
      </c>
      <c r="L1598">
        <v>2023</v>
      </c>
    </row>
    <row r="1599" spans="11:12">
      <c r="K1599" t="s">
        <v>1025</v>
      </c>
      <c r="L1599">
        <v>2023</v>
      </c>
    </row>
    <row r="1600" spans="11:12">
      <c r="K1600" t="s">
        <v>1546</v>
      </c>
      <c r="L1600">
        <v>2023</v>
      </c>
    </row>
    <row r="1601" spans="11:12">
      <c r="K1601" t="s">
        <v>1678</v>
      </c>
      <c r="L1601">
        <v>2023</v>
      </c>
    </row>
    <row r="1602" spans="11:12">
      <c r="K1602" t="s">
        <v>673</v>
      </c>
      <c r="L1602">
        <v>2023</v>
      </c>
    </row>
    <row r="1603" spans="11:12">
      <c r="K1603" t="s">
        <v>2587</v>
      </c>
      <c r="L1603">
        <v>2023</v>
      </c>
    </row>
    <row r="1604" spans="11:12">
      <c r="K1604" t="s">
        <v>904</v>
      </c>
      <c r="L1604">
        <v>2023</v>
      </c>
    </row>
    <row r="1605" spans="11:12">
      <c r="K1605" t="s">
        <v>1133</v>
      </c>
      <c r="L1605">
        <v>2023</v>
      </c>
    </row>
    <row r="1606" spans="11:12">
      <c r="K1606" t="s">
        <v>1040</v>
      </c>
      <c r="L1606">
        <v>2023</v>
      </c>
    </row>
    <row r="1607" spans="11:12">
      <c r="K1607" t="s">
        <v>959</v>
      </c>
      <c r="L1607">
        <v>2023</v>
      </c>
    </row>
    <row r="1608" spans="11:12">
      <c r="K1608" t="s">
        <v>111</v>
      </c>
      <c r="L1608">
        <v>2023</v>
      </c>
    </row>
    <row r="1609" spans="11:12">
      <c r="K1609" t="s">
        <v>2066</v>
      </c>
      <c r="L1609">
        <v>2023</v>
      </c>
    </row>
    <row r="1610" spans="11:12">
      <c r="K1610" t="s">
        <v>1787</v>
      </c>
      <c r="L1610">
        <v>2023</v>
      </c>
    </row>
    <row r="1611" spans="11:12">
      <c r="K1611" t="s">
        <v>1743</v>
      </c>
      <c r="L1611">
        <v>2023</v>
      </c>
    </row>
    <row r="1612" spans="11:12">
      <c r="K1612" t="s">
        <v>1066</v>
      </c>
      <c r="L1612">
        <v>2023</v>
      </c>
    </row>
    <row r="1613" spans="11:12">
      <c r="K1613" t="s">
        <v>2367</v>
      </c>
      <c r="L1613">
        <v>2023</v>
      </c>
    </row>
    <row r="1614" spans="11:12">
      <c r="K1614" t="s">
        <v>2250</v>
      </c>
      <c r="L1614">
        <v>2023</v>
      </c>
    </row>
    <row r="1615" spans="11:12">
      <c r="K1615" t="s">
        <v>1548</v>
      </c>
      <c r="L1615">
        <v>2023</v>
      </c>
    </row>
    <row r="1616" spans="11:12">
      <c r="K1616" t="s">
        <v>378</v>
      </c>
      <c r="L1616">
        <v>2023</v>
      </c>
    </row>
    <row r="1617" spans="11:12">
      <c r="K1617" t="s">
        <v>1322</v>
      </c>
      <c r="L1617">
        <v>2023</v>
      </c>
    </row>
    <row r="1618" spans="11:12">
      <c r="K1618" t="s">
        <v>564</v>
      </c>
      <c r="L1618">
        <v>2023</v>
      </c>
    </row>
    <row r="1619" spans="11:12">
      <c r="K1619" t="s">
        <v>1225</v>
      </c>
      <c r="L1619">
        <v>2023</v>
      </c>
    </row>
    <row r="1620" spans="11:12">
      <c r="K1620" t="s">
        <v>1284</v>
      </c>
      <c r="L1620">
        <v>2023</v>
      </c>
    </row>
    <row r="1621" spans="11:12">
      <c r="K1621" t="s">
        <v>1947</v>
      </c>
      <c r="L1621">
        <v>2023</v>
      </c>
    </row>
    <row r="1622" spans="11:12">
      <c r="K1622" t="s">
        <v>1236</v>
      </c>
      <c r="L1622">
        <v>2023</v>
      </c>
    </row>
    <row r="1623" spans="11:12">
      <c r="K1623" t="s">
        <v>448</v>
      </c>
      <c r="L1623">
        <v>2023</v>
      </c>
    </row>
    <row r="1624" spans="11:12">
      <c r="K1624" t="s">
        <v>2382</v>
      </c>
      <c r="L1624">
        <v>2023</v>
      </c>
    </row>
    <row r="1625" spans="11:12">
      <c r="K1625" t="s">
        <v>396</v>
      </c>
      <c r="L1625">
        <v>2023</v>
      </c>
    </row>
    <row r="1626" spans="11:12">
      <c r="K1626" t="s">
        <v>87</v>
      </c>
      <c r="L1626">
        <v>2023</v>
      </c>
    </row>
    <row r="1627" spans="11:12">
      <c r="K1627" t="s">
        <v>127</v>
      </c>
      <c r="L1627">
        <v>2023</v>
      </c>
    </row>
    <row r="1628" spans="11:12">
      <c r="K1628" t="s">
        <v>199</v>
      </c>
      <c r="L1628">
        <v>2023</v>
      </c>
    </row>
    <row r="1629" spans="11:12">
      <c r="K1629" t="s">
        <v>150</v>
      </c>
      <c r="L1629">
        <v>2023</v>
      </c>
    </row>
    <row r="1630" spans="11:12">
      <c r="K1630" t="s">
        <v>1104</v>
      </c>
      <c r="L1630">
        <v>2023</v>
      </c>
    </row>
    <row r="1631" spans="11:12">
      <c r="K1631" t="s">
        <v>914</v>
      </c>
      <c r="L1631">
        <v>2023</v>
      </c>
    </row>
    <row r="1632" spans="11:12">
      <c r="K1632" t="s">
        <v>1281</v>
      </c>
      <c r="L1632">
        <v>2023</v>
      </c>
    </row>
    <row r="1633" spans="11:12">
      <c r="K1633" t="s">
        <v>1573</v>
      </c>
      <c r="L1633">
        <v>2023</v>
      </c>
    </row>
    <row r="1634" spans="11:12">
      <c r="K1634" t="s">
        <v>1973</v>
      </c>
      <c r="L1634">
        <v>2023</v>
      </c>
    </row>
    <row r="1635" spans="11:12">
      <c r="K1635" t="s">
        <v>2409</v>
      </c>
      <c r="L1635">
        <v>2023</v>
      </c>
    </row>
    <row r="1636" spans="11:12">
      <c r="K1636" t="s">
        <v>1716</v>
      </c>
      <c r="L1636">
        <v>2023</v>
      </c>
    </row>
    <row r="1637" spans="11:12">
      <c r="K1637" t="s">
        <v>1180</v>
      </c>
      <c r="L1637">
        <v>2023</v>
      </c>
    </row>
    <row r="1638" spans="11:12">
      <c r="K1638" t="s">
        <v>222</v>
      </c>
      <c r="L1638">
        <v>2023</v>
      </c>
    </row>
    <row r="1639" spans="11:12">
      <c r="K1639" t="s">
        <v>1131</v>
      </c>
      <c r="L1639">
        <v>2023</v>
      </c>
    </row>
    <row r="1640" spans="11:12">
      <c r="K1640" t="s">
        <v>2178</v>
      </c>
      <c r="L1640">
        <v>2023</v>
      </c>
    </row>
    <row r="1641" spans="11:12">
      <c r="K1641" t="s">
        <v>279</v>
      </c>
      <c r="L1641">
        <v>2023</v>
      </c>
    </row>
    <row r="1642" spans="11:12">
      <c r="K1642" t="s">
        <v>861</v>
      </c>
      <c r="L1642">
        <v>2023</v>
      </c>
    </row>
    <row r="1643" spans="11:12">
      <c r="K1643" t="s">
        <v>2310</v>
      </c>
      <c r="L1643">
        <v>2023</v>
      </c>
    </row>
    <row r="1644" spans="11:12">
      <c r="K1644" t="s">
        <v>626</v>
      </c>
      <c r="L1644">
        <v>2023</v>
      </c>
    </row>
    <row r="1645" spans="11:12">
      <c r="K1645" t="s">
        <v>2019</v>
      </c>
      <c r="L1645">
        <v>2023</v>
      </c>
    </row>
    <row r="1646" spans="11:12">
      <c r="K1646" t="s">
        <v>1166</v>
      </c>
      <c r="L1646">
        <v>2023</v>
      </c>
    </row>
    <row r="1647" spans="11:12">
      <c r="K1647" t="s">
        <v>666</v>
      </c>
      <c r="L1647">
        <v>2023</v>
      </c>
    </row>
    <row r="1648" spans="11:12">
      <c r="K1648" t="s">
        <v>1637</v>
      </c>
      <c r="L1648">
        <v>2023</v>
      </c>
    </row>
    <row r="1649" spans="11:12">
      <c r="K1649" t="s">
        <v>1513</v>
      </c>
      <c r="L1649">
        <v>2023</v>
      </c>
    </row>
    <row r="1650" spans="11:12">
      <c r="K1650" t="s">
        <v>1396</v>
      </c>
      <c r="L1650">
        <v>2023</v>
      </c>
    </row>
    <row r="1651" spans="11:12">
      <c r="K1651" t="s">
        <v>759</v>
      </c>
      <c r="L1651">
        <v>2023</v>
      </c>
    </row>
    <row r="1652" spans="11:12">
      <c r="K1652" t="s">
        <v>394</v>
      </c>
      <c r="L1652">
        <v>2023</v>
      </c>
    </row>
    <row r="1653" spans="11:12">
      <c r="K1653" t="s">
        <v>83</v>
      </c>
      <c r="L1653">
        <v>2023</v>
      </c>
    </row>
    <row r="1654" spans="11:12">
      <c r="K1654" t="s">
        <v>375</v>
      </c>
      <c r="L1654">
        <v>2023</v>
      </c>
    </row>
    <row r="1655" spans="11:12">
      <c r="K1655" t="s">
        <v>2279</v>
      </c>
      <c r="L1655">
        <v>2023</v>
      </c>
    </row>
    <row r="1656" spans="11:12">
      <c r="K1656" t="s">
        <v>1530</v>
      </c>
      <c r="L1656">
        <v>2023</v>
      </c>
    </row>
    <row r="1657" spans="11:12">
      <c r="K1657" t="s">
        <v>738</v>
      </c>
      <c r="L1657">
        <v>2023</v>
      </c>
    </row>
    <row r="1658" spans="11:12">
      <c r="K1658" t="s">
        <v>2050</v>
      </c>
      <c r="L1658">
        <v>2023</v>
      </c>
    </row>
    <row r="1659" spans="11:12">
      <c r="K1659" t="s">
        <v>133</v>
      </c>
      <c r="L1659">
        <v>2023</v>
      </c>
    </row>
    <row r="1660" spans="11:12">
      <c r="K1660" t="s">
        <v>485</v>
      </c>
      <c r="L1660">
        <v>2023</v>
      </c>
    </row>
    <row r="1661" spans="11:12">
      <c r="K1661" t="s">
        <v>460</v>
      </c>
      <c r="L1661">
        <v>2023</v>
      </c>
    </row>
    <row r="1662" spans="11:12">
      <c r="K1662" t="s">
        <v>889</v>
      </c>
      <c r="L1662">
        <v>2023</v>
      </c>
    </row>
    <row r="1663" spans="11:12">
      <c r="K1663" t="s">
        <v>2015</v>
      </c>
      <c r="L1663">
        <v>2023</v>
      </c>
    </row>
    <row r="1664" spans="11:12">
      <c r="K1664" t="s">
        <v>1536</v>
      </c>
      <c r="L1664">
        <v>2023</v>
      </c>
    </row>
    <row r="1665" spans="11:12">
      <c r="K1665" t="s">
        <v>1046</v>
      </c>
      <c r="L1665">
        <v>2023</v>
      </c>
    </row>
    <row r="1666" spans="11:12">
      <c r="K1666" t="s">
        <v>270</v>
      </c>
      <c r="L1666">
        <v>2023</v>
      </c>
    </row>
    <row r="1667" spans="11:12">
      <c r="K1667" t="s">
        <v>819</v>
      </c>
      <c r="L1667">
        <v>2023</v>
      </c>
    </row>
    <row r="1668" spans="11:12">
      <c r="K1668" t="s">
        <v>891</v>
      </c>
      <c r="L1668">
        <v>2023</v>
      </c>
    </row>
    <row r="1669" spans="11:12">
      <c r="K1669" t="s">
        <v>1620</v>
      </c>
      <c r="L1669">
        <v>2023</v>
      </c>
    </row>
    <row r="1670" spans="11:12">
      <c r="K1670" t="s">
        <v>554</v>
      </c>
      <c r="L1670">
        <v>2023</v>
      </c>
    </row>
    <row r="1671" spans="11:12">
      <c r="K1671" t="s">
        <v>243</v>
      </c>
      <c r="L1671">
        <v>2023</v>
      </c>
    </row>
    <row r="1672" spans="11:12">
      <c r="K1672" t="s">
        <v>447</v>
      </c>
      <c r="L1672">
        <v>2023</v>
      </c>
    </row>
    <row r="1673" spans="11:12">
      <c r="K1673" t="s">
        <v>1815</v>
      </c>
      <c r="L1673">
        <v>2023</v>
      </c>
    </row>
    <row r="1674" spans="11:12">
      <c r="K1674" t="s">
        <v>808</v>
      </c>
      <c r="L1674">
        <v>2023</v>
      </c>
    </row>
    <row r="1675" spans="11:12">
      <c r="K1675" t="s">
        <v>235</v>
      </c>
      <c r="L1675">
        <v>2023</v>
      </c>
    </row>
    <row r="1676" spans="11:12">
      <c r="K1676" t="s">
        <v>1232</v>
      </c>
      <c r="L1676">
        <v>2023</v>
      </c>
    </row>
    <row r="1677" spans="11:12">
      <c r="K1677" t="s">
        <v>925</v>
      </c>
      <c r="L1677">
        <v>2023</v>
      </c>
    </row>
    <row r="1678" spans="11:12">
      <c r="K1678" t="s">
        <v>2128</v>
      </c>
      <c r="L1678">
        <v>2023</v>
      </c>
    </row>
    <row r="1679" spans="11:12">
      <c r="K1679" t="s">
        <v>1707</v>
      </c>
      <c r="L1679">
        <v>2023</v>
      </c>
    </row>
    <row r="1680" spans="11:12">
      <c r="K1680" t="s">
        <v>1618</v>
      </c>
      <c r="L1680">
        <v>2023</v>
      </c>
    </row>
    <row r="1681" spans="11:12">
      <c r="K1681" t="s">
        <v>1918</v>
      </c>
      <c r="L1681">
        <v>2023</v>
      </c>
    </row>
    <row r="1682" spans="11:12">
      <c r="K1682" t="s">
        <v>940</v>
      </c>
      <c r="L1682">
        <v>2023</v>
      </c>
    </row>
    <row r="1683" spans="11:12">
      <c r="K1683" t="s">
        <v>2192</v>
      </c>
      <c r="L1683">
        <v>2023</v>
      </c>
    </row>
    <row r="1684" spans="11:12">
      <c r="K1684" t="s">
        <v>1578</v>
      </c>
      <c r="L1684">
        <v>2023</v>
      </c>
    </row>
    <row r="1685" spans="11:12">
      <c r="K1685" t="s">
        <v>624</v>
      </c>
      <c r="L1685">
        <v>2023</v>
      </c>
    </row>
    <row r="1686" spans="11:12">
      <c r="K1686" t="s">
        <v>1933</v>
      </c>
      <c r="L1686">
        <v>2023</v>
      </c>
    </row>
    <row r="1687" spans="11:12">
      <c r="K1687" t="s">
        <v>400</v>
      </c>
      <c r="L1687">
        <v>2023</v>
      </c>
    </row>
    <row r="1688" spans="11:12">
      <c r="K1688" t="s">
        <v>52</v>
      </c>
      <c r="L1688">
        <v>2023</v>
      </c>
    </row>
    <row r="1689" spans="11:12">
      <c r="K1689" t="s">
        <v>2114</v>
      </c>
      <c r="L1689">
        <v>2023</v>
      </c>
    </row>
    <row r="1690" spans="11:12">
      <c r="K1690" t="s">
        <v>833</v>
      </c>
      <c r="L1690">
        <v>2023</v>
      </c>
    </row>
    <row r="1691" spans="11:12">
      <c r="K1691" t="s">
        <v>1965</v>
      </c>
      <c r="L1691">
        <v>2023</v>
      </c>
    </row>
    <row r="1692" spans="11:12">
      <c r="K1692" t="s">
        <v>859</v>
      </c>
      <c r="L1692">
        <v>2023</v>
      </c>
    </row>
    <row r="1693" spans="11:12">
      <c r="K1693" t="s">
        <v>2407</v>
      </c>
      <c r="L1693">
        <v>2023</v>
      </c>
    </row>
    <row r="1694" spans="11:12">
      <c r="K1694" t="s">
        <v>1415</v>
      </c>
      <c r="L1694">
        <v>2023</v>
      </c>
    </row>
    <row r="1695" spans="11:12">
      <c r="K1695" t="s">
        <v>2035</v>
      </c>
      <c r="L1695">
        <v>2023</v>
      </c>
    </row>
    <row r="1696" spans="11:12">
      <c r="K1696" t="s">
        <v>2328</v>
      </c>
      <c r="L1696">
        <v>2023</v>
      </c>
    </row>
    <row r="1697" spans="11:12">
      <c r="K1697" t="s">
        <v>917</v>
      </c>
      <c r="L1697">
        <v>2023</v>
      </c>
    </row>
    <row r="1698" spans="11:12">
      <c r="K1698" t="s">
        <v>1521</v>
      </c>
      <c r="L1698">
        <v>2023</v>
      </c>
    </row>
    <row r="1699" spans="11:12">
      <c r="K1699" t="s">
        <v>609</v>
      </c>
      <c r="L1699">
        <v>2023</v>
      </c>
    </row>
    <row r="1700" spans="11:12">
      <c r="K1700" t="s">
        <v>2348</v>
      </c>
      <c r="L1700">
        <v>2023</v>
      </c>
    </row>
    <row r="1701" spans="11:12">
      <c r="K1701" t="s">
        <v>161</v>
      </c>
      <c r="L1701">
        <v>2023</v>
      </c>
    </row>
    <row r="1702" spans="11:12">
      <c r="K1702" t="s">
        <v>2117</v>
      </c>
      <c r="L1702">
        <v>2023</v>
      </c>
    </row>
    <row r="1703" spans="11:12">
      <c r="K1703" t="s">
        <v>1029</v>
      </c>
      <c r="L1703">
        <v>2023</v>
      </c>
    </row>
    <row r="1704" spans="11:12">
      <c r="K1704" t="s">
        <v>1888</v>
      </c>
      <c r="L1704">
        <v>2023</v>
      </c>
    </row>
    <row r="1705" spans="11:12">
      <c r="K1705" t="s">
        <v>2616</v>
      </c>
      <c r="L1705">
        <v>2023</v>
      </c>
    </row>
    <row r="1706" spans="11:12">
      <c r="K1706" t="s">
        <v>661</v>
      </c>
      <c r="L1706">
        <v>2023</v>
      </c>
    </row>
    <row r="1707" spans="11:12">
      <c r="K1707" t="s">
        <v>1564</v>
      </c>
      <c r="L1707">
        <v>2023</v>
      </c>
    </row>
    <row r="1708" spans="11:12">
      <c r="K1708" t="s">
        <v>1099</v>
      </c>
      <c r="L1708">
        <v>2023</v>
      </c>
    </row>
    <row r="1709" spans="11:12">
      <c r="K1709" t="s">
        <v>251</v>
      </c>
      <c r="L1709">
        <v>2023</v>
      </c>
    </row>
    <row r="1710" spans="11:12">
      <c r="K1710" t="s">
        <v>1953</v>
      </c>
      <c r="L1710">
        <v>2023</v>
      </c>
    </row>
    <row r="1711" spans="11:12">
      <c r="K1711" t="s">
        <v>790</v>
      </c>
      <c r="L1711">
        <v>2023</v>
      </c>
    </row>
    <row r="1712" spans="11:12">
      <c r="K1712" t="s">
        <v>1115</v>
      </c>
      <c r="L1712">
        <v>2023</v>
      </c>
    </row>
    <row r="1713" spans="11:12">
      <c r="K1713" t="s">
        <v>676</v>
      </c>
      <c r="L1713">
        <v>2023</v>
      </c>
    </row>
    <row r="1714" spans="11:12">
      <c r="K1714" t="s">
        <v>870</v>
      </c>
      <c r="L1714">
        <v>2023</v>
      </c>
    </row>
    <row r="1715" spans="11:12">
      <c r="K1715" t="s">
        <v>2164</v>
      </c>
      <c r="L1715">
        <v>2023</v>
      </c>
    </row>
    <row r="1716" spans="11:12">
      <c r="K1716" t="s">
        <v>497</v>
      </c>
      <c r="L1716">
        <v>2023</v>
      </c>
    </row>
    <row r="1717" spans="11:12">
      <c r="K1717" t="s">
        <v>2214</v>
      </c>
      <c r="L1717">
        <v>2023</v>
      </c>
    </row>
    <row r="1718" spans="11:12">
      <c r="K1718" t="s">
        <v>811</v>
      </c>
      <c r="L1718">
        <v>2023</v>
      </c>
    </row>
    <row r="1719" spans="11:12">
      <c r="K1719" t="s">
        <v>1504</v>
      </c>
      <c r="L1719">
        <v>2023</v>
      </c>
    </row>
    <row r="1720" spans="11:12">
      <c r="K1720" t="s">
        <v>850</v>
      </c>
      <c r="L1720">
        <v>2023</v>
      </c>
    </row>
    <row r="1721" spans="11:12">
      <c r="K1721" t="s">
        <v>1243</v>
      </c>
      <c r="L1721">
        <v>2023</v>
      </c>
    </row>
    <row r="1722" spans="11:12">
      <c r="K1722" t="s">
        <v>805</v>
      </c>
      <c r="L1722">
        <v>2023</v>
      </c>
    </row>
    <row r="1723" spans="11:12">
      <c r="K1723" t="s">
        <v>1340</v>
      </c>
      <c r="L1723">
        <v>2023</v>
      </c>
    </row>
    <row r="1724" spans="11:12">
      <c r="K1724" t="s">
        <v>1410</v>
      </c>
      <c r="L1724">
        <v>2023</v>
      </c>
    </row>
    <row r="1725" spans="11:12">
      <c r="K1725" t="s">
        <v>1277</v>
      </c>
      <c r="L1725">
        <v>2023</v>
      </c>
    </row>
    <row r="1726" spans="11:12">
      <c r="K1726" t="s">
        <v>2181</v>
      </c>
      <c r="L1726">
        <v>2023</v>
      </c>
    </row>
    <row r="1727" spans="11:12">
      <c r="K1727" t="s">
        <v>1813</v>
      </c>
      <c r="L1727">
        <v>2023</v>
      </c>
    </row>
    <row r="1728" spans="11:12">
      <c r="K1728" t="s">
        <v>906</v>
      </c>
      <c r="L1728">
        <v>2023</v>
      </c>
    </row>
    <row r="1729" spans="11:12">
      <c r="K1729" t="s">
        <v>2288</v>
      </c>
      <c r="L1729">
        <v>2023</v>
      </c>
    </row>
    <row r="1730" spans="11:12">
      <c r="K1730" t="s">
        <v>1873</v>
      </c>
      <c r="L1730">
        <v>2023</v>
      </c>
    </row>
    <row r="1731" spans="11:12">
      <c r="K1731" t="s">
        <v>1858</v>
      </c>
      <c r="L1731">
        <v>2023</v>
      </c>
    </row>
    <row r="1732" spans="11:12">
      <c r="K1732" t="s">
        <v>645</v>
      </c>
      <c r="L1732">
        <v>2023</v>
      </c>
    </row>
    <row r="1733" spans="11:12">
      <c r="K1733" t="s">
        <v>2149</v>
      </c>
      <c r="L1733">
        <v>2023</v>
      </c>
    </row>
    <row r="1734" spans="11:12">
      <c r="K1734" t="s">
        <v>589</v>
      </c>
      <c r="L1734">
        <v>2023</v>
      </c>
    </row>
    <row r="1735" spans="11:12">
      <c r="K1735" t="s">
        <v>212</v>
      </c>
      <c r="L1735">
        <v>2023</v>
      </c>
    </row>
    <row r="1736" spans="11:12">
      <c r="K1736" t="s">
        <v>277</v>
      </c>
      <c r="L1736">
        <v>2023</v>
      </c>
    </row>
    <row r="1737" spans="11:12">
      <c r="K1737" t="s">
        <v>2105</v>
      </c>
      <c r="L1737">
        <v>2023</v>
      </c>
    </row>
    <row r="1738" spans="11:12">
      <c r="K1738" t="s">
        <v>1053</v>
      </c>
      <c r="L1738">
        <v>2023</v>
      </c>
    </row>
    <row r="1739" spans="11:12">
      <c r="K1739" t="s">
        <v>873</v>
      </c>
      <c r="L1739">
        <v>2023</v>
      </c>
    </row>
    <row r="1740" spans="11:12">
      <c r="K1740" t="s">
        <v>2626</v>
      </c>
      <c r="L1740">
        <v>2023</v>
      </c>
    </row>
    <row r="1741" spans="11:12">
      <c r="K1741" t="s">
        <v>2627</v>
      </c>
      <c r="L1741">
        <v>2023</v>
      </c>
    </row>
    <row r="1742" spans="11:12">
      <c r="K1742" t="s">
        <v>2629</v>
      </c>
      <c r="L1742">
        <v>2023</v>
      </c>
    </row>
    <row r="1743" spans="11:12">
      <c r="K1743" t="s">
        <v>1086</v>
      </c>
      <c r="L1743">
        <v>2023</v>
      </c>
    </row>
    <row r="1744" spans="11:12">
      <c r="K1744" t="s">
        <v>1576</v>
      </c>
      <c r="L1744">
        <v>2023</v>
      </c>
    </row>
    <row r="1745" spans="11:12">
      <c r="K1745" t="s">
        <v>639</v>
      </c>
      <c r="L1745">
        <v>2023</v>
      </c>
    </row>
    <row r="1746" spans="11:12">
      <c r="K1746" t="s">
        <v>246</v>
      </c>
      <c r="L1746">
        <v>2023</v>
      </c>
    </row>
    <row r="1747" spans="11:12">
      <c r="K1747" t="s">
        <v>2398</v>
      </c>
      <c r="L1747">
        <v>2023</v>
      </c>
    </row>
    <row r="1748" spans="11:12">
      <c r="K1748" t="s">
        <v>1169</v>
      </c>
      <c r="L1748">
        <v>2023</v>
      </c>
    </row>
    <row r="1749" spans="11:12">
      <c r="K1749" t="s">
        <v>549</v>
      </c>
      <c r="L1749">
        <v>2023</v>
      </c>
    </row>
    <row r="1750" spans="11:12">
      <c r="K1750" t="s">
        <v>92</v>
      </c>
      <c r="L1750">
        <v>2023</v>
      </c>
    </row>
    <row r="1751" spans="11:12">
      <c r="K1751" t="s">
        <v>961</v>
      </c>
      <c r="L1751">
        <v>2023</v>
      </c>
    </row>
    <row r="1752" spans="11:12">
      <c r="K1752" t="s">
        <v>348</v>
      </c>
      <c r="L1752">
        <v>2023</v>
      </c>
    </row>
    <row r="1753" spans="11:12">
      <c r="K1753" t="s">
        <v>1200</v>
      </c>
      <c r="L1753">
        <v>2023</v>
      </c>
    </row>
    <row r="1754" spans="11:12">
      <c r="K1754" t="s">
        <v>1329</v>
      </c>
      <c r="L1754">
        <v>2023</v>
      </c>
    </row>
    <row r="1755" spans="11:12">
      <c r="K1755" t="s">
        <v>439</v>
      </c>
      <c r="L1755">
        <v>2023</v>
      </c>
    </row>
    <row r="1756" spans="11:12">
      <c r="K1756" t="s">
        <v>1485</v>
      </c>
      <c r="L1756">
        <v>2023</v>
      </c>
    </row>
    <row r="1757" spans="11:12">
      <c r="K1757" t="s">
        <v>1101</v>
      </c>
      <c r="L1757">
        <v>2023</v>
      </c>
    </row>
    <row r="1758" spans="11:12">
      <c r="K1758" t="s">
        <v>419</v>
      </c>
      <c r="L1758">
        <v>2023</v>
      </c>
    </row>
    <row r="1759" spans="11:12">
      <c r="K1759" t="s">
        <v>1701</v>
      </c>
      <c r="L1759">
        <v>2023</v>
      </c>
    </row>
    <row r="1760" spans="11:12">
      <c r="K1760" t="s">
        <v>2633</v>
      </c>
      <c r="L1760">
        <v>2023</v>
      </c>
    </row>
    <row r="1761" spans="11:12">
      <c r="K1761" t="s">
        <v>2634</v>
      </c>
      <c r="L1761">
        <v>2023</v>
      </c>
    </row>
    <row r="1762" spans="11:12">
      <c r="K1762" t="s">
        <v>682</v>
      </c>
      <c r="L1762">
        <v>2023</v>
      </c>
    </row>
    <row r="1763" spans="11:12">
      <c r="K1763" t="s">
        <v>1793</v>
      </c>
      <c r="L1763">
        <v>2023</v>
      </c>
    </row>
    <row r="1764" spans="11:12">
      <c r="K1764" t="s">
        <v>1459</v>
      </c>
      <c r="L1764">
        <v>2023</v>
      </c>
    </row>
    <row r="1765" spans="11:12">
      <c r="K1765" t="s">
        <v>937</v>
      </c>
      <c r="L1765">
        <v>2023</v>
      </c>
    </row>
    <row r="1766" spans="11:12">
      <c r="K1766" t="s">
        <v>354</v>
      </c>
      <c r="L1766">
        <v>2023</v>
      </c>
    </row>
    <row r="1767" spans="11:12">
      <c r="K1767" t="s">
        <v>2641</v>
      </c>
      <c r="L1767">
        <v>2023</v>
      </c>
    </row>
    <row r="1768" spans="11:12">
      <c r="K1768" t="s">
        <v>56</v>
      </c>
      <c r="L1768">
        <v>2023</v>
      </c>
    </row>
    <row r="1769" spans="11:12">
      <c r="K1769" t="s">
        <v>1011</v>
      </c>
      <c r="L1769">
        <v>2023</v>
      </c>
    </row>
    <row r="1770" spans="11:12">
      <c r="K1770" t="s">
        <v>677</v>
      </c>
      <c r="L1770">
        <v>2023</v>
      </c>
    </row>
    <row r="1771" spans="11:12">
      <c r="K1771" t="s">
        <v>1018</v>
      </c>
      <c r="L1771">
        <v>2023</v>
      </c>
    </row>
    <row r="1772" spans="11:12">
      <c r="K1772" t="s">
        <v>1663</v>
      </c>
      <c r="L1772">
        <v>2023</v>
      </c>
    </row>
    <row r="1773" spans="11:12">
      <c r="K1773" t="s">
        <v>256</v>
      </c>
      <c r="L1773">
        <v>2023</v>
      </c>
    </row>
    <row r="1774" spans="11:12">
      <c r="K1774" t="s">
        <v>1497</v>
      </c>
      <c r="L1774">
        <v>2023</v>
      </c>
    </row>
    <row r="1775" spans="11:12">
      <c r="K1775" t="s">
        <v>1803</v>
      </c>
      <c r="L1775">
        <v>2023</v>
      </c>
    </row>
    <row r="1776" spans="11:12">
      <c r="K1776" t="s">
        <v>1625</v>
      </c>
      <c r="L1776">
        <v>2023</v>
      </c>
    </row>
    <row r="1777" spans="11:12">
      <c r="K1777" t="s">
        <v>1480</v>
      </c>
      <c r="L1777">
        <v>2023</v>
      </c>
    </row>
    <row r="1778" spans="11:12">
      <c r="K1778" t="s">
        <v>2315</v>
      </c>
      <c r="L1778">
        <v>2023</v>
      </c>
    </row>
    <row r="1779" spans="11:12">
      <c r="K1779" t="s">
        <v>365</v>
      </c>
      <c r="L1779">
        <v>2023</v>
      </c>
    </row>
    <row r="1780" spans="11:12">
      <c r="K1780" t="s">
        <v>740</v>
      </c>
      <c r="L1780">
        <v>2023</v>
      </c>
    </row>
    <row r="1781" spans="11:12">
      <c r="K1781" t="s">
        <v>2643</v>
      </c>
      <c r="L1781">
        <v>2023</v>
      </c>
    </row>
    <row r="1782" spans="11:12">
      <c r="K1782" t="s">
        <v>575</v>
      </c>
      <c r="L1782">
        <v>2023</v>
      </c>
    </row>
    <row r="1783" spans="11:12">
      <c r="K1783" t="s">
        <v>403</v>
      </c>
      <c r="L1783">
        <v>2023</v>
      </c>
    </row>
    <row r="1784" spans="11:12">
      <c r="K1784" t="s">
        <v>2284</v>
      </c>
      <c r="L1784">
        <v>2023</v>
      </c>
    </row>
    <row r="1785" spans="11:12">
      <c r="K1785" t="s">
        <v>1251</v>
      </c>
      <c r="L1785">
        <v>2023</v>
      </c>
    </row>
    <row r="1786" spans="11:12">
      <c r="K1786" t="s">
        <v>612</v>
      </c>
      <c r="L1786">
        <v>2023</v>
      </c>
    </row>
    <row r="1787" spans="11:12">
      <c r="K1787" t="s">
        <v>1359</v>
      </c>
      <c r="L1787">
        <v>2023</v>
      </c>
    </row>
    <row r="1788" spans="11:12">
      <c r="K1788" t="s">
        <v>881</v>
      </c>
      <c r="L1788">
        <v>2023</v>
      </c>
    </row>
    <row r="1789" spans="11:12">
      <c r="K1789" t="s">
        <v>1802</v>
      </c>
      <c r="L1789">
        <v>2023</v>
      </c>
    </row>
    <row r="1790" spans="11:12">
      <c r="K1790" t="s">
        <v>1550</v>
      </c>
      <c r="L1790">
        <v>2023</v>
      </c>
    </row>
    <row r="1791" spans="11:12">
      <c r="K1791" t="s">
        <v>1275</v>
      </c>
      <c r="L1791">
        <v>2023</v>
      </c>
    </row>
    <row r="1792" spans="11:12">
      <c r="K1792" t="s">
        <v>1937</v>
      </c>
      <c r="L1792">
        <v>2023</v>
      </c>
    </row>
    <row r="1793" spans="11:12">
      <c r="K1793" t="s">
        <v>480</v>
      </c>
      <c r="L1793">
        <v>2023</v>
      </c>
    </row>
    <row r="1794" spans="11:12">
      <c r="K1794" t="s">
        <v>2390</v>
      </c>
      <c r="L1794">
        <v>2023</v>
      </c>
    </row>
    <row r="1795" spans="11:12">
      <c r="K1795" t="s">
        <v>1740</v>
      </c>
      <c r="L1795">
        <v>2023</v>
      </c>
    </row>
    <row r="1796" spans="11:12">
      <c r="K1796" t="s">
        <v>220</v>
      </c>
      <c r="L1796">
        <v>2023</v>
      </c>
    </row>
    <row r="1797" spans="11:12">
      <c r="K1797" t="s">
        <v>141</v>
      </c>
      <c r="L1797">
        <v>2023</v>
      </c>
    </row>
    <row r="1798" spans="11:12">
      <c r="K1798" t="s">
        <v>1801</v>
      </c>
      <c r="L1798">
        <v>2023</v>
      </c>
    </row>
    <row r="1799" spans="11:12">
      <c r="K1799" t="s">
        <v>1682</v>
      </c>
      <c r="L1799">
        <v>2023</v>
      </c>
    </row>
    <row r="1800" spans="11:12">
      <c r="K1800" t="s">
        <v>745</v>
      </c>
      <c r="L1800">
        <v>2023</v>
      </c>
    </row>
    <row r="1801" spans="11:12">
      <c r="K1801" t="s">
        <v>1912</v>
      </c>
      <c r="L1801">
        <v>2023</v>
      </c>
    </row>
    <row r="1802" spans="11:12">
      <c r="K1802" t="s">
        <v>603</v>
      </c>
      <c r="L1802">
        <v>2023</v>
      </c>
    </row>
    <row r="1803" spans="11:12">
      <c r="K1803" t="s">
        <v>1174</v>
      </c>
      <c r="L1803">
        <v>2023</v>
      </c>
    </row>
    <row r="1804" spans="11:12">
      <c r="K1804" t="s">
        <v>2199</v>
      </c>
      <c r="L1804">
        <v>2023</v>
      </c>
    </row>
    <row r="1805" spans="11:12">
      <c r="K1805" t="s">
        <v>285</v>
      </c>
      <c r="L1805">
        <v>2023</v>
      </c>
    </row>
    <row r="1806" spans="11:12">
      <c r="K1806" t="s">
        <v>380</v>
      </c>
      <c r="L1806">
        <v>2023</v>
      </c>
    </row>
    <row r="1807" spans="11:12">
      <c r="K1807" t="s">
        <v>2653</v>
      </c>
      <c r="L1807">
        <v>2023</v>
      </c>
    </row>
    <row r="1808" spans="11:12">
      <c r="K1808" t="s">
        <v>826</v>
      </c>
      <c r="L1808">
        <v>2023</v>
      </c>
    </row>
    <row r="1809" spans="11:12">
      <c r="K1809" t="s">
        <v>187</v>
      </c>
      <c r="L1809">
        <v>2024</v>
      </c>
    </row>
    <row r="1810" spans="11:12">
      <c r="K1810" t="s">
        <v>770</v>
      </c>
      <c r="L1810">
        <v>2024</v>
      </c>
    </row>
    <row r="1811" spans="11:12">
      <c r="K1811" t="s">
        <v>912</v>
      </c>
      <c r="L1811">
        <v>2024</v>
      </c>
    </row>
    <row r="1812" spans="11:12">
      <c r="K1812" t="s">
        <v>2474</v>
      </c>
      <c r="L1812">
        <v>2024</v>
      </c>
    </row>
    <row r="1813" spans="11:12">
      <c r="K1813" t="s">
        <v>1035</v>
      </c>
      <c r="L1813">
        <v>2024</v>
      </c>
    </row>
    <row r="1814" spans="11:12">
      <c r="K1814" t="s">
        <v>1912</v>
      </c>
      <c r="L1814">
        <v>2024</v>
      </c>
    </row>
    <row r="1815" spans="11:12">
      <c r="K1815" t="s">
        <v>1973</v>
      </c>
      <c r="L1815">
        <v>2024</v>
      </c>
    </row>
    <row r="1816" spans="11:12">
      <c r="K1816" t="s">
        <v>87</v>
      </c>
      <c r="L1816">
        <v>2024</v>
      </c>
    </row>
    <row r="1817" spans="11:12">
      <c r="K1817" t="s">
        <v>1950</v>
      </c>
      <c r="L1817">
        <v>2024</v>
      </c>
    </row>
    <row r="1818" spans="11:12">
      <c r="K1818" t="s">
        <v>1965</v>
      </c>
      <c r="L1818">
        <v>2024</v>
      </c>
    </row>
    <row r="1819" spans="11:12">
      <c r="K1819" t="s">
        <v>2166</v>
      </c>
      <c r="L1819">
        <v>2024</v>
      </c>
    </row>
    <row r="1820" spans="11:12">
      <c r="K1820" t="s">
        <v>1625</v>
      </c>
      <c r="L1820">
        <v>2024</v>
      </c>
    </row>
    <row r="1821" spans="11:12">
      <c r="K1821" t="s">
        <v>1072</v>
      </c>
      <c r="L1821">
        <v>2024</v>
      </c>
    </row>
    <row r="1822" spans="11:12">
      <c r="K1822" t="s">
        <v>1425</v>
      </c>
      <c r="L1822">
        <v>2024</v>
      </c>
    </row>
    <row r="1823" spans="11:12">
      <c r="K1823" t="s">
        <v>566</v>
      </c>
      <c r="L1823">
        <v>2024</v>
      </c>
    </row>
    <row r="1824" spans="11:12">
      <c r="K1824" t="s">
        <v>2044</v>
      </c>
      <c r="L1824">
        <v>2024</v>
      </c>
    </row>
    <row r="1825" spans="11:12">
      <c r="K1825" t="s">
        <v>2055</v>
      </c>
      <c r="L1825">
        <v>2024</v>
      </c>
    </row>
    <row r="1826" spans="11:12">
      <c r="K1826" t="s">
        <v>1746</v>
      </c>
      <c r="L1826">
        <v>2024</v>
      </c>
    </row>
    <row r="1827" spans="11:12">
      <c r="K1827" t="s">
        <v>2505</v>
      </c>
      <c r="L1827">
        <v>2024</v>
      </c>
    </row>
    <row r="1828" spans="11:12">
      <c r="K1828" t="s">
        <v>1933</v>
      </c>
      <c r="L1828">
        <v>2024</v>
      </c>
    </row>
    <row r="1829" spans="11:12">
      <c r="K1829" t="s">
        <v>798</v>
      </c>
      <c r="L1829">
        <v>2024</v>
      </c>
    </row>
    <row r="1830" spans="11:12">
      <c r="K1830" t="s">
        <v>2286</v>
      </c>
      <c r="L1830">
        <v>2024</v>
      </c>
    </row>
    <row r="1831" spans="11:12">
      <c r="K1831" t="s">
        <v>230</v>
      </c>
      <c r="L1831">
        <v>2024</v>
      </c>
    </row>
    <row r="1832" spans="11:12">
      <c r="K1832" t="s">
        <v>2536</v>
      </c>
      <c r="L1832">
        <v>2024</v>
      </c>
    </row>
    <row r="1833" spans="11:12">
      <c r="K1833" t="s">
        <v>195</v>
      </c>
      <c r="L1833">
        <v>2024</v>
      </c>
    </row>
    <row r="1834" spans="11:12">
      <c r="K1834" t="s">
        <v>2387</v>
      </c>
      <c r="L1834">
        <v>2024</v>
      </c>
    </row>
    <row r="1835" spans="11:12">
      <c r="K1835" t="s">
        <v>1764</v>
      </c>
      <c r="L1835">
        <v>2024</v>
      </c>
    </row>
    <row r="1836" spans="11:12">
      <c r="K1836" t="s">
        <v>31</v>
      </c>
      <c r="L1836">
        <v>2024</v>
      </c>
    </row>
    <row r="1837" spans="11:12">
      <c r="K1837" t="s">
        <v>1707</v>
      </c>
      <c r="L1837">
        <v>2024</v>
      </c>
    </row>
    <row r="1838" spans="11:12">
      <c r="K1838" t="s">
        <v>886</v>
      </c>
      <c r="L1838">
        <v>2024</v>
      </c>
    </row>
    <row r="1839" spans="11:12">
      <c r="K1839" t="s">
        <v>2633</v>
      </c>
      <c r="L1839">
        <v>2024</v>
      </c>
    </row>
    <row r="1840" spans="11:12">
      <c r="K1840" t="s">
        <v>657</v>
      </c>
      <c r="L1840">
        <v>2024</v>
      </c>
    </row>
    <row r="1841" spans="11:12">
      <c r="K1841" t="s">
        <v>2520</v>
      </c>
      <c r="L1841">
        <v>2024</v>
      </c>
    </row>
    <row r="1842" spans="11:12">
      <c r="K1842" t="s">
        <v>1394</v>
      </c>
      <c r="L1842">
        <v>2024</v>
      </c>
    </row>
    <row r="1843" spans="11:12">
      <c r="K1843" t="s">
        <v>219</v>
      </c>
      <c r="L1843">
        <v>2024</v>
      </c>
    </row>
    <row r="1844" spans="11:12">
      <c r="K1844" t="s">
        <v>1489</v>
      </c>
      <c r="L1844">
        <v>2024</v>
      </c>
    </row>
    <row r="1845" spans="11:12">
      <c r="K1845" t="s">
        <v>1618</v>
      </c>
      <c r="L1845">
        <v>2024</v>
      </c>
    </row>
    <row r="1846" spans="11:12">
      <c r="K1846" t="s">
        <v>930</v>
      </c>
      <c r="L1846">
        <v>2024</v>
      </c>
    </row>
    <row r="1847" spans="11:12">
      <c r="K1847" t="s">
        <v>1813</v>
      </c>
      <c r="L1847">
        <v>2024</v>
      </c>
    </row>
    <row r="1848" spans="11:12">
      <c r="K1848" t="s">
        <v>2587</v>
      </c>
      <c r="L1848">
        <v>2024</v>
      </c>
    </row>
    <row r="1849" spans="11:12">
      <c r="K1849" t="s">
        <v>2446</v>
      </c>
      <c r="L1849">
        <v>2024</v>
      </c>
    </row>
    <row r="1850" spans="11:12">
      <c r="K1850" t="s">
        <v>1667</v>
      </c>
      <c r="L1850">
        <v>2024</v>
      </c>
    </row>
    <row r="1851" spans="11:12">
      <c r="K1851" t="s">
        <v>527</v>
      </c>
      <c r="L1851">
        <v>2024</v>
      </c>
    </row>
    <row r="1852" spans="11:12">
      <c r="K1852" t="s">
        <v>348</v>
      </c>
      <c r="L1852">
        <v>2024</v>
      </c>
    </row>
    <row r="1853" spans="11:12">
      <c r="K1853" t="s">
        <v>63</v>
      </c>
      <c r="L1853">
        <v>2024</v>
      </c>
    </row>
    <row r="1854" spans="11:12">
      <c r="K1854" t="s">
        <v>628</v>
      </c>
      <c r="L1854">
        <v>2024</v>
      </c>
    </row>
    <row r="1855" spans="11:12">
      <c r="K1855" t="s">
        <v>2023</v>
      </c>
      <c r="L1855">
        <v>2024</v>
      </c>
    </row>
    <row r="1856" spans="11:12">
      <c r="K1856" t="s">
        <v>1396</v>
      </c>
      <c r="L1856">
        <v>2024</v>
      </c>
    </row>
    <row r="1857" spans="11:12">
      <c r="K1857" t="s">
        <v>141</v>
      </c>
      <c r="L1857">
        <v>2024</v>
      </c>
    </row>
    <row r="1858" spans="11:12">
      <c r="K1858" t="s">
        <v>2288</v>
      </c>
      <c r="L1858">
        <v>2024</v>
      </c>
    </row>
    <row r="1859" spans="11:12">
      <c r="K1859" t="s">
        <v>2457</v>
      </c>
      <c r="L1859">
        <v>2024</v>
      </c>
    </row>
    <row r="1860" spans="11:12">
      <c r="K1860" t="s">
        <v>158</v>
      </c>
      <c r="L1860">
        <v>2024</v>
      </c>
    </row>
    <row r="1861" spans="11:12">
      <c r="K1861" t="s">
        <v>683</v>
      </c>
      <c r="L1861">
        <v>2024</v>
      </c>
    </row>
    <row r="1862" spans="11:12">
      <c r="K1862" t="s">
        <v>1947</v>
      </c>
      <c r="L1862">
        <v>2024</v>
      </c>
    </row>
    <row r="1863" spans="11:12">
      <c r="K1863" t="s">
        <v>571</v>
      </c>
      <c r="L1863">
        <v>2024</v>
      </c>
    </row>
    <row r="1864" spans="11:12">
      <c r="K1864" t="s">
        <v>2113</v>
      </c>
      <c r="L1864">
        <v>2024</v>
      </c>
    </row>
    <row r="1865" spans="11:12">
      <c r="K1865" t="s">
        <v>2503</v>
      </c>
      <c r="L1865">
        <v>2024</v>
      </c>
    </row>
    <row r="1866" spans="11:12">
      <c r="K1866" t="s">
        <v>1842</v>
      </c>
      <c r="L1866">
        <v>2024</v>
      </c>
    </row>
    <row r="1867" spans="11:12">
      <c r="K1867" t="s">
        <v>1095</v>
      </c>
      <c r="L1867">
        <v>2024</v>
      </c>
    </row>
    <row r="1868" spans="11:12">
      <c r="K1868" t="s">
        <v>439</v>
      </c>
      <c r="L1868">
        <v>2024</v>
      </c>
    </row>
    <row r="1869" spans="11:12">
      <c r="K1869" t="s">
        <v>2458</v>
      </c>
      <c r="L1869">
        <v>2024</v>
      </c>
    </row>
    <row r="1870" spans="11:12">
      <c r="K1870" t="s">
        <v>1979</v>
      </c>
      <c r="L1870">
        <v>2024</v>
      </c>
    </row>
    <row r="1871" spans="11:12">
      <c r="K1871" t="s">
        <v>79</v>
      </c>
      <c r="L1871">
        <v>2024</v>
      </c>
    </row>
    <row r="1872" spans="11:12">
      <c r="K1872" t="s">
        <v>1496</v>
      </c>
      <c r="L1872">
        <v>2024</v>
      </c>
    </row>
    <row r="1873" spans="11:12">
      <c r="K1873" t="s">
        <v>624</v>
      </c>
      <c r="L1873">
        <v>2024</v>
      </c>
    </row>
    <row r="1874" spans="11:12">
      <c r="K1874" t="s">
        <v>2542</v>
      </c>
      <c r="L1874">
        <v>2024</v>
      </c>
    </row>
    <row r="1875" spans="11:12">
      <c r="K1875" t="s">
        <v>1225</v>
      </c>
      <c r="L1875">
        <v>2024</v>
      </c>
    </row>
    <row r="1876" spans="11:12">
      <c r="K1876" t="s">
        <v>1165</v>
      </c>
      <c r="L1876">
        <v>2024</v>
      </c>
    </row>
    <row r="1877" spans="11:12">
      <c r="K1877" t="s">
        <v>539</v>
      </c>
      <c r="L1877">
        <v>2024</v>
      </c>
    </row>
    <row r="1878" spans="11:12">
      <c r="K1878" t="s">
        <v>2425</v>
      </c>
      <c r="L1878">
        <v>2024</v>
      </c>
    </row>
    <row r="1879" spans="11:12">
      <c r="K1879" t="s">
        <v>1740</v>
      </c>
      <c r="L1879">
        <v>2024</v>
      </c>
    </row>
    <row r="1880" spans="11:12">
      <c r="K1880" t="s">
        <v>235</v>
      </c>
      <c r="L1880">
        <v>2024</v>
      </c>
    </row>
    <row r="1881" spans="11:12">
      <c r="K1881" t="s">
        <v>1515</v>
      </c>
      <c r="L1881">
        <v>2024</v>
      </c>
    </row>
    <row r="1882" spans="11:12">
      <c r="K1882" t="s">
        <v>2296</v>
      </c>
      <c r="L1882">
        <v>2024</v>
      </c>
    </row>
    <row r="1883" spans="11:12">
      <c r="K1883" t="s">
        <v>354</v>
      </c>
      <c r="L1883">
        <v>2024</v>
      </c>
    </row>
    <row r="1884" spans="11:12">
      <c r="K1884" t="s">
        <v>1448</v>
      </c>
      <c r="L1884">
        <v>2024</v>
      </c>
    </row>
    <row r="1885" spans="11:12">
      <c r="K1885" t="s">
        <v>109</v>
      </c>
      <c r="L1885">
        <v>2024</v>
      </c>
    </row>
    <row r="1886" spans="11:12">
      <c r="K1886" t="s">
        <v>1465</v>
      </c>
      <c r="L1886">
        <v>2024</v>
      </c>
    </row>
    <row r="1887" spans="11:12">
      <c r="K1887" t="s">
        <v>2119</v>
      </c>
      <c r="L1887">
        <v>2024</v>
      </c>
    </row>
    <row r="1888" spans="11:12">
      <c r="K1888" t="s">
        <v>2367</v>
      </c>
      <c r="L1888">
        <v>2024</v>
      </c>
    </row>
    <row r="1889" spans="11:12">
      <c r="K1889" t="s">
        <v>199</v>
      </c>
      <c r="L1889">
        <v>2024</v>
      </c>
    </row>
    <row r="1890" spans="11:12">
      <c r="K1890" t="s">
        <v>786</v>
      </c>
      <c r="L1890">
        <v>2024</v>
      </c>
    </row>
    <row r="1891" spans="11:12">
      <c r="K1891" t="s">
        <v>403</v>
      </c>
      <c r="L1891">
        <v>2024</v>
      </c>
    </row>
    <row r="1892" spans="11:12">
      <c r="K1892" t="s">
        <v>206</v>
      </c>
      <c r="L1892">
        <v>2024</v>
      </c>
    </row>
    <row r="1893" spans="11:12">
      <c r="K1893" t="s">
        <v>661</v>
      </c>
      <c r="L1893">
        <v>2024</v>
      </c>
    </row>
    <row r="1894" spans="11:12">
      <c r="K1894" t="s">
        <v>1790</v>
      </c>
      <c r="L1894">
        <v>2024</v>
      </c>
    </row>
    <row r="1895" spans="11:12">
      <c r="K1895" t="s">
        <v>1133</v>
      </c>
      <c r="L1895">
        <v>2024</v>
      </c>
    </row>
    <row r="1896" spans="11:12">
      <c r="K1896" t="s">
        <v>738</v>
      </c>
      <c r="L1896">
        <v>2024</v>
      </c>
    </row>
    <row r="1897" spans="11:12">
      <c r="K1897" t="s">
        <v>2211</v>
      </c>
      <c r="L1897">
        <v>2024</v>
      </c>
    </row>
    <row r="1898" spans="11:12">
      <c r="K1898" t="s">
        <v>525</v>
      </c>
      <c r="L1898">
        <v>2024</v>
      </c>
    </row>
    <row r="1899" spans="11:12">
      <c r="K1899" t="s">
        <v>1163</v>
      </c>
      <c r="L1899">
        <v>2024</v>
      </c>
    </row>
    <row r="1900" spans="11:12">
      <c r="K1900" t="s">
        <v>937</v>
      </c>
      <c r="L1900">
        <v>2024</v>
      </c>
    </row>
    <row r="1901" spans="11:12">
      <c r="K1901" t="s">
        <v>1029</v>
      </c>
      <c r="L1901">
        <v>2024</v>
      </c>
    </row>
    <row r="1902" spans="11:12">
      <c r="K1902" t="s">
        <v>1698</v>
      </c>
      <c r="L1902">
        <v>2024</v>
      </c>
    </row>
    <row r="1903" spans="11:12">
      <c r="K1903" t="s">
        <v>227</v>
      </c>
      <c r="L1903">
        <v>2024</v>
      </c>
    </row>
    <row r="1904" spans="11:12">
      <c r="K1904" t="s">
        <v>1549</v>
      </c>
      <c r="L1904">
        <v>2024</v>
      </c>
    </row>
    <row r="1905" spans="11:12">
      <c r="K1905" t="s">
        <v>592</v>
      </c>
      <c r="L1905">
        <v>2024</v>
      </c>
    </row>
    <row r="1906" spans="11:12">
      <c r="K1906" t="s">
        <v>927</v>
      </c>
      <c r="L1906">
        <v>2024</v>
      </c>
    </row>
    <row r="1907" spans="11:12">
      <c r="K1907" t="s">
        <v>1902</v>
      </c>
      <c r="L1907">
        <v>2024</v>
      </c>
    </row>
    <row r="1908" spans="11:12">
      <c r="K1908" t="s">
        <v>295</v>
      </c>
      <c r="L1908">
        <v>2024</v>
      </c>
    </row>
    <row r="1909" spans="11:12">
      <c r="K1909" t="s">
        <v>243</v>
      </c>
      <c r="L1909">
        <v>2024</v>
      </c>
    </row>
    <row r="1910" spans="11:12">
      <c r="K1910" t="s">
        <v>947</v>
      </c>
      <c r="L1910">
        <v>2024</v>
      </c>
    </row>
    <row r="1911" spans="11:12">
      <c r="K1911" t="s">
        <v>1099</v>
      </c>
      <c r="L1911">
        <v>2024</v>
      </c>
    </row>
    <row r="1912" spans="11:12">
      <c r="K1912" t="s">
        <v>2273</v>
      </c>
      <c r="L1912">
        <v>2024</v>
      </c>
    </row>
    <row r="1913" spans="11:12">
      <c r="K1913" t="s">
        <v>1371</v>
      </c>
      <c r="L1913">
        <v>2024</v>
      </c>
    </row>
    <row r="1914" spans="11:12">
      <c r="K1914" t="s">
        <v>790</v>
      </c>
      <c r="L1914">
        <v>2024</v>
      </c>
    </row>
    <row r="1915" spans="11:12">
      <c r="K1915" t="s">
        <v>975</v>
      </c>
      <c r="L1915">
        <v>2024</v>
      </c>
    </row>
    <row r="1916" spans="11:12">
      <c r="K1916" t="s">
        <v>1935</v>
      </c>
      <c r="L1916">
        <v>2024</v>
      </c>
    </row>
    <row r="1917" spans="11:12">
      <c r="K1917" t="s">
        <v>2248</v>
      </c>
      <c r="L1917">
        <v>2024</v>
      </c>
    </row>
    <row r="1918" spans="11:12">
      <c r="K1918" t="s">
        <v>2320</v>
      </c>
      <c r="L1918">
        <v>2024</v>
      </c>
    </row>
    <row r="1919" spans="11:12">
      <c r="K1919" t="s">
        <v>1419</v>
      </c>
      <c r="L1919">
        <v>2024</v>
      </c>
    </row>
    <row r="1920" spans="11:12">
      <c r="K1920" t="s">
        <v>923</v>
      </c>
      <c r="L1920">
        <v>2024</v>
      </c>
    </row>
    <row r="1921" spans="11:12">
      <c r="K1921" t="s">
        <v>979</v>
      </c>
      <c r="L1921">
        <v>2024</v>
      </c>
    </row>
    <row r="1922" spans="11:12">
      <c r="K1922" t="s">
        <v>697</v>
      </c>
      <c r="L1922">
        <v>2024</v>
      </c>
    </row>
    <row r="1923" spans="11:12">
      <c r="K1923" t="s">
        <v>1236</v>
      </c>
      <c r="L1923">
        <v>2024</v>
      </c>
    </row>
    <row r="1924" spans="11:12">
      <c r="K1924" t="s">
        <v>229</v>
      </c>
      <c r="L1924">
        <v>2024</v>
      </c>
    </row>
    <row r="1925" spans="11:12">
      <c r="K1925" t="s">
        <v>826</v>
      </c>
      <c r="L1925">
        <v>2024</v>
      </c>
    </row>
    <row r="1926" spans="11:12">
      <c r="K1926" t="s">
        <v>2126</v>
      </c>
      <c r="L1926">
        <v>2024</v>
      </c>
    </row>
    <row r="1927" spans="11:12">
      <c r="K1927" t="s">
        <v>2300</v>
      </c>
      <c r="L1927">
        <v>2024</v>
      </c>
    </row>
    <row r="1928" spans="11:12">
      <c r="K1928" t="s">
        <v>558</v>
      </c>
      <c r="L1928">
        <v>2024</v>
      </c>
    </row>
    <row r="1929" spans="11:12">
      <c r="K1929" t="s">
        <v>1322</v>
      </c>
      <c r="L1929">
        <v>2024</v>
      </c>
    </row>
    <row r="1930" spans="11:12">
      <c r="K1930" t="s">
        <v>2244</v>
      </c>
      <c r="L1930">
        <v>2024</v>
      </c>
    </row>
    <row r="1931" spans="11:12">
      <c r="K1931" t="s">
        <v>492</v>
      </c>
      <c r="L1931">
        <v>2024</v>
      </c>
    </row>
    <row r="1932" spans="11:12">
      <c r="K1932" t="s">
        <v>773</v>
      </c>
      <c r="L1932">
        <v>2024</v>
      </c>
    </row>
    <row r="1933" spans="11:12">
      <c r="K1933" t="s">
        <v>917</v>
      </c>
      <c r="L1933">
        <v>2024</v>
      </c>
    </row>
    <row r="1934" spans="11:12">
      <c r="K1934" t="s">
        <v>145</v>
      </c>
      <c r="L1934">
        <v>2024</v>
      </c>
    </row>
    <row r="1935" spans="11:12">
      <c r="K1935" t="s">
        <v>1519</v>
      </c>
      <c r="L1935">
        <v>2024</v>
      </c>
    </row>
    <row r="1936" spans="11:12">
      <c r="K1936" t="s">
        <v>1793</v>
      </c>
      <c r="L1936">
        <v>2024</v>
      </c>
    </row>
    <row r="1937" spans="11:12">
      <c r="K1937" t="s">
        <v>11</v>
      </c>
      <c r="L1937">
        <v>2024</v>
      </c>
    </row>
    <row r="1938" spans="11:12">
      <c r="K1938" t="s">
        <v>1595</v>
      </c>
      <c r="L1938">
        <v>2024</v>
      </c>
    </row>
    <row r="1939" spans="11:12">
      <c r="K1939" t="s">
        <v>1375</v>
      </c>
      <c r="L1939">
        <v>2024</v>
      </c>
    </row>
    <row r="1940" spans="11:12">
      <c r="K1940" t="s">
        <v>1885</v>
      </c>
      <c r="L1940">
        <v>2024</v>
      </c>
    </row>
    <row r="1941" spans="11:12">
      <c r="K1941" t="s">
        <v>2659</v>
      </c>
      <c r="L1941">
        <v>2024</v>
      </c>
    </row>
    <row r="1942" spans="11:12">
      <c r="K1942" t="s">
        <v>532</v>
      </c>
      <c r="L1942">
        <v>2024</v>
      </c>
    </row>
    <row r="1943" spans="11:12">
      <c r="K1943" t="s">
        <v>1773</v>
      </c>
      <c r="L1943">
        <v>2024</v>
      </c>
    </row>
    <row r="1944" spans="11:12">
      <c r="K1944" t="s">
        <v>2117</v>
      </c>
      <c r="L1944">
        <v>2024</v>
      </c>
    </row>
    <row r="1945" spans="11:12">
      <c r="K1945" t="s">
        <v>2449</v>
      </c>
      <c r="L1945">
        <v>2024</v>
      </c>
    </row>
    <row r="1946" spans="11:12">
      <c r="K1946" t="s">
        <v>1865</v>
      </c>
      <c r="L1946">
        <v>2024</v>
      </c>
    </row>
    <row r="1947" spans="11:12">
      <c r="K1947" t="s">
        <v>1550</v>
      </c>
      <c r="L1947">
        <v>2024</v>
      </c>
    </row>
    <row r="1948" spans="11:12">
      <c r="K1948" t="s">
        <v>2164</v>
      </c>
      <c r="L1948">
        <v>2024</v>
      </c>
    </row>
    <row r="1949" spans="11:12">
      <c r="K1949" t="s">
        <v>1725</v>
      </c>
      <c r="L1949">
        <v>2024</v>
      </c>
    </row>
    <row r="1950" spans="11:12">
      <c r="K1950" t="s">
        <v>2512</v>
      </c>
      <c r="L1950">
        <v>2024</v>
      </c>
    </row>
    <row r="1951" spans="11:12">
      <c r="K1951" t="s">
        <v>1180</v>
      </c>
      <c r="L1951">
        <v>2024</v>
      </c>
    </row>
    <row r="1952" spans="11:12">
      <c r="K1952" t="s">
        <v>1900</v>
      </c>
      <c r="L1952">
        <v>2024</v>
      </c>
    </row>
    <row r="1953" spans="11:12">
      <c r="K1953" t="s">
        <v>1620</v>
      </c>
      <c r="L1953">
        <v>2024</v>
      </c>
    </row>
    <row r="1954" spans="11:12">
      <c r="K1954" t="s">
        <v>1573</v>
      </c>
      <c r="L1954">
        <v>2024</v>
      </c>
    </row>
    <row r="1955" spans="11:12">
      <c r="K1955" t="s">
        <v>2109</v>
      </c>
      <c r="L1955">
        <v>2024</v>
      </c>
    </row>
    <row r="1956" spans="11:12">
      <c r="K1956" t="s">
        <v>578</v>
      </c>
      <c r="L1956">
        <v>2024</v>
      </c>
    </row>
    <row r="1957" spans="11:12">
      <c r="K1957" t="s">
        <v>949</v>
      </c>
      <c r="L1957">
        <v>2024</v>
      </c>
    </row>
    <row r="1958" spans="11:12">
      <c r="K1958" t="s">
        <v>454</v>
      </c>
      <c r="L1958">
        <v>2024</v>
      </c>
    </row>
    <row r="1959" spans="11:12">
      <c r="K1959" t="s">
        <v>1724</v>
      </c>
      <c r="L1959">
        <v>2024</v>
      </c>
    </row>
    <row r="1960" spans="11:12">
      <c r="K1960" t="s">
        <v>1387</v>
      </c>
      <c r="L1960">
        <v>2024</v>
      </c>
    </row>
    <row r="1961" spans="11:12">
      <c r="K1961" t="s">
        <v>1586</v>
      </c>
      <c r="L1961">
        <v>2024</v>
      </c>
    </row>
    <row r="1962" spans="11:12">
      <c r="K1962" t="s">
        <v>511</v>
      </c>
      <c r="L1962">
        <v>2024</v>
      </c>
    </row>
    <row r="1963" spans="11:12">
      <c r="K1963" t="s">
        <v>2383</v>
      </c>
      <c r="L1963">
        <v>2024</v>
      </c>
    </row>
    <row r="1964" spans="11:12">
      <c r="K1964" t="s">
        <v>2431</v>
      </c>
      <c r="L1964">
        <v>2024</v>
      </c>
    </row>
    <row r="1965" spans="11:12">
      <c r="K1965" t="s">
        <v>2321</v>
      </c>
      <c r="L1965">
        <v>2024</v>
      </c>
    </row>
    <row r="1966" spans="11:12">
      <c r="K1966" t="s">
        <v>485</v>
      </c>
      <c r="L1966">
        <v>2024</v>
      </c>
    </row>
    <row r="1967" spans="11:12">
      <c r="K1967" t="s">
        <v>1279</v>
      </c>
      <c r="L1967">
        <v>2024</v>
      </c>
    </row>
    <row r="1968" spans="11:12">
      <c r="K1968" t="s">
        <v>494</v>
      </c>
      <c r="L1968">
        <v>2024</v>
      </c>
    </row>
    <row r="1969" spans="11:12">
      <c r="K1969" t="s">
        <v>1101</v>
      </c>
      <c r="L1969">
        <v>2024</v>
      </c>
    </row>
    <row r="1970" spans="11:12">
      <c r="K1970" t="s">
        <v>1679</v>
      </c>
      <c r="L1970">
        <v>2024</v>
      </c>
    </row>
    <row r="1971" spans="11:12">
      <c r="K1971" t="s">
        <v>258</v>
      </c>
      <c r="L1971">
        <v>2024</v>
      </c>
    </row>
    <row r="1972" spans="11:12">
      <c r="K1972" t="s">
        <v>2185</v>
      </c>
      <c r="L1972">
        <v>2024</v>
      </c>
    </row>
    <row r="1973" spans="11:12">
      <c r="K1973" t="s">
        <v>2190</v>
      </c>
      <c r="L1973">
        <v>2024</v>
      </c>
    </row>
    <row r="1974" spans="11:12">
      <c r="K1974" t="s">
        <v>1046</v>
      </c>
      <c r="L1974">
        <v>2024</v>
      </c>
    </row>
    <row r="1975" spans="11:12">
      <c r="K1975" t="s">
        <v>2634</v>
      </c>
      <c r="L1975">
        <v>2024</v>
      </c>
    </row>
    <row r="1976" spans="11:12">
      <c r="K1976" t="s">
        <v>2090</v>
      </c>
      <c r="L1976">
        <v>2024</v>
      </c>
    </row>
    <row r="1977" spans="11:12">
      <c r="K1977" t="s">
        <v>277</v>
      </c>
      <c r="L1977">
        <v>2024</v>
      </c>
    </row>
    <row r="1978" spans="11:12">
      <c r="K1978" t="s">
        <v>1373</v>
      </c>
      <c r="L1978">
        <v>2024</v>
      </c>
    </row>
    <row r="1979" spans="11:12">
      <c r="K1979" t="s">
        <v>1459</v>
      </c>
      <c r="L1979">
        <v>2024</v>
      </c>
    </row>
    <row r="1980" spans="11:12">
      <c r="K1980" t="s">
        <v>1673</v>
      </c>
      <c r="L1980">
        <v>2024</v>
      </c>
    </row>
    <row r="1981" spans="11:12">
      <c r="K1981" t="s">
        <v>2102</v>
      </c>
      <c r="L1981">
        <v>2024</v>
      </c>
    </row>
    <row r="1982" spans="11:12">
      <c r="K1982" t="s">
        <v>71</v>
      </c>
      <c r="L1982">
        <v>2024</v>
      </c>
    </row>
    <row r="1983" spans="11:12">
      <c r="K1983" t="s">
        <v>220</v>
      </c>
      <c r="L1983">
        <v>2024</v>
      </c>
    </row>
    <row r="1984" spans="11:12">
      <c r="K1984" t="s">
        <v>1395</v>
      </c>
      <c r="L1984">
        <v>2024</v>
      </c>
    </row>
    <row r="1985" spans="11:12">
      <c r="K1985" t="s">
        <v>1361</v>
      </c>
      <c r="L1985">
        <v>2024</v>
      </c>
    </row>
    <row r="1986" spans="11:12">
      <c r="K1986" t="s">
        <v>210</v>
      </c>
      <c r="L1986">
        <v>2024</v>
      </c>
    </row>
    <row r="1987" spans="11:12">
      <c r="K1987" t="s">
        <v>985</v>
      </c>
      <c r="L1987">
        <v>2024</v>
      </c>
    </row>
    <row r="1988" spans="11:12">
      <c r="K1988" t="s">
        <v>594</v>
      </c>
      <c r="L1988">
        <v>2024</v>
      </c>
    </row>
    <row r="1989" spans="11:12">
      <c r="K1989" t="s">
        <v>673</v>
      </c>
      <c r="L1989">
        <v>2024</v>
      </c>
    </row>
    <row r="1990" spans="11:12">
      <c r="K1990" t="s">
        <v>2552</v>
      </c>
      <c r="L1990">
        <v>2024</v>
      </c>
    </row>
    <row r="1991" spans="11:12">
      <c r="K1991" t="s">
        <v>535</v>
      </c>
      <c r="L1991">
        <v>2024</v>
      </c>
    </row>
    <row r="1992" spans="11:12">
      <c r="K1992" t="s">
        <v>2434</v>
      </c>
      <c r="L1992">
        <v>2024</v>
      </c>
    </row>
    <row r="1993" spans="11:12">
      <c r="K1993" t="s">
        <v>1476</v>
      </c>
      <c r="L1993">
        <v>2024</v>
      </c>
    </row>
    <row r="1994" spans="11:12">
      <c r="K1994" t="s">
        <v>1802</v>
      </c>
      <c r="L1994">
        <v>2024</v>
      </c>
    </row>
    <row r="1995" spans="11:12">
      <c r="K1995" t="s">
        <v>452</v>
      </c>
      <c r="L1995">
        <v>2024</v>
      </c>
    </row>
    <row r="1996" spans="11:12">
      <c r="K1996" t="s">
        <v>2261</v>
      </c>
      <c r="L1996">
        <v>2024</v>
      </c>
    </row>
    <row r="1997" spans="11:12">
      <c r="K1997" t="s">
        <v>2476</v>
      </c>
      <c r="L1997">
        <v>2024</v>
      </c>
    </row>
    <row r="1998" spans="11:12">
      <c r="K1998" t="s">
        <v>925</v>
      </c>
      <c r="L1998">
        <v>2024</v>
      </c>
    </row>
    <row r="1999" spans="11:12">
      <c r="K1999" t="s">
        <v>1690</v>
      </c>
      <c r="L1999">
        <v>2024</v>
      </c>
    </row>
    <row r="2000" spans="11:12">
      <c r="K2000" t="s">
        <v>1303</v>
      </c>
      <c r="L2000">
        <v>2024</v>
      </c>
    </row>
    <row r="2001" spans="11:12">
      <c r="K2001" t="s">
        <v>396</v>
      </c>
      <c r="L2001">
        <v>2024</v>
      </c>
    </row>
    <row r="2002" spans="11:12">
      <c r="K2002" t="s">
        <v>1637</v>
      </c>
      <c r="L2002">
        <v>2024</v>
      </c>
    </row>
    <row r="2003" spans="11:12">
      <c r="K2003" t="s">
        <v>287</v>
      </c>
      <c r="L2003">
        <v>2024</v>
      </c>
    </row>
    <row r="2004" spans="11:12">
      <c r="K2004" t="s">
        <v>365</v>
      </c>
      <c r="L2004">
        <v>2024</v>
      </c>
    </row>
    <row r="2005" spans="11:12">
      <c r="K2005" t="s">
        <v>2328</v>
      </c>
      <c r="L2005">
        <v>2024</v>
      </c>
    </row>
    <row r="2006" spans="11:12">
      <c r="K2006" t="s">
        <v>2663</v>
      </c>
      <c r="L2006">
        <v>2024</v>
      </c>
    </row>
    <row r="2007" spans="11:12">
      <c r="K2007" t="s">
        <v>2408</v>
      </c>
      <c r="L2007">
        <v>2024</v>
      </c>
    </row>
    <row r="2008" spans="11:12">
      <c r="K2008" t="s">
        <v>815</v>
      </c>
      <c r="L2008">
        <v>2024</v>
      </c>
    </row>
    <row r="2009" spans="11:12">
      <c r="K2009" t="s">
        <v>666</v>
      </c>
      <c r="L2009">
        <v>2024</v>
      </c>
    </row>
    <row r="2010" spans="11:12">
      <c r="K2010" t="s">
        <v>2093</v>
      </c>
      <c r="L2010">
        <v>2024</v>
      </c>
    </row>
    <row r="2011" spans="11:12">
      <c r="K2011" t="s">
        <v>2062</v>
      </c>
      <c r="L2011">
        <v>2024</v>
      </c>
    </row>
    <row r="2012" spans="11:12">
      <c r="K2012" t="s">
        <v>178</v>
      </c>
      <c r="L2012">
        <v>2024</v>
      </c>
    </row>
    <row r="2013" spans="11:12">
      <c r="K2013" t="s">
        <v>1671</v>
      </c>
      <c r="L2013">
        <v>2024</v>
      </c>
    </row>
    <row r="2014" spans="11:12">
      <c r="K2014" t="s">
        <v>2667</v>
      </c>
      <c r="L2014">
        <v>2024</v>
      </c>
    </row>
    <row r="2015" spans="11:12">
      <c r="K2015" t="s">
        <v>2103</v>
      </c>
      <c r="L2015">
        <v>2024</v>
      </c>
    </row>
    <row r="2016" spans="11:12">
      <c r="K2016" t="s">
        <v>34</v>
      </c>
      <c r="L2016">
        <v>2024</v>
      </c>
    </row>
    <row r="2017" spans="11:12">
      <c r="K2017" t="s">
        <v>124</v>
      </c>
      <c r="L2017">
        <v>2024</v>
      </c>
    </row>
    <row r="2018" spans="11:12">
      <c r="K2018" t="s">
        <v>1635</v>
      </c>
      <c r="L2018">
        <v>2024</v>
      </c>
    </row>
    <row r="2019" spans="11:12">
      <c r="K2019" t="s">
        <v>591</v>
      </c>
      <c r="L2019">
        <v>2024</v>
      </c>
    </row>
    <row r="2020" spans="11:12">
      <c r="K2020" t="s">
        <v>1988</v>
      </c>
      <c r="L2020">
        <v>2024</v>
      </c>
    </row>
    <row r="2021" spans="11:12">
      <c r="K2021" t="s">
        <v>1428</v>
      </c>
      <c r="L2021">
        <v>2024</v>
      </c>
    </row>
    <row r="2022" spans="11:12">
      <c r="K2022" t="s">
        <v>1509</v>
      </c>
      <c r="L2022">
        <v>2024</v>
      </c>
    </row>
    <row r="2023" spans="11:12">
      <c r="K2023" t="s">
        <v>2315</v>
      </c>
      <c r="L2023">
        <v>2024</v>
      </c>
    </row>
    <row r="2024" spans="11:12">
      <c r="K2024" t="s">
        <v>1468</v>
      </c>
      <c r="L2024">
        <v>2024</v>
      </c>
    </row>
    <row r="2025" spans="11:12">
      <c r="K2025" t="s">
        <v>477</v>
      </c>
      <c r="L2025">
        <v>2024</v>
      </c>
    </row>
    <row r="2026" spans="11:12">
      <c r="K2026" t="s">
        <v>1345</v>
      </c>
      <c r="L2026">
        <v>2024</v>
      </c>
    </row>
    <row r="2027" spans="11:12">
      <c r="K2027" t="s">
        <v>1363</v>
      </c>
      <c r="L2027">
        <v>2024</v>
      </c>
    </row>
    <row r="2028" spans="11:12">
      <c r="K2028" t="s">
        <v>1260</v>
      </c>
      <c r="L2028">
        <v>2024</v>
      </c>
    </row>
    <row r="2029" spans="11:12">
      <c r="K2029" t="s">
        <v>1011</v>
      </c>
      <c r="L2029">
        <v>2024</v>
      </c>
    </row>
    <row r="2030" spans="11:12">
      <c r="K2030" t="s">
        <v>204</v>
      </c>
      <c r="L2030">
        <v>2024</v>
      </c>
    </row>
    <row r="2031" spans="11:12">
      <c r="K2031" t="s">
        <v>585</v>
      </c>
      <c r="L2031">
        <v>2024</v>
      </c>
    </row>
    <row r="2032" spans="11:12">
      <c r="K2032" t="s">
        <v>1678</v>
      </c>
      <c r="L2032">
        <v>2024</v>
      </c>
    </row>
    <row r="2033" spans="11:12">
      <c r="K2033" t="s">
        <v>1701</v>
      </c>
      <c r="L2033">
        <v>2024</v>
      </c>
    </row>
    <row r="2034" spans="11:12">
      <c r="K2034" t="s">
        <v>1887</v>
      </c>
      <c r="L2034">
        <v>2024</v>
      </c>
    </row>
    <row r="2035" spans="11:12">
      <c r="K2035" t="s">
        <v>598</v>
      </c>
      <c r="L2035">
        <v>2024</v>
      </c>
    </row>
    <row r="2036" spans="11:12">
      <c r="K2036" t="s">
        <v>1530</v>
      </c>
      <c r="L2036">
        <v>2024</v>
      </c>
    </row>
    <row r="2037" spans="11:12">
      <c r="K2037" t="s">
        <v>1284</v>
      </c>
      <c r="L2037">
        <v>2024</v>
      </c>
    </row>
    <row r="2038" spans="11:12">
      <c r="K2038" t="s">
        <v>2582</v>
      </c>
      <c r="L2038">
        <v>2024</v>
      </c>
    </row>
    <row r="2039" spans="11:12">
      <c r="K2039" t="s">
        <v>1113</v>
      </c>
      <c r="L2039">
        <v>2024</v>
      </c>
    </row>
    <row r="2040" spans="11:12">
      <c r="K2040" t="s">
        <v>1385</v>
      </c>
      <c r="L2040">
        <v>2024</v>
      </c>
    </row>
    <row r="2041" spans="11:12">
      <c r="K2041" t="s">
        <v>1557</v>
      </c>
      <c r="L2041">
        <v>2024</v>
      </c>
    </row>
    <row r="2042" spans="11:12">
      <c r="K2042" t="s">
        <v>965</v>
      </c>
      <c r="L2042">
        <v>2024</v>
      </c>
    </row>
    <row r="2043" spans="11:12">
      <c r="K2043" t="s">
        <v>2272</v>
      </c>
      <c r="L2043">
        <v>2024</v>
      </c>
    </row>
    <row r="2044" spans="11:12">
      <c r="K2044" t="s">
        <v>1014</v>
      </c>
      <c r="L2044">
        <v>2024</v>
      </c>
    </row>
    <row r="2045" spans="11:12">
      <c r="K2045" t="s">
        <v>1521</v>
      </c>
      <c r="L2045">
        <v>2024</v>
      </c>
    </row>
    <row r="2046" spans="11:12">
      <c r="K2046" t="s">
        <v>1431</v>
      </c>
      <c r="L2046">
        <v>2024</v>
      </c>
    </row>
    <row r="2047" spans="11:12">
      <c r="K2047" t="s">
        <v>2671</v>
      </c>
      <c r="L2047">
        <v>2024</v>
      </c>
    </row>
    <row r="2048" spans="11:12">
      <c r="K2048" t="s">
        <v>1665</v>
      </c>
      <c r="L2048">
        <v>2024</v>
      </c>
    </row>
    <row r="2049" spans="11:12">
      <c r="K2049" t="s">
        <v>677</v>
      </c>
      <c r="L2049">
        <v>2024</v>
      </c>
    </row>
    <row r="2050" spans="11:12">
      <c r="K2050" t="s">
        <v>1288</v>
      </c>
      <c r="L2050">
        <v>2024</v>
      </c>
    </row>
    <row r="2051" spans="11:12">
      <c r="K2051" t="s">
        <v>345</v>
      </c>
      <c r="L2051">
        <v>2024</v>
      </c>
    </row>
    <row r="2052" spans="11:12">
      <c r="K2052" t="s">
        <v>967</v>
      </c>
      <c r="L2052">
        <v>2024</v>
      </c>
    </row>
    <row r="2053" spans="11:12">
      <c r="K2053" t="s">
        <v>2279</v>
      </c>
      <c r="L2053">
        <v>2024</v>
      </c>
    </row>
    <row r="2054" spans="11:12">
      <c r="K2054" t="s">
        <v>2096</v>
      </c>
      <c r="L2054">
        <v>2024</v>
      </c>
    </row>
    <row r="2055" spans="11:12">
      <c r="K2055" t="s">
        <v>885</v>
      </c>
      <c r="L2055">
        <v>2024</v>
      </c>
    </row>
    <row r="2056" spans="11:12">
      <c r="K2056" t="s">
        <v>1893</v>
      </c>
      <c r="L2056">
        <v>2024</v>
      </c>
    </row>
    <row r="2057" spans="11:12">
      <c r="K2057" t="s">
        <v>2207</v>
      </c>
      <c r="L2057">
        <v>2024</v>
      </c>
    </row>
    <row r="2058" spans="11:12">
      <c r="K2058" t="s">
        <v>1124</v>
      </c>
      <c r="L2058">
        <v>2024</v>
      </c>
    </row>
    <row r="2059" spans="11:12">
      <c r="K2059" t="s">
        <v>994</v>
      </c>
      <c r="L2059">
        <v>2024</v>
      </c>
    </row>
    <row r="2060" spans="11:12">
      <c r="K2060" t="s">
        <v>614</v>
      </c>
      <c r="L2060">
        <v>2024</v>
      </c>
    </row>
    <row r="2061" spans="11:12">
      <c r="K2061" t="s">
        <v>1633</v>
      </c>
      <c r="L2061">
        <v>2024</v>
      </c>
    </row>
    <row r="2062" spans="11:12">
      <c r="K2062" t="s">
        <v>875</v>
      </c>
      <c r="L2062">
        <v>2024</v>
      </c>
    </row>
    <row r="2063" spans="11:12">
      <c r="K2063" t="s">
        <v>133</v>
      </c>
      <c r="L2063">
        <v>2024</v>
      </c>
    </row>
    <row r="2064" spans="11:12">
      <c r="K2064" t="s">
        <v>1543</v>
      </c>
      <c r="L2064">
        <v>2024</v>
      </c>
    </row>
    <row r="2065" spans="11:12">
      <c r="K2065" t="s">
        <v>1612</v>
      </c>
      <c r="L2065">
        <v>2024</v>
      </c>
    </row>
    <row r="2066" spans="11:12">
      <c r="K2066" t="s">
        <v>859</v>
      </c>
      <c r="L2066">
        <v>2024</v>
      </c>
    </row>
    <row r="2067" spans="11:12">
      <c r="K2067" t="s">
        <v>1948</v>
      </c>
      <c r="L2067">
        <v>2024</v>
      </c>
    </row>
    <row r="2068" spans="11:12">
      <c r="K2068" t="s">
        <v>1959</v>
      </c>
      <c r="L2068">
        <v>2024</v>
      </c>
    </row>
    <row r="2069" spans="11:12">
      <c r="K2069" t="s">
        <v>817</v>
      </c>
      <c r="L2069">
        <v>2024</v>
      </c>
    </row>
    <row r="2070" spans="11:12">
      <c r="K2070" t="s">
        <v>378</v>
      </c>
      <c r="L2070">
        <v>2024</v>
      </c>
    </row>
    <row r="2071" spans="11:12">
      <c r="K2071" t="s">
        <v>822</v>
      </c>
      <c r="L2071">
        <v>2024</v>
      </c>
    </row>
    <row r="2072" spans="11:12">
      <c r="K2072" t="s">
        <v>2246</v>
      </c>
      <c r="L2072">
        <v>2024</v>
      </c>
    </row>
    <row r="2073" spans="11:12">
      <c r="K2073" t="s">
        <v>1918</v>
      </c>
      <c r="L2073">
        <v>2024</v>
      </c>
    </row>
    <row r="2074" spans="11:12">
      <c r="K2074" t="s">
        <v>2176</v>
      </c>
      <c r="L2074">
        <v>2024</v>
      </c>
    </row>
    <row r="2075" spans="11:12">
      <c r="K2075" t="s">
        <v>1200</v>
      </c>
      <c r="L2075">
        <v>2024</v>
      </c>
    </row>
    <row r="2076" spans="11:12">
      <c r="K2076" t="s">
        <v>714</v>
      </c>
      <c r="L2076">
        <v>2024</v>
      </c>
    </row>
    <row r="2077" spans="11:12">
      <c r="K2077" t="s">
        <v>2199</v>
      </c>
      <c r="L2077">
        <v>2024</v>
      </c>
    </row>
    <row r="2078" spans="11:12">
      <c r="K2078" t="s">
        <v>1738</v>
      </c>
      <c r="L2078">
        <v>2024</v>
      </c>
    </row>
    <row r="2079" spans="11:12">
      <c r="K2079" t="s">
        <v>2250</v>
      </c>
      <c r="L2079">
        <v>2024</v>
      </c>
    </row>
    <row r="2080" spans="11:12">
      <c r="K2080" t="s">
        <v>2140</v>
      </c>
      <c r="L2080">
        <v>2024</v>
      </c>
    </row>
    <row r="2081" spans="11:12">
      <c r="K2081" t="s">
        <v>2641</v>
      </c>
      <c r="L2081">
        <v>2024</v>
      </c>
    </row>
    <row r="2082" spans="11:12">
      <c r="K2082" t="s">
        <v>1801</v>
      </c>
      <c r="L2082">
        <v>2024</v>
      </c>
    </row>
    <row r="2083" spans="11:12">
      <c r="K2083" t="s">
        <v>685</v>
      </c>
      <c r="L2083">
        <v>2024</v>
      </c>
    </row>
    <row r="2084" spans="11:12">
      <c r="K2084" t="s">
        <v>1523</v>
      </c>
      <c r="L2084">
        <v>2024</v>
      </c>
    </row>
    <row r="2085" spans="11:12">
      <c r="K2085" t="s">
        <v>2178</v>
      </c>
      <c r="L2085">
        <v>2024</v>
      </c>
    </row>
    <row r="2086" spans="11:12">
      <c r="K2086" t="s">
        <v>391</v>
      </c>
      <c r="L2086">
        <v>2024</v>
      </c>
    </row>
    <row r="2087" spans="11:12">
      <c r="K2087" t="s">
        <v>321</v>
      </c>
      <c r="L2087">
        <v>2024</v>
      </c>
    </row>
    <row r="2088" spans="11:12">
      <c r="K2088" t="s">
        <v>2468</v>
      </c>
      <c r="L2088">
        <v>2024</v>
      </c>
    </row>
    <row r="2089" spans="11:12">
      <c r="K2089" t="s">
        <v>2385</v>
      </c>
      <c r="L2089">
        <v>2024</v>
      </c>
    </row>
    <row r="2090" spans="11:12">
      <c r="K2090" t="s">
        <v>24</v>
      </c>
      <c r="L2090">
        <v>2024</v>
      </c>
    </row>
    <row r="2091" spans="11:12">
      <c r="K2091" t="s">
        <v>1358</v>
      </c>
      <c r="L2091">
        <v>2024</v>
      </c>
    </row>
    <row r="2092" spans="11:12">
      <c r="K2092" t="s">
        <v>130</v>
      </c>
      <c r="L2092">
        <v>2024</v>
      </c>
    </row>
    <row r="2093" spans="11:12">
      <c r="K2093" t="s">
        <v>1753</v>
      </c>
      <c r="L2093">
        <v>2024</v>
      </c>
    </row>
    <row r="2094" spans="11:12">
      <c r="K2094" t="s">
        <v>2575</v>
      </c>
      <c r="L2094">
        <v>2024</v>
      </c>
    </row>
    <row r="2095" spans="11:12">
      <c r="K2095" t="s">
        <v>1154</v>
      </c>
      <c r="L2095">
        <v>2024</v>
      </c>
    </row>
    <row r="2096" spans="11:12">
      <c r="K2096" t="s">
        <v>716</v>
      </c>
      <c r="L2096">
        <v>2024</v>
      </c>
    </row>
    <row r="2097" spans="11:12">
      <c r="K2097" t="s">
        <v>279</v>
      </c>
      <c r="L2097">
        <v>2024</v>
      </c>
    </row>
    <row r="2098" spans="11:12">
      <c r="K2098" t="s">
        <v>2414</v>
      </c>
      <c r="L2098">
        <v>2024</v>
      </c>
    </row>
    <row r="2099" spans="11:12">
      <c r="K2099" t="s">
        <v>336</v>
      </c>
      <c r="L2099">
        <v>2024</v>
      </c>
    </row>
    <row r="2100" spans="11:12">
      <c r="K2100" t="s">
        <v>1682</v>
      </c>
      <c r="L2100">
        <v>2024</v>
      </c>
    </row>
    <row r="2101" spans="11:12">
      <c r="K2101" t="s">
        <v>2232</v>
      </c>
      <c r="L2101">
        <v>2024</v>
      </c>
    </row>
    <row r="2102" spans="11:12">
      <c r="K2102" t="s">
        <v>1289</v>
      </c>
      <c r="L2102">
        <v>2024</v>
      </c>
    </row>
    <row r="2103" spans="11:12">
      <c r="K2103" t="s">
        <v>1048</v>
      </c>
      <c r="L2103">
        <v>2024</v>
      </c>
    </row>
    <row r="2104" spans="11:12">
      <c r="K2104" t="s">
        <v>1007</v>
      </c>
      <c r="L2104">
        <v>2024</v>
      </c>
    </row>
    <row r="2105" spans="11:12">
      <c r="K2105" t="s">
        <v>1743</v>
      </c>
      <c r="L2105">
        <v>2024</v>
      </c>
    </row>
    <row r="2106" spans="11:12">
      <c r="K2106" t="s">
        <v>426</v>
      </c>
      <c r="L2106">
        <v>2024</v>
      </c>
    </row>
    <row r="2107" spans="11:12">
      <c r="K2107" t="s">
        <v>1616</v>
      </c>
      <c r="L2107">
        <v>2024</v>
      </c>
    </row>
    <row r="2108" spans="11:12">
      <c r="K2108" t="s">
        <v>1803</v>
      </c>
      <c r="L2108">
        <v>2024</v>
      </c>
    </row>
    <row r="2109" spans="11:12">
      <c r="K2109" t="s">
        <v>580</v>
      </c>
      <c r="L2109">
        <v>2024</v>
      </c>
    </row>
    <row r="2110" spans="11:12">
      <c r="K2110" t="s">
        <v>1273</v>
      </c>
      <c r="L2110">
        <v>2024</v>
      </c>
    </row>
    <row r="2111" spans="11:12">
      <c r="K2111" t="s">
        <v>1695</v>
      </c>
      <c r="L2111">
        <v>2024</v>
      </c>
    </row>
    <row r="2112" spans="11:12">
      <c r="K2112" t="s">
        <v>1243</v>
      </c>
      <c r="L2112">
        <v>2024</v>
      </c>
    </row>
    <row r="2113" spans="11:12">
      <c r="K2113" t="s">
        <v>589</v>
      </c>
      <c r="L2113">
        <v>2024</v>
      </c>
    </row>
    <row r="2114" spans="11:12">
      <c r="K2114" t="s">
        <v>1473</v>
      </c>
      <c r="L2114">
        <v>2024</v>
      </c>
    </row>
    <row r="2115" spans="11:12">
      <c r="K2115" t="s">
        <v>1076</v>
      </c>
      <c r="L2115">
        <v>2024</v>
      </c>
    </row>
    <row r="2116" spans="11:12">
      <c r="K2116" t="s">
        <v>1415</v>
      </c>
      <c r="L2116">
        <v>2024</v>
      </c>
    </row>
    <row r="2117" spans="11:12">
      <c r="K2117" t="s">
        <v>1909</v>
      </c>
      <c r="L2117">
        <v>2024</v>
      </c>
    </row>
    <row r="2118" spans="11:12">
      <c r="K2118" t="s">
        <v>2255</v>
      </c>
      <c r="L2118">
        <v>2024</v>
      </c>
    </row>
    <row r="2119" spans="11:12">
      <c r="K2119" t="s">
        <v>793</v>
      </c>
      <c r="L2119">
        <v>2024</v>
      </c>
    </row>
    <row r="2120" spans="11:12">
      <c r="K2120" t="s">
        <v>516</v>
      </c>
      <c r="L2120">
        <v>2024</v>
      </c>
    </row>
    <row r="2121" spans="11:12">
      <c r="K2121" t="s">
        <v>924</v>
      </c>
      <c r="L2121">
        <v>2024</v>
      </c>
    </row>
    <row r="2122" spans="11:12">
      <c r="K2122" t="s">
        <v>564</v>
      </c>
      <c r="L2122">
        <v>2024</v>
      </c>
    </row>
    <row r="2123" spans="11:12">
      <c r="K2123" t="s">
        <v>873</v>
      </c>
      <c r="L2123">
        <v>2024</v>
      </c>
    </row>
    <row r="2124" spans="11:12">
      <c r="K2124" t="s">
        <v>1516</v>
      </c>
      <c r="L2124">
        <v>2024</v>
      </c>
    </row>
    <row r="2125" spans="11:12">
      <c r="K2125" t="s">
        <v>1461</v>
      </c>
      <c r="L2125">
        <v>2024</v>
      </c>
    </row>
    <row r="2126" spans="11:12">
      <c r="K2126" t="s">
        <v>942</v>
      </c>
      <c r="L2126">
        <v>2024</v>
      </c>
    </row>
    <row r="2127" spans="11:12">
      <c r="K2127" t="s">
        <v>282</v>
      </c>
      <c r="L2127">
        <v>2024</v>
      </c>
    </row>
    <row r="2128" spans="11:12">
      <c r="K2128" t="s">
        <v>2114</v>
      </c>
      <c r="L2128">
        <v>2024</v>
      </c>
    </row>
    <row r="2129" spans="11:12">
      <c r="K2129" t="s">
        <v>881</v>
      </c>
      <c r="L2129">
        <v>2024</v>
      </c>
    </row>
    <row r="2130" spans="11:12">
      <c r="K2130" t="s">
        <v>771</v>
      </c>
      <c r="L2130">
        <v>2024</v>
      </c>
    </row>
    <row r="2131" spans="11:12">
      <c r="K2131" t="s">
        <v>805</v>
      </c>
      <c r="L2131">
        <v>2024</v>
      </c>
    </row>
    <row r="2132" spans="11:12">
      <c r="K2132" t="s">
        <v>489</v>
      </c>
      <c r="L2132">
        <v>2024</v>
      </c>
    </row>
    <row r="2133" spans="11:12">
      <c r="K2133" t="s">
        <v>256</v>
      </c>
      <c r="L2133">
        <v>2024</v>
      </c>
    </row>
    <row r="2134" spans="11:12">
      <c r="K2134" t="s">
        <v>711</v>
      </c>
      <c r="L2134">
        <v>2024</v>
      </c>
    </row>
    <row r="2135" spans="11:12">
      <c r="K2135" t="s">
        <v>56</v>
      </c>
      <c r="L2135">
        <v>2024</v>
      </c>
    </row>
    <row r="2136" spans="11:12">
      <c r="K2136" t="s">
        <v>297</v>
      </c>
      <c r="L2136">
        <v>2024</v>
      </c>
    </row>
    <row r="2137" spans="11:12">
      <c r="K2137" t="s">
        <v>1435</v>
      </c>
      <c r="L2137">
        <v>2024</v>
      </c>
    </row>
    <row r="2138" spans="11:12">
      <c r="K2138" t="s">
        <v>1663</v>
      </c>
      <c r="L2138">
        <v>2024</v>
      </c>
    </row>
    <row r="2139" spans="11:12">
      <c r="K2139" t="s">
        <v>96</v>
      </c>
      <c r="L2139">
        <v>2024</v>
      </c>
    </row>
    <row r="2140" spans="11:12">
      <c r="K2140" t="s">
        <v>412</v>
      </c>
      <c r="L2140">
        <v>2024</v>
      </c>
    </row>
    <row r="2141" spans="11:12">
      <c r="K2141" t="s">
        <v>2437</v>
      </c>
      <c r="L2141">
        <v>2024</v>
      </c>
    </row>
    <row r="2142" spans="11:12">
      <c r="K2142" t="s">
        <v>1819</v>
      </c>
      <c r="L2142">
        <v>2024</v>
      </c>
    </row>
    <row r="2143" spans="11:12">
      <c r="K2143" t="s">
        <v>1183</v>
      </c>
      <c r="L2143">
        <v>2024</v>
      </c>
    </row>
    <row r="2144" spans="11:12">
      <c r="K2144" t="s">
        <v>1198</v>
      </c>
      <c r="L2144">
        <v>2024</v>
      </c>
    </row>
    <row r="2145" spans="11:12">
      <c r="K2145" t="s">
        <v>919</v>
      </c>
      <c r="L2145">
        <v>2024</v>
      </c>
    </row>
    <row r="2146" spans="11:12">
      <c r="K2146" t="s">
        <v>736</v>
      </c>
      <c r="L2146">
        <v>2024</v>
      </c>
    </row>
    <row r="2147" spans="11:12">
      <c r="K2147" t="s">
        <v>173</v>
      </c>
      <c r="L2147">
        <v>2024</v>
      </c>
    </row>
    <row r="2148" spans="11:12">
      <c r="K2148" t="s">
        <v>419</v>
      </c>
      <c r="L2148">
        <v>2024</v>
      </c>
    </row>
    <row r="2149" spans="11:12">
      <c r="K2149" t="s">
        <v>2227</v>
      </c>
      <c r="L2149">
        <v>2024</v>
      </c>
    </row>
    <row r="2150" spans="11:12">
      <c r="K2150" t="s">
        <v>1426</v>
      </c>
      <c r="L2150">
        <v>2024</v>
      </c>
    </row>
    <row r="2151" spans="11:12">
      <c r="K2151" t="s">
        <v>796</v>
      </c>
      <c r="L2151">
        <v>2024</v>
      </c>
    </row>
    <row r="2152" spans="11:12">
      <c r="K2152" t="s">
        <v>464</v>
      </c>
      <c r="L2152">
        <v>2024</v>
      </c>
    </row>
    <row r="2153" spans="11:12">
      <c r="K2153" t="s">
        <v>734</v>
      </c>
      <c r="L2153">
        <v>2024</v>
      </c>
    </row>
    <row r="2154" spans="11:12">
      <c r="K2154" t="s">
        <v>902</v>
      </c>
      <c r="L2154">
        <v>2024</v>
      </c>
    </row>
    <row r="2155" spans="11:12">
      <c r="K2155" t="s">
        <v>232</v>
      </c>
      <c r="L2155">
        <v>2024</v>
      </c>
    </row>
    <row r="2156" spans="11:12">
      <c r="K2156" t="s">
        <v>48</v>
      </c>
      <c r="L2156">
        <v>2024</v>
      </c>
    </row>
    <row r="2157" spans="11:12">
      <c r="K2157" t="s">
        <v>1079</v>
      </c>
      <c r="L2157">
        <v>2024</v>
      </c>
    </row>
    <row r="2158" spans="11:12">
      <c r="K2158" t="s">
        <v>1619</v>
      </c>
      <c r="L2158">
        <v>2024</v>
      </c>
    </row>
    <row r="2159" spans="11:12">
      <c r="K2159" t="s">
        <v>1785</v>
      </c>
      <c r="L2159">
        <v>2024</v>
      </c>
    </row>
    <row r="2160" spans="11:12">
      <c r="K2160" t="s">
        <v>780</v>
      </c>
      <c r="L2160">
        <v>2024</v>
      </c>
    </row>
    <row r="2161" spans="11:12">
      <c r="K2161" t="s">
        <v>380</v>
      </c>
      <c r="L2161">
        <v>2024</v>
      </c>
    </row>
    <row r="2162" spans="11:12">
      <c r="K2162" t="s">
        <v>754</v>
      </c>
      <c r="L2162">
        <v>2024</v>
      </c>
    </row>
    <row r="2163" spans="11:12">
      <c r="K2163" t="s">
        <v>470</v>
      </c>
      <c r="L2163">
        <v>2024</v>
      </c>
    </row>
    <row r="2164" spans="11:12">
      <c r="K2164" t="s">
        <v>744</v>
      </c>
      <c r="L2164">
        <v>2024</v>
      </c>
    </row>
    <row r="2165" spans="11:12">
      <c r="K2165" t="s">
        <v>1341</v>
      </c>
      <c r="L2165">
        <v>2024</v>
      </c>
    </row>
    <row r="2166" spans="11:12">
      <c r="K2166" t="s">
        <v>375</v>
      </c>
      <c r="L2166">
        <v>2024</v>
      </c>
    </row>
    <row r="2167" spans="11:12">
      <c r="K2167" t="s">
        <v>1914</v>
      </c>
      <c r="L2167">
        <v>2024</v>
      </c>
    </row>
    <row r="2168" spans="11:12">
      <c r="K2168" t="s">
        <v>1570</v>
      </c>
      <c r="L2168">
        <v>2024</v>
      </c>
    </row>
    <row r="2169" spans="11:12">
      <c r="K2169" t="s">
        <v>1736</v>
      </c>
      <c r="L2169">
        <v>2024</v>
      </c>
    </row>
    <row r="2170" spans="11:12">
      <c r="K2170" t="s">
        <v>1440</v>
      </c>
      <c r="L2170">
        <v>2024</v>
      </c>
    </row>
    <row r="2171" spans="11:12">
      <c r="K2171" t="s">
        <v>1922</v>
      </c>
      <c r="L2171">
        <v>2024</v>
      </c>
    </row>
    <row r="2172" spans="11:12">
      <c r="K2172" t="s">
        <v>2465</v>
      </c>
      <c r="L2172">
        <v>2024</v>
      </c>
    </row>
    <row r="2173" spans="11:12">
      <c r="K2173" t="s">
        <v>1403</v>
      </c>
      <c r="L2173">
        <v>2024</v>
      </c>
    </row>
    <row r="2174" spans="11:12">
      <c r="K2174" t="s">
        <v>285</v>
      </c>
      <c r="L2174">
        <v>2024</v>
      </c>
    </row>
    <row r="2175" spans="11:12">
      <c r="K2175" t="s">
        <v>1037</v>
      </c>
      <c r="L2175">
        <v>2024</v>
      </c>
    </row>
    <row r="2176" spans="11:12">
      <c r="K2176" t="s">
        <v>719</v>
      </c>
      <c r="L2176">
        <v>2024</v>
      </c>
    </row>
    <row r="2177" spans="11:12">
      <c r="K2177" t="s">
        <v>1005</v>
      </c>
      <c r="L2177">
        <v>2024</v>
      </c>
    </row>
    <row r="2178" spans="11:12">
      <c r="K2178" t="s">
        <v>604</v>
      </c>
      <c r="L2178">
        <v>2024</v>
      </c>
    </row>
    <row r="2179" spans="11:12">
      <c r="K2179" t="s">
        <v>1996</v>
      </c>
      <c r="L2179">
        <v>2024</v>
      </c>
    </row>
    <row r="2180" spans="11:12">
      <c r="K2180" t="s">
        <v>626</v>
      </c>
      <c r="L2180">
        <v>2024</v>
      </c>
    </row>
    <row r="2181" spans="11:12">
      <c r="K2181" t="s">
        <v>791</v>
      </c>
      <c r="L2181">
        <v>2024</v>
      </c>
    </row>
    <row r="2182" spans="11:12">
      <c r="K2182" t="s">
        <v>909</v>
      </c>
      <c r="L2182">
        <v>2024</v>
      </c>
    </row>
    <row r="2183" spans="11:12">
      <c r="K2183" t="s">
        <v>632</v>
      </c>
      <c r="L2183">
        <v>2024</v>
      </c>
    </row>
    <row r="2184" spans="11:12">
      <c r="K2184" t="s">
        <v>667</v>
      </c>
      <c r="L2184">
        <v>2024</v>
      </c>
    </row>
    <row r="2185" spans="11:12">
      <c r="K2185" t="s">
        <v>999</v>
      </c>
      <c r="L2185">
        <v>2024</v>
      </c>
    </row>
    <row r="2186" spans="11:12">
      <c r="K2186" t="s">
        <v>409</v>
      </c>
      <c r="L2186">
        <v>2024</v>
      </c>
    </row>
    <row r="2187" spans="11:12">
      <c r="K2187" t="s">
        <v>1277</v>
      </c>
      <c r="L2187">
        <v>2024</v>
      </c>
    </row>
    <row r="2188" spans="11:12">
      <c r="K2188" t="s">
        <v>1115</v>
      </c>
      <c r="L2188">
        <v>2024</v>
      </c>
    </row>
    <row r="2189" spans="11:12">
      <c r="K2189" t="s">
        <v>1507</v>
      </c>
      <c r="L2189">
        <v>2024</v>
      </c>
    </row>
    <row r="2190" spans="11:12">
      <c r="K2190" t="s">
        <v>811</v>
      </c>
      <c r="L2190">
        <v>2024</v>
      </c>
    </row>
    <row r="2191" spans="11:12">
      <c r="K2191" t="s">
        <v>2067</v>
      </c>
      <c r="L2191">
        <v>2024</v>
      </c>
    </row>
    <row r="2192" spans="11:12">
      <c r="K2192" t="s">
        <v>1377</v>
      </c>
      <c r="L2192">
        <v>2024</v>
      </c>
    </row>
    <row r="2193" spans="11:12">
      <c r="K2193" t="s">
        <v>1018</v>
      </c>
      <c r="L2193">
        <v>2024</v>
      </c>
    </row>
    <row r="2194" spans="11:12">
      <c r="K2194" t="s">
        <v>214</v>
      </c>
      <c r="L2194">
        <v>2024</v>
      </c>
    </row>
    <row r="2195" spans="11:12">
      <c r="K2195" t="s">
        <v>121</v>
      </c>
      <c r="L2195">
        <v>2024</v>
      </c>
    </row>
    <row r="2196" spans="11:12">
      <c r="K2196" t="s">
        <v>861</v>
      </c>
      <c r="L2196">
        <v>2024</v>
      </c>
    </row>
    <row r="2197" spans="11:12">
      <c r="K2197" t="s">
        <v>241</v>
      </c>
      <c r="L2197">
        <v>2024</v>
      </c>
    </row>
    <row r="2198" spans="11:12">
      <c r="K2198" t="s">
        <v>1185</v>
      </c>
      <c r="L2198">
        <v>2024</v>
      </c>
    </row>
    <row r="2199" spans="11:12">
      <c r="K2199" t="s">
        <v>569</v>
      </c>
      <c r="L2199">
        <v>2024</v>
      </c>
    </row>
    <row r="2200" spans="11:12">
      <c r="K2200" t="s">
        <v>1469</v>
      </c>
      <c r="L2200">
        <v>2024</v>
      </c>
    </row>
    <row r="2201" spans="11:12">
      <c r="K2201" t="s">
        <v>1343</v>
      </c>
      <c r="L2201">
        <v>2024</v>
      </c>
    </row>
    <row r="2202" spans="11:12">
      <c r="K2202" t="s">
        <v>1131</v>
      </c>
      <c r="L2202">
        <v>2024</v>
      </c>
    </row>
    <row r="2203" spans="11:12">
      <c r="K2203" t="s">
        <v>653</v>
      </c>
      <c r="L2203">
        <v>2024</v>
      </c>
    </row>
    <row r="2204" spans="11:12">
      <c r="K2204" t="s">
        <v>1828</v>
      </c>
      <c r="L2204">
        <v>2024</v>
      </c>
    </row>
    <row r="2205" spans="11:12">
      <c r="K2205" t="s">
        <v>2685</v>
      </c>
      <c r="L2205">
        <v>2024</v>
      </c>
    </row>
    <row r="2206" spans="11:12">
      <c r="K2206" t="s">
        <v>2390</v>
      </c>
      <c r="L2206">
        <v>2024</v>
      </c>
    </row>
    <row r="2207" spans="11:12">
      <c r="K2207" t="s">
        <v>726</v>
      </c>
      <c r="L2207">
        <v>2024</v>
      </c>
    </row>
    <row r="2208" spans="11:12">
      <c r="K2208" t="s">
        <v>359</v>
      </c>
      <c r="L2208">
        <v>2024</v>
      </c>
    </row>
    <row r="2209" spans="11:12">
      <c r="K2209" t="s">
        <v>357</v>
      </c>
      <c r="L2209">
        <v>2024</v>
      </c>
    </row>
    <row r="2210" spans="11:12">
      <c r="K2210" t="s">
        <v>1175</v>
      </c>
      <c r="L2210">
        <v>2024</v>
      </c>
    </row>
    <row r="2211" spans="11:12">
      <c r="K2211" t="s">
        <v>1659</v>
      </c>
      <c r="L2211">
        <v>2024</v>
      </c>
    </row>
    <row r="2212" spans="11:12">
      <c r="K2212" t="s">
        <v>1209</v>
      </c>
      <c r="L2212">
        <v>2024</v>
      </c>
    </row>
    <row r="2213" spans="11:12">
      <c r="K2213" t="s">
        <v>1336</v>
      </c>
      <c r="L2213">
        <v>2024</v>
      </c>
    </row>
    <row r="2214" spans="11:12">
      <c r="K2214" t="s">
        <v>1485</v>
      </c>
      <c r="L2214">
        <v>2024</v>
      </c>
    </row>
    <row r="2215" spans="11:12">
      <c r="K2215" t="s">
        <v>1195</v>
      </c>
      <c r="L2215">
        <v>2024</v>
      </c>
    </row>
    <row r="2216" spans="11:12">
      <c r="K2216" t="s">
        <v>217</v>
      </c>
      <c r="L2216">
        <v>2024</v>
      </c>
    </row>
    <row r="2217" spans="11:12">
      <c r="K2217" t="s">
        <v>1833</v>
      </c>
      <c r="L2217">
        <v>2024</v>
      </c>
    </row>
    <row r="2218" spans="11:12">
      <c r="K2218" t="s">
        <v>2085</v>
      </c>
      <c r="L2218">
        <v>2024</v>
      </c>
    </row>
    <row r="2219" spans="11:12">
      <c r="K2219" t="s">
        <v>435</v>
      </c>
      <c r="L2219">
        <v>2024</v>
      </c>
    </row>
    <row r="2220" spans="11:12">
      <c r="K2220" t="s">
        <v>169</v>
      </c>
      <c r="L2220">
        <v>2024</v>
      </c>
    </row>
    <row r="2221" spans="11:12">
      <c r="K2221" t="s">
        <v>2550</v>
      </c>
      <c r="L2221">
        <v>2024</v>
      </c>
    </row>
    <row r="2222" spans="11:12">
      <c r="K2222" t="s">
        <v>682</v>
      </c>
      <c r="L2222">
        <v>2024</v>
      </c>
    </row>
    <row r="2223" spans="11:12">
      <c r="K2223" t="s">
        <v>1729</v>
      </c>
      <c r="L2223">
        <v>2024</v>
      </c>
    </row>
    <row r="2224" spans="11:12">
      <c r="K2224" t="s">
        <v>1953</v>
      </c>
      <c r="L2224">
        <v>2024</v>
      </c>
    </row>
    <row r="2225" spans="11:12">
      <c r="K2225" t="s">
        <v>197</v>
      </c>
      <c r="L2225">
        <v>2024</v>
      </c>
    </row>
    <row r="2226" spans="11:12">
      <c r="K2226" t="s">
        <v>309</v>
      </c>
      <c r="L2226">
        <v>2024</v>
      </c>
    </row>
    <row r="2227" spans="11:12">
      <c r="K2227" t="s">
        <v>1654</v>
      </c>
      <c r="L2227">
        <v>2024</v>
      </c>
    </row>
    <row r="2228" spans="11:12">
      <c r="K2228" t="s">
        <v>303</v>
      </c>
      <c r="L2228">
        <v>2024</v>
      </c>
    </row>
    <row r="2229" spans="11:12">
      <c r="K2229" t="s">
        <v>1086</v>
      </c>
      <c r="L2229">
        <v>2024</v>
      </c>
    </row>
    <row r="2230" spans="11:12">
      <c r="K2230" t="s">
        <v>1722</v>
      </c>
      <c r="L2230">
        <v>2024</v>
      </c>
    </row>
    <row r="2231" spans="11:12">
      <c r="K2231" t="s">
        <v>824</v>
      </c>
      <c r="L2231">
        <v>2024</v>
      </c>
    </row>
    <row r="2232" spans="11:12">
      <c r="K2232" t="s">
        <v>2158</v>
      </c>
      <c r="L2232">
        <v>2024</v>
      </c>
    </row>
    <row r="2233" spans="11:12">
      <c r="K2233" t="s">
        <v>2039</v>
      </c>
      <c r="L2233">
        <v>2024</v>
      </c>
    </row>
    <row r="2234" spans="11:12">
      <c r="K2234" t="s">
        <v>458</v>
      </c>
      <c r="L2234">
        <v>2024</v>
      </c>
    </row>
    <row r="2235" spans="11:12">
      <c r="K2235" t="s">
        <v>1213</v>
      </c>
      <c r="L2235">
        <v>2024</v>
      </c>
    </row>
    <row r="2236" spans="11:12">
      <c r="K2236" t="s">
        <v>2267</v>
      </c>
      <c r="L2236">
        <v>2024</v>
      </c>
    </row>
    <row r="2237" spans="11:12">
      <c r="K2237" t="s">
        <v>1340</v>
      </c>
      <c r="L2237">
        <v>2024</v>
      </c>
    </row>
    <row r="2238" spans="11:12">
      <c r="K2238" t="s">
        <v>293</v>
      </c>
      <c r="L2238">
        <v>2024</v>
      </c>
    </row>
    <row r="2239" spans="11:12">
      <c r="K2239" t="s">
        <v>421</v>
      </c>
      <c r="L2239">
        <v>2024</v>
      </c>
    </row>
    <row r="2240" spans="11:12">
      <c r="K2240" t="s">
        <v>1565</v>
      </c>
      <c r="L2240">
        <v>2024</v>
      </c>
    </row>
    <row r="2241" spans="11:12">
      <c r="K2241" t="s">
        <v>2147</v>
      </c>
      <c r="L2241">
        <v>2024</v>
      </c>
    </row>
    <row r="2242" spans="11:12">
      <c r="K2242" t="s">
        <v>1025</v>
      </c>
      <c r="L2242">
        <v>2024</v>
      </c>
    </row>
    <row r="2243" spans="11:12">
      <c r="K2243" t="s">
        <v>1783</v>
      </c>
      <c r="L2243">
        <v>2024</v>
      </c>
    </row>
    <row r="2244" spans="11:12">
      <c r="K2244" t="s">
        <v>2546</v>
      </c>
      <c r="L2244">
        <v>2024</v>
      </c>
    </row>
    <row r="2245" spans="11:12">
      <c r="K2245" t="s">
        <v>2690</v>
      </c>
      <c r="L2245">
        <v>2024</v>
      </c>
    </row>
    <row r="2246" spans="11:12">
      <c r="K2246" t="s">
        <v>385</v>
      </c>
      <c r="L2246">
        <v>2024</v>
      </c>
    </row>
    <row r="2247" spans="11:12">
      <c r="K2247" t="s">
        <v>1334</v>
      </c>
      <c r="L2247">
        <v>2024</v>
      </c>
    </row>
    <row r="2248" spans="11:12">
      <c r="K2248" t="s">
        <v>1179</v>
      </c>
      <c r="L2248">
        <v>2024</v>
      </c>
    </row>
    <row r="2249" spans="11:12">
      <c r="K2249" t="s">
        <v>1993</v>
      </c>
      <c r="L2249">
        <v>2024</v>
      </c>
    </row>
    <row r="2250" spans="11:12">
      <c r="K2250" t="s">
        <v>1815</v>
      </c>
      <c r="L2250">
        <v>2024</v>
      </c>
    </row>
    <row r="2251" spans="11:12">
      <c r="K2251" t="s">
        <v>1497</v>
      </c>
      <c r="L2251">
        <v>2024</v>
      </c>
    </row>
    <row r="2252" spans="11:12">
      <c r="K2252" t="s">
        <v>1513</v>
      </c>
      <c r="L2252">
        <v>2024</v>
      </c>
    </row>
    <row r="2253" spans="11:12">
      <c r="K2253" t="s">
        <v>1548</v>
      </c>
      <c r="L2253">
        <v>2024</v>
      </c>
    </row>
    <row r="2254" spans="11:12">
      <c r="K2254" t="s">
        <v>2035</v>
      </c>
      <c r="L2254">
        <v>2024</v>
      </c>
    </row>
    <row r="2255" spans="11:12">
      <c r="K2255" t="s">
        <v>2692</v>
      </c>
      <c r="L2255">
        <v>2024</v>
      </c>
    </row>
    <row r="2256" spans="11:12">
      <c r="K2256" t="s">
        <v>2441</v>
      </c>
      <c r="L2256">
        <v>2024</v>
      </c>
    </row>
    <row r="2257" spans="11:12">
      <c r="K2257" t="s">
        <v>1211</v>
      </c>
      <c r="L2257">
        <v>2024</v>
      </c>
    </row>
    <row r="2258" spans="11:12">
      <c r="K2258" t="s">
        <v>338</v>
      </c>
      <c r="L2258">
        <v>2024</v>
      </c>
    </row>
    <row r="2259" spans="11:12">
      <c r="K2259" t="s">
        <v>698</v>
      </c>
      <c r="L2259">
        <v>2024</v>
      </c>
    </row>
    <row r="2260" spans="11:12">
      <c r="K2260" t="s">
        <v>371</v>
      </c>
      <c r="L2260">
        <v>2024</v>
      </c>
    </row>
    <row r="2261" spans="11:12">
      <c r="K2261" t="s">
        <v>850</v>
      </c>
      <c r="L2261">
        <v>2024</v>
      </c>
    </row>
    <row r="2262" spans="11:12">
      <c r="K2262" t="s">
        <v>429</v>
      </c>
      <c r="L2262">
        <v>2024</v>
      </c>
    </row>
    <row r="2263" spans="11:12">
      <c r="K2263" t="s">
        <v>1040</v>
      </c>
      <c r="L2263">
        <v>2024</v>
      </c>
    </row>
    <row r="2264" spans="11:12">
      <c r="K2264" t="s">
        <v>1262</v>
      </c>
      <c r="L2264">
        <v>2024</v>
      </c>
    </row>
    <row r="2265" spans="11:12">
      <c r="K2265" t="s">
        <v>1275</v>
      </c>
      <c r="L2265">
        <v>2024</v>
      </c>
    </row>
    <row r="2266" spans="11:12">
      <c r="K2266" t="s">
        <v>184</v>
      </c>
      <c r="L2266">
        <v>2024</v>
      </c>
    </row>
    <row r="2267" spans="11:12">
      <c r="K2267" t="s">
        <v>2128</v>
      </c>
      <c r="L2267">
        <v>2024</v>
      </c>
    </row>
    <row r="2268" spans="11:12">
      <c r="K2268" t="s">
        <v>671</v>
      </c>
      <c r="L2268">
        <v>2024</v>
      </c>
    </row>
    <row r="2269" spans="11:12">
      <c r="K2269" t="s">
        <v>60</v>
      </c>
      <c r="L2269">
        <v>2024</v>
      </c>
    </row>
    <row r="2270" spans="11:12">
      <c r="K2270" t="s">
        <v>893</v>
      </c>
      <c r="L2270">
        <v>2024</v>
      </c>
    </row>
    <row r="2271" spans="11:12">
      <c r="K2271" t="s">
        <v>1830</v>
      </c>
      <c r="L2271">
        <v>2024</v>
      </c>
    </row>
    <row r="2272" spans="11:12">
      <c r="K2272" t="s">
        <v>2484</v>
      </c>
      <c r="L2272">
        <v>2024</v>
      </c>
    </row>
    <row r="2273" spans="11:12">
      <c r="K2273" t="s">
        <v>1106</v>
      </c>
      <c r="L2273">
        <v>2024</v>
      </c>
    </row>
    <row r="2274" spans="11:12">
      <c r="K2274" t="s">
        <v>819</v>
      </c>
      <c r="L2274">
        <v>2024</v>
      </c>
    </row>
    <row r="2275" spans="11:12">
      <c r="K2275" t="s">
        <v>1281</v>
      </c>
      <c r="L2275">
        <v>2024</v>
      </c>
    </row>
    <row r="2276" spans="11:12">
      <c r="K2276" t="s">
        <v>163</v>
      </c>
      <c r="L2276">
        <v>2024</v>
      </c>
    </row>
    <row r="2277" spans="11:12">
      <c r="K2277" t="s">
        <v>1140</v>
      </c>
      <c r="L2277">
        <v>2024</v>
      </c>
    </row>
    <row r="2278" spans="11:12">
      <c r="K2278" t="s">
        <v>1232</v>
      </c>
      <c r="L2278">
        <v>2024</v>
      </c>
    </row>
    <row r="2279" spans="11:12">
      <c r="K2279" t="s">
        <v>182</v>
      </c>
      <c r="L2279">
        <v>2024</v>
      </c>
    </row>
    <row r="2280" spans="11:12">
      <c r="K2280" t="s">
        <v>1479</v>
      </c>
      <c r="L2280">
        <v>2024</v>
      </c>
    </row>
    <row r="2281" spans="11:12">
      <c r="K2281" t="s">
        <v>327</v>
      </c>
      <c r="L2281">
        <v>2024</v>
      </c>
    </row>
    <row r="2282" spans="11:12">
      <c r="K2282" t="s">
        <v>405</v>
      </c>
      <c r="L2282">
        <v>2024</v>
      </c>
    </row>
    <row r="2283" spans="11:12">
      <c r="K2283" t="s">
        <v>1223</v>
      </c>
      <c r="L2283">
        <v>2024</v>
      </c>
    </row>
    <row r="2284" spans="11:12">
      <c r="K2284" t="s">
        <v>2382</v>
      </c>
      <c r="L2284">
        <v>2024</v>
      </c>
    </row>
    <row r="2285" spans="11:12">
      <c r="K2285" t="s">
        <v>239</v>
      </c>
      <c r="L2285">
        <v>2024</v>
      </c>
    </row>
    <row r="2286" spans="11:12">
      <c r="K2286" t="s">
        <v>595</v>
      </c>
      <c r="L2286">
        <v>2024</v>
      </c>
    </row>
    <row r="2287" spans="11:12">
      <c r="K2287" t="s">
        <v>1078</v>
      </c>
      <c r="L2287">
        <v>2024</v>
      </c>
    </row>
    <row r="2288" spans="11:12">
      <c r="K2288" t="s">
        <v>2214</v>
      </c>
      <c r="L2288">
        <v>2024</v>
      </c>
    </row>
    <row r="2289" spans="11:12">
      <c r="K2289" t="s">
        <v>648</v>
      </c>
      <c r="L2289">
        <v>2024</v>
      </c>
    </row>
    <row r="2290" spans="11:12">
      <c r="K2290" t="s">
        <v>2278</v>
      </c>
      <c r="L2290">
        <v>2024</v>
      </c>
    </row>
    <row r="2291" spans="11:12">
      <c r="K2291" t="s">
        <v>2256</v>
      </c>
      <c r="L2291">
        <v>2024</v>
      </c>
    </row>
    <row r="2292" spans="11:12">
      <c r="K2292" t="s">
        <v>2539</v>
      </c>
      <c r="L2292">
        <v>2024</v>
      </c>
    </row>
    <row r="2293" spans="11:12">
      <c r="K2293" t="s">
        <v>514</v>
      </c>
      <c r="L2293">
        <v>2024</v>
      </c>
    </row>
    <row r="2294" spans="11:12">
      <c r="K2294" t="s">
        <v>507</v>
      </c>
      <c r="L2294">
        <v>2024</v>
      </c>
    </row>
    <row r="2295" spans="11:12">
      <c r="K2295" t="s">
        <v>674</v>
      </c>
      <c r="L2295">
        <v>2024</v>
      </c>
    </row>
    <row r="2296" spans="11:12">
      <c r="K2296" t="s">
        <v>1044</v>
      </c>
      <c r="L2296">
        <v>2024</v>
      </c>
    </row>
    <row r="2297" spans="11:12">
      <c r="K2297" t="s">
        <v>1799</v>
      </c>
      <c r="L2297">
        <v>2024</v>
      </c>
    </row>
    <row r="2298" spans="11:12">
      <c r="K2298" t="s">
        <v>1504</v>
      </c>
      <c r="L2298">
        <v>2024</v>
      </c>
    </row>
    <row r="2299" spans="11:12">
      <c r="K2299" t="s">
        <v>400</v>
      </c>
      <c r="L2299">
        <v>2024</v>
      </c>
    </row>
    <row r="2300" spans="11:12">
      <c r="K2300" t="s">
        <v>1150</v>
      </c>
      <c r="L2300">
        <v>2024</v>
      </c>
    </row>
    <row r="2301" spans="11:12">
      <c r="K2301" t="s">
        <v>601</v>
      </c>
      <c r="L2301">
        <v>2024</v>
      </c>
    </row>
    <row r="2302" spans="11:12">
      <c r="K2302" t="s">
        <v>2105</v>
      </c>
      <c r="L2302">
        <v>2024</v>
      </c>
    </row>
    <row r="2303" spans="11:12">
      <c r="K2303" t="s">
        <v>1943</v>
      </c>
      <c r="L2303">
        <v>2024</v>
      </c>
    </row>
    <row r="2304" spans="11:12">
      <c r="K2304" t="s">
        <v>891</v>
      </c>
      <c r="L2304">
        <v>2024</v>
      </c>
    </row>
    <row r="2305" spans="11:12">
      <c r="K2305" t="s">
        <v>547</v>
      </c>
      <c r="L2305">
        <v>2024</v>
      </c>
    </row>
    <row r="2306" spans="11:12">
      <c r="K2306" t="s">
        <v>2616</v>
      </c>
      <c r="L2306">
        <v>2024</v>
      </c>
    </row>
    <row r="2307" spans="11:12">
      <c r="K2307" t="s">
        <v>1297</v>
      </c>
      <c r="L2307">
        <v>2024</v>
      </c>
    </row>
    <row r="2308" spans="11:12">
      <c r="K2308" t="s">
        <v>2325</v>
      </c>
      <c r="L2308">
        <v>2024</v>
      </c>
    </row>
    <row r="2309" spans="11:12">
      <c r="K2309" t="s">
        <v>2106</v>
      </c>
      <c r="L2309">
        <v>2024</v>
      </c>
    </row>
    <row r="2310" spans="11:12">
      <c r="K2310" t="s">
        <v>1214</v>
      </c>
      <c r="L2310">
        <v>2024</v>
      </c>
    </row>
    <row r="2311" spans="11:12">
      <c r="K2311" t="s">
        <v>2626</v>
      </c>
      <c r="L2311">
        <v>2024</v>
      </c>
    </row>
    <row r="2312" spans="11:12">
      <c r="K2312" t="s">
        <v>1937</v>
      </c>
      <c r="L2312">
        <v>2024</v>
      </c>
    </row>
    <row r="2313" spans="11:12">
      <c r="K2313" t="s">
        <v>1305</v>
      </c>
      <c r="L2313">
        <v>2024</v>
      </c>
    </row>
    <row r="2314" spans="11:12">
      <c r="K2314" t="s">
        <v>1674</v>
      </c>
      <c r="L2314">
        <v>2024</v>
      </c>
    </row>
    <row r="2315" spans="11:12">
      <c r="K2315" t="s">
        <v>2015</v>
      </c>
      <c r="L2315">
        <v>2024</v>
      </c>
    </row>
    <row r="2316" spans="11:12">
      <c r="K2316" t="s">
        <v>1251</v>
      </c>
      <c r="L2316">
        <v>2024</v>
      </c>
    </row>
    <row r="2317" spans="11:12">
      <c r="K2317" t="s">
        <v>1976</v>
      </c>
      <c r="L2317">
        <v>2024</v>
      </c>
    </row>
    <row r="2318" spans="11:12">
      <c r="K2318" t="s">
        <v>246</v>
      </c>
      <c r="L2318">
        <v>2024</v>
      </c>
    </row>
    <row r="2319" spans="11:12">
      <c r="K2319" t="s">
        <v>953</v>
      </c>
      <c r="L2319">
        <v>2024</v>
      </c>
    </row>
    <row r="2320" spans="11:12">
      <c r="K2320" t="s">
        <v>1576</v>
      </c>
      <c r="L2320">
        <v>2024</v>
      </c>
    </row>
    <row r="2321" spans="11:12">
      <c r="K2321" t="s">
        <v>904</v>
      </c>
      <c r="L2321">
        <v>2024</v>
      </c>
    </row>
  </sheetData>
  <pageMargins left="0.7" right="0.7" top="0.75" bottom="0.75" header="0.3" footer="0.3"/>
  <pageSetup orientation="portrait" horizontalDpi="0" verticalDpi="0"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93"/>
  <sheetViews>
    <sheetView topLeftCell="A763" workbookViewId="0">
      <selection activeCell="A3" sqref="A3:B793"/>
    </sheetView>
  </sheetViews>
  <sheetFormatPr defaultRowHeight="13.8"/>
  <cols>
    <col min="1" max="1" width="20.5" bestFit="1" customWidth="1"/>
    <col min="2" max="2" width="11.69921875" bestFit="1" customWidth="1"/>
  </cols>
  <sheetData>
    <row r="3" spans="1:2">
      <c r="A3" t="s">
        <v>2711</v>
      </c>
      <c r="B3" t="s">
        <v>2714</v>
      </c>
    </row>
    <row r="4" spans="1:2">
      <c r="A4" t="s">
        <v>212</v>
      </c>
      <c r="B4">
        <v>4044</v>
      </c>
    </row>
    <row r="5" spans="1:2">
      <c r="A5" t="s">
        <v>560</v>
      </c>
      <c r="B5">
        <v>6066</v>
      </c>
    </row>
    <row r="6" spans="1:2">
      <c r="A6" t="s">
        <v>1035</v>
      </c>
      <c r="B6">
        <v>6068</v>
      </c>
    </row>
    <row r="7" spans="1:2">
      <c r="A7" t="s">
        <v>2255</v>
      </c>
      <c r="B7">
        <v>6069</v>
      </c>
    </row>
    <row r="8" spans="1:2">
      <c r="A8" t="s">
        <v>1633</v>
      </c>
      <c r="B8">
        <v>8090</v>
      </c>
    </row>
    <row r="9" spans="1:2">
      <c r="A9" t="s">
        <v>1363</v>
      </c>
      <c r="B9">
        <v>8090</v>
      </c>
    </row>
    <row r="10" spans="1:2">
      <c r="A10" t="s">
        <v>1819</v>
      </c>
      <c r="B10">
        <v>8090</v>
      </c>
    </row>
    <row r="11" spans="1:2">
      <c r="A11" t="s">
        <v>965</v>
      </c>
      <c r="B11">
        <v>6068</v>
      </c>
    </row>
    <row r="12" spans="1:2">
      <c r="A12" t="s">
        <v>2627</v>
      </c>
      <c r="B12">
        <v>2023</v>
      </c>
    </row>
    <row r="13" spans="1:2">
      <c r="A13" t="s">
        <v>261</v>
      </c>
      <c r="B13">
        <v>6066</v>
      </c>
    </row>
    <row r="14" spans="1:2">
      <c r="A14" t="s">
        <v>1635</v>
      </c>
      <c r="B14">
        <v>6067</v>
      </c>
    </row>
    <row r="15" spans="1:2">
      <c r="A15" t="s">
        <v>1667</v>
      </c>
      <c r="B15">
        <v>6067</v>
      </c>
    </row>
    <row r="16" spans="1:2">
      <c r="A16" t="s">
        <v>1937</v>
      </c>
      <c r="B16">
        <v>6069</v>
      </c>
    </row>
    <row r="17" spans="1:2">
      <c r="A17" t="s">
        <v>1725</v>
      </c>
      <c r="B17">
        <v>8090</v>
      </c>
    </row>
    <row r="18" spans="1:2">
      <c r="A18" t="s">
        <v>1480</v>
      </c>
      <c r="B18">
        <v>6066</v>
      </c>
    </row>
    <row r="19" spans="1:2">
      <c r="A19" t="s">
        <v>309</v>
      </c>
      <c r="B19">
        <v>8090</v>
      </c>
    </row>
    <row r="20" spans="1:2">
      <c r="A20" t="s">
        <v>1005</v>
      </c>
      <c r="B20">
        <v>8090</v>
      </c>
    </row>
    <row r="21" spans="1:2">
      <c r="A21" t="s">
        <v>666</v>
      </c>
      <c r="B21">
        <v>8090</v>
      </c>
    </row>
    <row r="22" spans="1:2">
      <c r="A22" t="s">
        <v>2528</v>
      </c>
      <c r="B22">
        <v>2023</v>
      </c>
    </row>
    <row r="23" spans="1:2">
      <c r="A23" t="s">
        <v>575</v>
      </c>
      <c r="B23">
        <v>6066</v>
      </c>
    </row>
    <row r="24" spans="1:2">
      <c r="A24" t="s">
        <v>421</v>
      </c>
      <c r="B24">
        <v>8090</v>
      </c>
    </row>
    <row r="25" spans="1:2">
      <c r="A25" t="s">
        <v>2580</v>
      </c>
      <c r="B25">
        <v>2023</v>
      </c>
    </row>
    <row r="26" spans="1:2">
      <c r="A26" t="s">
        <v>1870</v>
      </c>
      <c r="B26">
        <v>4043</v>
      </c>
    </row>
    <row r="27" spans="1:2">
      <c r="A27" t="s">
        <v>1440</v>
      </c>
      <c r="B27">
        <v>8090</v>
      </c>
    </row>
    <row r="28" spans="1:2">
      <c r="A28" t="s">
        <v>556</v>
      </c>
      <c r="B28">
        <v>6066</v>
      </c>
    </row>
    <row r="29" spans="1:2">
      <c r="A29" t="s">
        <v>549</v>
      </c>
      <c r="B29">
        <v>4044</v>
      </c>
    </row>
    <row r="30" spans="1:2">
      <c r="A30" t="s">
        <v>1426</v>
      </c>
      <c r="B30">
        <v>6067</v>
      </c>
    </row>
    <row r="31" spans="1:2">
      <c r="A31" t="s">
        <v>942</v>
      </c>
      <c r="B31">
        <v>6068</v>
      </c>
    </row>
    <row r="32" spans="1:2">
      <c r="A32" t="s">
        <v>1701</v>
      </c>
      <c r="B32">
        <v>8090</v>
      </c>
    </row>
    <row r="33" spans="1:2">
      <c r="A33" t="s">
        <v>1536</v>
      </c>
      <c r="B33">
        <v>6066</v>
      </c>
    </row>
    <row r="34" spans="1:2">
      <c r="A34" t="s">
        <v>1887</v>
      </c>
      <c r="B34">
        <v>6069</v>
      </c>
    </row>
    <row r="35" spans="1:2">
      <c r="A35" t="s">
        <v>614</v>
      </c>
      <c r="B35">
        <v>6068</v>
      </c>
    </row>
    <row r="36" spans="1:2">
      <c r="A36" t="s">
        <v>1888</v>
      </c>
      <c r="B36">
        <v>4045</v>
      </c>
    </row>
    <row r="37" spans="1:2">
      <c r="A37" t="s">
        <v>603</v>
      </c>
      <c r="B37">
        <v>6066</v>
      </c>
    </row>
    <row r="38" spans="1:2">
      <c r="A38" t="s">
        <v>1097</v>
      </c>
      <c r="B38">
        <v>4043</v>
      </c>
    </row>
    <row r="39" spans="1:2">
      <c r="A39" t="s">
        <v>1707</v>
      </c>
      <c r="B39">
        <v>8090</v>
      </c>
    </row>
    <row r="40" spans="1:2">
      <c r="A40" t="s">
        <v>480</v>
      </c>
      <c r="B40">
        <v>4044</v>
      </c>
    </row>
    <row r="41" spans="1:2">
      <c r="A41" t="s">
        <v>2566</v>
      </c>
      <c r="B41">
        <v>2023</v>
      </c>
    </row>
    <row r="42" spans="1:2">
      <c r="A42" t="s">
        <v>1513</v>
      </c>
      <c r="B42">
        <v>6068</v>
      </c>
    </row>
    <row r="43" spans="1:2">
      <c r="A43" t="s">
        <v>1650</v>
      </c>
      <c r="B43">
        <v>4043</v>
      </c>
    </row>
    <row r="44" spans="1:2">
      <c r="A44" t="s">
        <v>2248</v>
      </c>
      <c r="B44">
        <v>4046</v>
      </c>
    </row>
    <row r="45" spans="1:2">
      <c r="A45" t="s">
        <v>1046</v>
      </c>
      <c r="B45">
        <v>8090</v>
      </c>
    </row>
    <row r="46" spans="1:2">
      <c r="A46" t="s">
        <v>863</v>
      </c>
      <c r="B46">
        <v>6066</v>
      </c>
    </row>
    <row r="47" spans="1:2">
      <c r="A47" t="s">
        <v>1476</v>
      </c>
      <c r="B47">
        <v>6068</v>
      </c>
    </row>
    <row r="48" spans="1:2">
      <c r="A48" t="s">
        <v>2067</v>
      </c>
      <c r="B48">
        <v>6069</v>
      </c>
    </row>
    <row r="49" spans="1:2">
      <c r="A49" t="s">
        <v>445</v>
      </c>
      <c r="B49">
        <v>6066</v>
      </c>
    </row>
    <row r="50" spans="1:2">
      <c r="A50" t="s">
        <v>1530</v>
      </c>
      <c r="B50">
        <v>8090</v>
      </c>
    </row>
    <row r="51" spans="1:2">
      <c r="A51" t="s">
        <v>248</v>
      </c>
      <c r="B51">
        <v>6066</v>
      </c>
    </row>
    <row r="52" spans="1:2">
      <c r="A52" t="s">
        <v>1198</v>
      </c>
      <c r="B52">
        <v>8090</v>
      </c>
    </row>
    <row r="53" spans="1:2">
      <c r="A53" t="s">
        <v>327</v>
      </c>
      <c r="B53">
        <v>8090</v>
      </c>
    </row>
    <row r="54" spans="1:2">
      <c r="A54" t="s">
        <v>1314</v>
      </c>
      <c r="B54">
        <v>4043</v>
      </c>
    </row>
    <row r="55" spans="1:2">
      <c r="A55" t="s">
        <v>56</v>
      </c>
      <c r="B55">
        <v>8090</v>
      </c>
    </row>
    <row r="56" spans="1:2">
      <c r="A56" t="s">
        <v>671</v>
      </c>
      <c r="B56">
        <v>6068</v>
      </c>
    </row>
    <row r="57" spans="1:2">
      <c r="A57" t="s">
        <v>2586</v>
      </c>
      <c r="B57">
        <v>2023</v>
      </c>
    </row>
    <row r="58" spans="1:2">
      <c r="A58" t="s">
        <v>893</v>
      </c>
      <c r="B58">
        <v>8090</v>
      </c>
    </row>
    <row r="59" spans="1:2">
      <c r="A59" t="s">
        <v>2014</v>
      </c>
      <c r="B59">
        <v>2022</v>
      </c>
    </row>
    <row r="60" spans="1:2">
      <c r="A60" t="s">
        <v>589</v>
      </c>
      <c r="B60">
        <v>8090</v>
      </c>
    </row>
    <row r="61" spans="1:2">
      <c r="A61" t="s">
        <v>2385</v>
      </c>
      <c r="B61">
        <v>6069</v>
      </c>
    </row>
    <row r="62" spans="1:2">
      <c r="A62" t="s">
        <v>645</v>
      </c>
      <c r="B62">
        <v>6066</v>
      </c>
    </row>
    <row r="63" spans="1:2">
      <c r="A63" t="s">
        <v>1007</v>
      </c>
      <c r="B63">
        <v>8090</v>
      </c>
    </row>
    <row r="64" spans="1:2">
      <c r="A64" t="s">
        <v>1154</v>
      </c>
      <c r="B64">
        <v>6068</v>
      </c>
    </row>
    <row r="65" spans="1:2">
      <c r="A65" t="s">
        <v>953</v>
      </c>
      <c r="B65">
        <v>8090</v>
      </c>
    </row>
    <row r="66" spans="1:2">
      <c r="A66" t="s">
        <v>246</v>
      </c>
      <c r="B66">
        <v>8090</v>
      </c>
    </row>
    <row r="67" spans="1:2">
      <c r="A67" t="s">
        <v>1300</v>
      </c>
      <c r="B67">
        <v>2021</v>
      </c>
    </row>
    <row r="68" spans="1:2">
      <c r="A68" t="s">
        <v>961</v>
      </c>
      <c r="B68">
        <v>6066</v>
      </c>
    </row>
    <row r="69" spans="1:2">
      <c r="A69" t="s">
        <v>1037</v>
      </c>
      <c r="B69">
        <v>8090</v>
      </c>
    </row>
    <row r="70" spans="1:2">
      <c r="A70" t="s">
        <v>1380</v>
      </c>
      <c r="B70">
        <v>4044</v>
      </c>
    </row>
    <row r="71" spans="1:2">
      <c r="A71" t="s">
        <v>204</v>
      </c>
      <c r="B71">
        <v>8090</v>
      </c>
    </row>
    <row r="72" spans="1:2">
      <c r="A72" t="s">
        <v>1576</v>
      </c>
      <c r="B72">
        <v>8090</v>
      </c>
    </row>
    <row r="73" spans="1:2">
      <c r="A73" t="s">
        <v>1459</v>
      </c>
      <c r="B73">
        <v>6068</v>
      </c>
    </row>
    <row r="74" spans="1:2">
      <c r="A74" t="s">
        <v>719</v>
      </c>
      <c r="B74">
        <v>6067</v>
      </c>
    </row>
    <row r="75" spans="1:2">
      <c r="A75" t="s">
        <v>1714</v>
      </c>
      <c r="B75">
        <v>2021</v>
      </c>
    </row>
    <row r="76" spans="1:2">
      <c r="A76" t="s">
        <v>790</v>
      </c>
      <c r="B76">
        <v>8090</v>
      </c>
    </row>
    <row r="77" spans="1:2">
      <c r="A77" t="s">
        <v>1965</v>
      </c>
      <c r="B77">
        <v>6069</v>
      </c>
    </row>
    <row r="78" spans="1:2">
      <c r="A78" t="s">
        <v>919</v>
      </c>
      <c r="B78">
        <v>8090</v>
      </c>
    </row>
    <row r="79" spans="1:2">
      <c r="A79" t="s">
        <v>1236</v>
      </c>
      <c r="B79">
        <v>6068</v>
      </c>
    </row>
    <row r="80" spans="1:2">
      <c r="A80" t="s">
        <v>2103</v>
      </c>
      <c r="B80">
        <v>6069</v>
      </c>
    </row>
    <row r="81" spans="1:2">
      <c r="A81" t="s">
        <v>532</v>
      </c>
      <c r="B81">
        <v>8090</v>
      </c>
    </row>
    <row r="82" spans="1:2">
      <c r="A82" t="s">
        <v>1976</v>
      </c>
      <c r="B82">
        <v>6069</v>
      </c>
    </row>
    <row r="83" spans="1:2">
      <c r="A83" t="s">
        <v>1115</v>
      </c>
      <c r="B83">
        <v>6068</v>
      </c>
    </row>
    <row r="84" spans="1:2">
      <c r="A84" t="s">
        <v>1586</v>
      </c>
      <c r="B84">
        <v>6068</v>
      </c>
    </row>
    <row r="85" spans="1:2">
      <c r="A85" t="s">
        <v>554</v>
      </c>
      <c r="B85">
        <v>6066</v>
      </c>
    </row>
    <row r="86" spans="1:2">
      <c r="A86" t="s">
        <v>1979</v>
      </c>
      <c r="B86">
        <v>6069</v>
      </c>
    </row>
    <row r="87" spans="1:2">
      <c r="A87" t="s">
        <v>1053</v>
      </c>
      <c r="B87">
        <v>6066</v>
      </c>
    </row>
    <row r="88" spans="1:2">
      <c r="A88" t="s">
        <v>371</v>
      </c>
      <c r="B88">
        <v>4045</v>
      </c>
    </row>
    <row r="89" spans="1:2">
      <c r="A89" t="s">
        <v>1425</v>
      </c>
      <c r="B89">
        <v>6068</v>
      </c>
    </row>
    <row r="90" spans="1:2">
      <c r="A90" t="s">
        <v>571</v>
      </c>
      <c r="B90">
        <v>6067</v>
      </c>
    </row>
    <row r="91" spans="1:2">
      <c r="A91" t="s">
        <v>2096</v>
      </c>
      <c r="B91">
        <v>6069</v>
      </c>
    </row>
    <row r="92" spans="1:2">
      <c r="A92" t="s">
        <v>2434</v>
      </c>
      <c r="B92">
        <v>4047</v>
      </c>
    </row>
    <row r="93" spans="1:2">
      <c r="A93" t="s">
        <v>2425</v>
      </c>
      <c r="B93">
        <v>4047</v>
      </c>
    </row>
    <row r="94" spans="1:2">
      <c r="A94" t="s">
        <v>617</v>
      </c>
      <c r="B94">
        <v>4044</v>
      </c>
    </row>
    <row r="95" spans="1:2">
      <c r="A95" t="s">
        <v>1724</v>
      </c>
      <c r="B95">
        <v>6067</v>
      </c>
    </row>
    <row r="96" spans="1:2">
      <c r="A96" t="s">
        <v>1519</v>
      </c>
      <c r="B96">
        <v>8090</v>
      </c>
    </row>
    <row r="97" spans="1:2">
      <c r="A97" t="s">
        <v>2446</v>
      </c>
      <c r="B97">
        <v>4047</v>
      </c>
    </row>
    <row r="98" spans="1:2">
      <c r="A98" t="s">
        <v>2234</v>
      </c>
      <c r="B98">
        <v>2022</v>
      </c>
    </row>
    <row r="99" spans="1:2">
      <c r="A99" t="s">
        <v>776</v>
      </c>
      <c r="B99">
        <v>4044</v>
      </c>
    </row>
    <row r="100" spans="1:2">
      <c r="A100" t="s">
        <v>2176</v>
      </c>
      <c r="B100">
        <v>6069</v>
      </c>
    </row>
    <row r="101" spans="1:2">
      <c r="A101" t="s">
        <v>1279</v>
      </c>
      <c r="B101">
        <v>6067</v>
      </c>
    </row>
    <row r="102" spans="1:2">
      <c r="A102" t="s">
        <v>2418</v>
      </c>
      <c r="B102">
        <v>4045</v>
      </c>
    </row>
    <row r="103" spans="1:2">
      <c r="A103" t="s">
        <v>158</v>
      </c>
      <c r="B103">
        <v>6067</v>
      </c>
    </row>
    <row r="104" spans="1:2">
      <c r="A104" t="s">
        <v>316</v>
      </c>
      <c r="B104">
        <v>4044</v>
      </c>
    </row>
    <row r="105" spans="1:2">
      <c r="A105" t="s">
        <v>697</v>
      </c>
      <c r="B105">
        <v>6068</v>
      </c>
    </row>
    <row r="106" spans="1:2">
      <c r="A106" t="s">
        <v>2105</v>
      </c>
      <c r="B106">
        <v>6069</v>
      </c>
    </row>
    <row r="107" spans="1:2">
      <c r="A107" t="s">
        <v>2093</v>
      </c>
      <c r="B107">
        <v>4046</v>
      </c>
    </row>
    <row r="108" spans="1:2">
      <c r="A108" t="s">
        <v>2246</v>
      </c>
      <c r="B108">
        <v>6069</v>
      </c>
    </row>
    <row r="109" spans="1:2">
      <c r="A109" t="s">
        <v>83</v>
      </c>
      <c r="B109">
        <v>6066</v>
      </c>
    </row>
    <row r="110" spans="1:2">
      <c r="A110" t="s">
        <v>74</v>
      </c>
      <c r="B110">
        <v>6066</v>
      </c>
    </row>
    <row r="111" spans="1:2">
      <c r="A111" t="s">
        <v>897</v>
      </c>
      <c r="B111">
        <v>4044</v>
      </c>
    </row>
    <row r="112" spans="1:2">
      <c r="A112" t="s">
        <v>1438</v>
      </c>
      <c r="B112">
        <v>4043</v>
      </c>
    </row>
    <row r="113" spans="1:2">
      <c r="A113" t="s">
        <v>925</v>
      </c>
      <c r="B113">
        <v>8090</v>
      </c>
    </row>
    <row r="114" spans="1:2">
      <c r="A114" t="s">
        <v>868</v>
      </c>
      <c r="B114">
        <v>6066</v>
      </c>
    </row>
    <row r="115" spans="1:2">
      <c r="A115" t="s">
        <v>1721</v>
      </c>
      <c r="B115">
        <v>6066</v>
      </c>
    </row>
    <row r="116" spans="1:2">
      <c r="A116" t="s">
        <v>659</v>
      </c>
      <c r="B116">
        <v>6066</v>
      </c>
    </row>
    <row r="117" spans="1:2">
      <c r="A117" t="s">
        <v>798</v>
      </c>
      <c r="B117">
        <v>8090</v>
      </c>
    </row>
    <row r="118" spans="1:2">
      <c r="A118" t="s">
        <v>2140</v>
      </c>
      <c r="B118">
        <v>6069</v>
      </c>
    </row>
    <row r="119" spans="1:2">
      <c r="A119" t="s">
        <v>378</v>
      </c>
      <c r="B119">
        <v>8090</v>
      </c>
    </row>
    <row r="120" spans="1:2">
      <c r="A120" t="s">
        <v>677</v>
      </c>
      <c r="B120">
        <v>8090</v>
      </c>
    </row>
    <row r="121" spans="1:2">
      <c r="A121" t="s">
        <v>2458</v>
      </c>
      <c r="B121">
        <v>4047</v>
      </c>
    </row>
    <row r="122" spans="1:2">
      <c r="A122" t="s">
        <v>780</v>
      </c>
      <c r="B122">
        <v>8090</v>
      </c>
    </row>
    <row r="123" spans="1:2">
      <c r="A123" t="s">
        <v>2272</v>
      </c>
      <c r="B123">
        <v>4046</v>
      </c>
    </row>
    <row r="124" spans="1:2">
      <c r="A124" t="s">
        <v>1620</v>
      </c>
      <c r="B124">
        <v>6068</v>
      </c>
    </row>
    <row r="125" spans="1:2">
      <c r="A125" t="s">
        <v>1790</v>
      </c>
      <c r="B125">
        <v>6067</v>
      </c>
    </row>
    <row r="126" spans="1:2">
      <c r="A126" t="s">
        <v>604</v>
      </c>
      <c r="B126">
        <v>6067</v>
      </c>
    </row>
    <row r="127" spans="1:2">
      <c r="A127" t="s">
        <v>2653</v>
      </c>
      <c r="B127">
        <v>2023</v>
      </c>
    </row>
    <row r="128" spans="1:2">
      <c r="A128" t="s">
        <v>1018</v>
      </c>
      <c r="B128">
        <v>6068</v>
      </c>
    </row>
    <row r="129" spans="1:2">
      <c r="A129" t="s">
        <v>805</v>
      </c>
      <c r="B129">
        <v>8090</v>
      </c>
    </row>
    <row r="130" spans="1:2">
      <c r="A130" t="s">
        <v>380</v>
      </c>
      <c r="B130">
        <v>8090</v>
      </c>
    </row>
    <row r="131" spans="1:2">
      <c r="A131" t="s">
        <v>2264</v>
      </c>
      <c r="B131">
        <v>4045</v>
      </c>
    </row>
    <row r="132" spans="1:2">
      <c r="A132" t="s">
        <v>793</v>
      </c>
      <c r="B132">
        <v>8090</v>
      </c>
    </row>
    <row r="133" spans="1:2">
      <c r="A133" t="s">
        <v>141</v>
      </c>
      <c r="B133">
        <v>8090</v>
      </c>
    </row>
    <row r="134" spans="1:2">
      <c r="A134" t="s">
        <v>2634</v>
      </c>
      <c r="B134">
        <v>4047</v>
      </c>
    </row>
    <row r="135" spans="1:2">
      <c r="A135" t="s">
        <v>632</v>
      </c>
      <c r="B135">
        <v>8090</v>
      </c>
    </row>
    <row r="136" spans="1:2">
      <c r="A136" t="s">
        <v>2457</v>
      </c>
      <c r="B136">
        <v>4047</v>
      </c>
    </row>
    <row r="137" spans="1:2">
      <c r="A137" t="s">
        <v>354</v>
      </c>
      <c r="B137">
        <v>8090</v>
      </c>
    </row>
    <row r="138" spans="1:2">
      <c r="A138" t="s">
        <v>2102</v>
      </c>
      <c r="B138">
        <v>6069</v>
      </c>
    </row>
    <row r="139" spans="1:2">
      <c r="A139" t="s">
        <v>2224</v>
      </c>
      <c r="B139">
        <v>4045</v>
      </c>
    </row>
    <row r="140" spans="1:2">
      <c r="A140" t="s">
        <v>2133</v>
      </c>
      <c r="B140">
        <v>4045</v>
      </c>
    </row>
    <row r="141" spans="1:2">
      <c r="A141" t="s">
        <v>1746</v>
      </c>
      <c r="B141">
        <v>8090</v>
      </c>
    </row>
    <row r="142" spans="1:2">
      <c r="A142" t="s">
        <v>1795</v>
      </c>
      <c r="B142">
        <v>6066</v>
      </c>
    </row>
    <row r="143" spans="1:2">
      <c r="A143" t="s">
        <v>1988</v>
      </c>
      <c r="B143">
        <v>4046</v>
      </c>
    </row>
    <row r="144" spans="1:2">
      <c r="A144" t="s">
        <v>1066</v>
      </c>
      <c r="B144">
        <v>6066</v>
      </c>
    </row>
    <row r="145" spans="1:2">
      <c r="A145" t="s">
        <v>980</v>
      </c>
      <c r="B145">
        <v>6066</v>
      </c>
    </row>
    <row r="146" spans="1:2">
      <c r="A146" t="s">
        <v>2616</v>
      </c>
      <c r="B146">
        <v>4047</v>
      </c>
    </row>
    <row r="147" spans="1:2">
      <c r="A147" t="s">
        <v>1113</v>
      </c>
      <c r="B147">
        <v>6068</v>
      </c>
    </row>
    <row r="148" spans="1:2">
      <c r="A148" t="s">
        <v>2256</v>
      </c>
      <c r="B148">
        <v>4046</v>
      </c>
    </row>
    <row r="149" spans="1:2">
      <c r="A149" t="s">
        <v>282</v>
      </c>
      <c r="B149">
        <v>8090</v>
      </c>
    </row>
    <row r="150" spans="1:2">
      <c r="A150" t="s">
        <v>1273</v>
      </c>
      <c r="B150">
        <v>8090</v>
      </c>
    </row>
    <row r="151" spans="1:2">
      <c r="A151" t="s">
        <v>2506</v>
      </c>
      <c r="B151">
        <v>2023</v>
      </c>
    </row>
    <row r="152" spans="1:2">
      <c r="A152" t="s">
        <v>63</v>
      </c>
      <c r="B152">
        <v>8090</v>
      </c>
    </row>
    <row r="153" spans="1:2">
      <c r="A153" t="s">
        <v>385</v>
      </c>
      <c r="B153">
        <v>8090</v>
      </c>
    </row>
    <row r="154" spans="1:2">
      <c r="A154" t="s">
        <v>396</v>
      </c>
      <c r="B154">
        <v>6068</v>
      </c>
    </row>
    <row r="155" spans="1:2">
      <c r="A155" t="s">
        <v>969</v>
      </c>
      <c r="B155">
        <v>4044</v>
      </c>
    </row>
    <row r="156" spans="1:2">
      <c r="A156" t="s">
        <v>295</v>
      </c>
      <c r="B156">
        <v>6068</v>
      </c>
    </row>
    <row r="157" spans="1:2">
      <c r="A157" t="s">
        <v>321</v>
      </c>
      <c r="B157">
        <v>8090</v>
      </c>
    </row>
    <row r="158" spans="1:2">
      <c r="A158" t="s">
        <v>1124</v>
      </c>
      <c r="B158">
        <v>8090</v>
      </c>
    </row>
    <row r="159" spans="1:2">
      <c r="A159" t="s">
        <v>2530</v>
      </c>
      <c r="B159">
        <v>2023</v>
      </c>
    </row>
    <row r="160" spans="1:2">
      <c r="A160" t="s">
        <v>1385</v>
      </c>
      <c r="B160">
        <v>8090</v>
      </c>
    </row>
    <row r="161" spans="1:2">
      <c r="A161" t="s">
        <v>2320</v>
      </c>
      <c r="B161">
        <v>6069</v>
      </c>
    </row>
    <row r="162" spans="1:2">
      <c r="A162" t="s">
        <v>2227</v>
      </c>
      <c r="B162">
        <v>6069</v>
      </c>
    </row>
    <row r="163" spans="1:2">
      <c r="A163" t="s">
        <v>808</v>
      </c>
      <c r="B163">
        <v>4044</v>
      </c>
    </row>
    <row r="164" spans="1:2">
      <c r="A164" t="s">
        <v>2690</v>
      </c>
      <c r="B164">
        <v>2024</v>
      </c>
    </row>
    <row r="165" spans="1:2">
      <c r="A165" t="s">
        <v>674</v>
      </c>
      <c r="B165">
        <v>6068</v>
      </c>
    </row>
    <row r="166" spans="1:2">
      <c r="A166" t="s">
        <v>1894</v>
      </c>
      <c r="B166">
        <v>4045</v>
      </c>
    </row>
    <row r="167" spans="1:2">
      <c r="A167" t="s">
        <v>394</v>
      </c>
      <c r="B167">
        <v>6066</v>
      </c>
    </row>
    <row r="168" spans="1:2">
      <c r="A168" t="s">
        <v>2288</v>
      </c>
      <c r="B168">
        <v>6069</v>
      </c>
    </row>
    <row r="169" spans="1:2">
      <c r="A169" t="s">
        <v>1885</v>
      </c>
      <c r="B169">
        <v>6069</v>
      </c>
    </row>
    <row r="170" spans="1:2">
      <c r="A170" t="s">
        <v>2685</v>
      </c>
      <c r="B170">
        <v>2024</v>
      </c>
    </row>
    <row r="171" spans="1:2">
      <c r="A171" t="s">
        <v>258</v>
      </c>
      <c r="B171">
        <v>8090</v>
      </c>
    </row>
    <row r="172" spans="1:2">
      <c r="A172" t="s">
        <v>2498</v>
      </c>
      <c r="B172">
        <v>2023</v>
      </c>
    </row>
    <row r="173" spans="1:2">
      <c r="A173" t="s">
        <v>1842</v>
      </c>
      <c r="B173">
        <v>8090</v>
      </c>
    </row>
    <row r="174" spans="1:2">
      <c r="A174" t="s">
        <v>1188</v>
      </c>
      <c r="B174">
        <v>6066</v>
      </c>
    </row>
    <row r="175" spans="1:2">
      <c r="A175" t="s">
        <v>759</v>
      </c>
      <c r="B175">
        <v>4044</v>
      </c>
    </row>
    <row r="176" spans="1:2">
      <c r="A176" t="s">
        <v>841</v>
      </c>
      <c r="B176">
        <v>6066</v>
      </c>
    </row>
    <row r="177" spans="1:2">
      <c r="A177" t="s">
        <v>1964</v>
      </c>
      <c r="B177">
        <v>4045</v>
      </c>
    </row>
    <row r="178" spans="1:2">
      <c r="A178" t="s">
        <v>1833</v>
      </c>
      <c r="B178">
        <v>8090</v>
      </c>
    </row>
    <row r="179" spans="1:2">
      <c r="A179" t="s">
        <v>368</v>
      </c>
      <c r="B179">
        <v>4043</v>
      </c>
    </row>
    <row r="180" spans="1:2">
      <c r="A180" t="s">
        <v>2503</v>
      </c>
      <c r="B180">
        <v>4047</v>
      </c>
    </row>
    <row r="181" spans="1:2">
      <c r="A181" t="s">
        <v>272</v>
      </c>
      <c r="B181">
        <v>4043</v>
      </c>
    </row>
    <row r="182" spans="1:2">
      <c r="A182" t="s">
        <v>1142</v>
      </c>
      <c r="B182">
        <v>4044</v>
      </c>
    </row>
    <row r="183" spans="1:2">
      <c r="A183" t="s">
        <v>1778</v>
      </c>
      <c r="B183">
        <v>6066</v>
      </c>
    </row>
    <row r="184" spans="1:2">
      <c r="A184" t="s">
        <v>178</v>
      </c>
      <c r="B184">
        <v>8090</v>
      </c>
    </row>
    <row r="185" spans="1:2">
      <c r="A185" t="s">
        <v>881</v>
      </c>
      <c r="B185">
        <v>8090</v>
      </c>
    </row>
    <row r="186" spans="1:2">
      <c r="A186" t="s">
        <v>161</v>
      </c>
      <c r="B186">
        <v>6066</v>
      </c>
    </row>
    <row r="187" spans="1:2">
      <c r="A187" t="s">
        <v>2520</v>
      </c>
      <c r="B187">
        <v>4047</v>
      </c>
    </row>
    <row r="188" spans="1:2">
      <c r="A188" t="s">
        <v>1902</v>
      </c>
      <c r="B188">
        <v>4046</v>
      </c>
    </row>
    <row r="189" spans="1:2">
      <c r="A189" t="s">
        <v>391</v>
      </c>
      <c r="B189">
        <v>8090</v>
      </c>
    </row>
    <row r="190" spans="1:2">
      <c r="A190" t="s">
        <v>909</v>
      </c>
      <c r="B190">
        <v>8090</v>
      </c>
    </row>
    <row r="191" spans="1:2">
      <c r="A191" t="s">
        <v>886</v>
      </c>
      <c r="B191">
        <v>8090</v>
      </c>
    </row>
    <row r="192" spans="1:2">
      <c r="A192" t="s">
        <v>2267</v>
      </c>
      <c r="B192">
        <v>6069</v>
      </c>
    </row>
    <row r="193" spans="1:2">
      <c r="A193" t="s">
        <v>1943</v>
      </c>
      <c r="B193">
        <v>4046</v>
      </c>
    </row>
    <row r="194" spans="1:2">
      <c r="A194" t="s">
        <v>1509</v>
      </c>
      <c r="B194">
        <v>6068</v>
      </c>
    </row>
    <row r="195" spans="1:2">
      <c r="A195" t="s">
        <v>1269</v>
      </c>
      <c r="B195">
        <v>4043</v>
      </c>
    </row>
    <row r="196" spans="1:2">
      <c r="A196" t="s">
        <v>400</v>
      </c>
      <c r="B196">
        <v>8090</v>
      </c>
    </row>
    <row r="197" spans="1:2">
      <c r="A197" t="s">
        <v>1416</v>
      </c>
      <c r="B197">
        <v>6066</v>
      </c>
    </row>
    <row r="198" spans="1:2">
      <c r="A198" t="s">
        <v>1616</v>
      </c>
      <c r="B198">
        <v>8090</v>
      </c>
    </row>
    <row r="199" spans="1:2">
      <c r="A199" t="s">
        <v>1695</v>
      </c>
      <c r="B199">
        <v>6067</v>
      </c>
    </row>
    <row r="200" spans="1:2">
      <c r="A200" t="s">
        <v>11</v>
      </c>
      <c r="B200">
        <v>8090</v>
      </c>
    </row>
    <row r="201" spans="1:2">
      <c r="A201" t="s">
        <v>1305</v>
      </c>
      <c r="B201">
        <v>8090</v>
      </c>
    </row>
    <row r="202" spans="1:2">
      <c r="A202" t="s">
        <v>930</v>
      </c>
      <c r="B202">
        <v>4045</v>
      </c>
    </row>
    <row r="203" spans="1:2">
      <c r="A203" t="s">
        <v>2546</v>
      </c>
      <c r="B203">
        <v>4047</v>
      </c>
    </row>
    <row r="204" spans="1:2">
      <c r="A204" t="s">
        <v>229</v>
      </c>
      <c r="B204">
        <v>6068</v>
      </c>
    </row>
    <row r="205" spans="1:2">
      <c r="A205" t="s">
        <v>1671</v>
      </c>
      <c r="B205">
        <v>8090</v>
      </c>
    </row>
    <row r="206" spans="1:2">
      <c r="A206" t="s">
        <v>1935</v>
      </c>
      <c r="B206">
        <v>6069</v>
      </c>
    </row>
    <row r="207" spans="1:2">
      <c r="A207" t="s">
        <v>2207</v>
      </c>
      <c r="B207">
        <v>6069</v>
      </c>
    </row>
    <row r="208" spans="1:2">
      <c r="A208" t="s">
        <v>2055</v>
      </c>
      <c r="B208">
        <v>4046</v>
      </c>
    </row>
    <row r="209" spans="1:2">
      <c r="A209" t="s">
        <v>1433</v>
      </c>
      <c r="B209">
        <v>6066</v>
      </c>
    </row>
    <row r="210" spans="1:2">
      <c r="A210" t="s">
        <v>1748</v>
      </c>
      <c r="B210">
        <v>2021</v>
      </c>
    </row>
    <row r="211" spans="1:2">
      <c r="A211" t="s">
        <v>1735</v>
      </c>
      <c r="B211">
        <v>4043</v>
      </c>
    </row>
    <row r="212" spans="1:2">
      <c r="A212" t="s">
        <v>591</v>
      </c>
      <c r="B212">
        <v>8090</v>
      </c>
    </row>
    <row r="213" spans="1:2">
      <c r="A213" t="s">
        <v>92</v>
      </c>
      <c r="B213">
        <v>4044</v>
      </c>
    </row>
    <row r="214" spans="1:2">
      <c r="A214" t="s">
        <v>1970</v>
      </c>
      <c r="B214">
        <v>4045</v>
      </c>
    </row>
    <row r="215" spans="1:2">
      <c r="A215" t="s">
        <v>293</v>
      </c>
      <c r="B215">
        <v>8090</v>
      </c>
    </row>
    <row r="216" spans="1:2">
      <c r="A216" t="s">
        <v>726</v>
      </c>
      <c r="B216">
        <v>8090</v>
      </c>
    </row>
    <row r="217" spans="1:2">
      <c r="A217" t="s">
        <v>1145</v>
      </c>
      <c r="B217">
        <v>6066</v>
      </c>
    </row>
    <row r="218" spans="1:2">
      <c r="A218" t="s">
        <v>169</v>
      </c>
      <c r="B218">
        <v>8090</v>
      </c>
    </row>
    <row r="219" spans="1:2">
      <c r="A219" t="s">
        <v>1858</v>
      </c>
      <c r="B219">
        <v>6066</v>
      </c>
    </row>
    <row r="220" spans="1:2">
      <c r="A220" t="s">
        <v>1546</v>
      </c>
      <c r="B220">
        <v>6066</v>
      </c>
    </row>
    <row r="221" spans="1:2">
      <c r="A221" t="s">
        <v>87</v>
      </c>
      <c r="B221">
        <v>6068</v>
      </c>
    </row>
    <row r="222" spans="1:2">
      <c r="A222" t="s">
        <v>870</v>
      </c>
      <c r="B222">
        <v>6066</v>
      </c>
    </row>
    <row r="223" spans="1:2">
      <c r="A223" t="s">
        <v>1557</v>
      </c>
      <c r="B223">
        <v>8090</v>
      </c>
    </row>
    <row r="224" spans="1:2">
      <c r="A224" t="s">
        <v>1665</v>
      </c>
      <c r="B224">
        <v>8090</v>
      </c>
    </row>
    <row r="225" spans="1:2">
      <c r="A225" t="s">
        <v>1223</v>
      </c>
      <c r="B225">
        <v>8090</v>
      </c>
    </row>
    <row r="226" spans="1:2">
      <c r="A226" t="s">
        <v>912</v>
      </c>
      <c r="B226">
        <v>8090</v>
      </c>
    </row>
    <row r="227" spans="1:2">
      <c r="A227" t="s">
        <v>2185</v>
      </c>
      <c r="B227">
        <v>4046</v>
      </c>
    </row>
    <row r="228" spans="1:2">
      <c r="A228" t="s">
        <v>1768</v>
      </c>
      <c r="B228">
        <v>6066</v>
      </c>
    </row>
    <row r="229" spans="1:2">
      <c r="A229" t="s">
        <v>1428</v>
      </c>
      <c r="B229">
        <v>8090</v>
      </c>
    </row>
    <row r="230" spans="1:2">
      <c r="A230" t="s">
        <v>566</v>
      </c>
      <c r="B230">
        <v>4045</v>
      </c>
    </row>
    <row r="231" spans="1:2">
      <c r="A231" t="s">
        <v>861</v>
      </c>
      <c r="B231">
        <v>8090</v>
      </c>
    </row>
    <row r="232" spans="1:2">
      <c r="A232" t="s">
        <v>754</v>
      </c>
      <c r="B232">
        <v>6068</v>
      </c>
    </row>
    <row r="233" spans="1:2">
      <c r="A233" t="s">
        <v>2414</v>
      </c>
      <c r="B233">
        <v>6069</v>
      </c>
    </row>
    <row r="234" spans="1:2">
      <c r="A234" t="s">
        <v>1133</v>
      </c>
      <c r="B234">
        <v>6068</v>
      </c>
    </row>
    <row r="235" spans="1:2">
      <c r="A235" t="s">
        <v>914</v>
      </c>
      <c r="B235">
        <v>6066</v>
      </c>
    </row>
    <row r="236" spans="1:2">
      <c r="A236" t="s">
        <v>2449</v>
      </c>
      <c r="B236">
        <v>4047</v>
      </c>
    </row>
    <row r="237" spans="1:2">
      <c r="A237" t="s">
        <v>558</v>
      </c>
      <c r="B237">
        <v>4045</v>
      </c>
    </row>
    <row r="238" spans="1:2">
      <c r="A238" t="s">
        <v>426</v>
      </c>
      <c r="B238">
        <v>6068</v>
      </c>
    </row>
    <row r="239" spans="1:2">
      <c r="A239" t="s">
        <v>1165</v>
      </c>
      <c r="B239">
        <v>8090</v>
      </c>
    </row>
    <row r="240" spans="1:2">
      <c r="A240" t="s">
        <v>409</v>
      </c>
      <c r="B240">
        <v>6068</v>
      </c>
    </row>
    <row r="241" spans="1:2">
      <c r="A241" t="s">
        <v>1415</v>
      </c>
      <c r="B241">
        <v>8090</v>
      </c>
    </row>
    <row r="242" spans="1:2">
      <c r="A242" t="s">
        <v>2398</v>
      </c>
      <c r="B242">
        <v>4045</v>
      </c>
    </row>
    <row r="243" spans="1:2">
      <c r="A243" t="s">
        <v>2325</v>
      </c>
      <c r="B243">
        <v>4046</v>
      </c>
    </row>
    <row r="244" spans="1:2">
      <c r="A244" t="s">
        <v>826</v>
      </c>
      <c r="B244">
        <v>8090</v>
      </c>
    </row>
    <row r="245" spans="1:2">
      <c r="A245" t="s">
        <v>1117</v>
      </c>
      <c r="B245">
        <v>4043</v>
      </c>
    </row>
    <row r="246" spans="1:2">
      <c r="A246" t="s">
        <v>1341</v>
      </c>
      <c r="B246">
        <v>6068</v>
      </c>
    </row>
    <row r="247" spans="1:2">
      <c r="A247" t="s">
        <v>924</v>
      </c>
      <c r="B247">
        <v>8090</v>
      </c>
    </row>
    <row r="248" spans="1:2">
      <c r="A248" t="s">
        <v>145</v>
      </c>
      <c r="B248">
        <v>6067</v>
      </c>
    </row>
    <row r="249" spans="1:2">
      <c r="A249" t="s">
        <v>2500</v>
      </c>
      <c r="B249">
        <v>2023</v>
      </c>
    </row>
    <row r="250" spans="1:2">
      <c r="A250" t="s">
        <v>1948</v>
      </c>
      <c r="B250">
        <v>6069</v>
      </c>
    </row>
    <row r="251" spans="1:2">
      <c r="A251" t="s">
        <v>527</v>
      </c>
      <c r="B251">
        <v>8090</v>
      </c>
    </row>
    <row r="252" spans="1:2">
      <c r="A252" t="s">
        <v>2090</v>
      </c>
      <c r="B252">
        <v>6069</v>
      </c>
    </row>
    <row r="253" spans="1:2">
      <c r="A253" t="s">
        <v>343</v>
      </c>
      <c r="B253">
        <v>4043</v>
      </c>
    </row>
    <row r="254" spans="1:2">
      <c r="A254" t="s">
        <v>2106</v>
      </c>
      <c r="B254">
        <v>6069</v>
      </c>
    </row>
    <row r="255" spans="1:2">
      <c r="A255" t="s">
        <v>1743</v>
      </c>
      <c r="B255">
        <v>8090</v>
      </c>
    </row>
    <row r="256" spans="1:2">
      <c r="A256" t="s">
        <v>740</v>
      </c>
      <c r="B256">
        <v>6066</v>
      </c>
    </row>
    <row r="257" spans="1:2">
      <c r="A257" t="s">
        <v>2409</v>
      </c>
      <c r="B257">
        <v>4045</v>
      </c>
    </row>
    <row r="258" spans="1:2">
      <c r="A258" t="s">
        <v>624</v>
      </c>
      <c r="B258">
        <v>8090</v>
      </c>
    </row>
    <row r="259" spans="1:2">
      <c r="A259" t="s">
        <v>1099</v>
      </c>
      <c r="B259">
        <v>8090</v>
      </c>
    </row>
    <row r="260" spans="1:2">
      <c r="A260" t="s">
        <v>2315</v>
      </c>
      <c r="B260">
        <v>6069</v>
      </c>
    </row>
    <row r="261" spans="1:2">
      <c r="A261" t="s">
        <v>917</v>
      </c>
      <c r="B261">
        <v>8090</v>
      </c>
    </row>
    <row r="262" spans="1:2">
      <c r="A262" t="s">
        <v>163</v>
      </c>
      <c r="B262">
        <v>6068</v>
      </c>
    </row>
    <row r="263" spans="1:2">
      <c r="A263" t="s">
        <v>902</v>
      </c>
      <c r="B263">
        <v>8090</v>
      </c>
    </row>
    <row r="264" spans="1:2">
      <c r="A264" t="s">
        <v>2278</v>
      </c>
      <c r="B264">
        <v>4046</v>
      </c>
    </row>
    <row r="265" spans="1:2">
      <c r="A265" t="s">
        <v>2426</v>
      </c>
      <c r="B265">
        <v>2023</v>
      </c>
    </row>
    <row r="266" spans="1:2">
      <c r="A266" t="s">
        <v>85</v>
      </c>
      <c r="B266">
        <v>6066</v>
      </c>
    </row>
    <row r="267" spans="1:2">
      <c r="A267" t="s">
        <v>667</v>
      </c>
      <c r="B267">
        <v>6068</v>
      </c>
    </row>
    <row r="268" spans="1:2">
      <c r="A268" t="s">
        <v>1337</v>
      </c>
      <c r="B268">
        <v>6066</v>
      </c>
    </row>
    <row r="269" spans="1:2">
      <c r="A269" t="s">
        <v>1289</v>
      </c>
      <c r="B269">
        <v>8090</v>
      </c>
    </row>
    <row r="270" spans="1:2">
      <c r="A270" t="s">
        <v>1802</v>
      </c>
      <c r="B270">
        <v>6068</v>
      </c>
    </row>
    <row r="271" spans="1:2">
      <c r="A271" t="s">
        <v>999</v>
      </c>
      <c r="B271">
        <v>6068</v>
      </c>
    </row>
    <row r="272" spans="1:2">
      <c r="A272" t="s">
        <v>1419</v>
      </c>
      <c r="B272">
        <v>8090</v>
      </c>
    </row>
    <row r="273" spans="1:2">
      <c r="A273" t="s">
        <v>2181</v>
      </c>
      <c r="B273">
        <v>4045</v>
      </c>
    </row>
    <row r="274" spans="1:2">
      <c r="A274" t="s">
        <v>2019</v>
      </c>
      <c r="B274">
        <v>4045</v>
      </c>
    </row>
    <row r="275" spans="1:2">
      <c r="A275" t="s">
        <v>1496</v>
      </c>
      <c r="B275">
        <v>8090</v>
      </c>
    </row>
    <row r="276" spans="1:2">
      <c r="A276" t="s">
        <v>973</v>
      </c>
      <c r="B276">
        <v>6066</v>
      </c>
    </row>
    <row r="277" spans="1:2">
      <c r="A277" t="s">
        <v>256</v>
      </c>
      <c r="B277">
        <v>6068</v>
      </c>
    </row>
    <row r="278" spans="1:2">
      <c r="A278" t="s">
        <v>1410</v>
      </c>
      <c r="B278">
        <v>6066</v>
      </c>
    </row>
    <row r="279" spans="1:2">
      <c r="A279" t="s">
        <v>704</v>
      </c>
      <c r="B279">
        <v>4044</v>
      </c>
    </row>
    <row r="280" spans="1:2">
      <c r="A280" t="s">
        <v>2408</v>
      </c>
      <c r="B280">
        <v>4046</v>
      </c>
    </row>
    <row r="281" spans="1:2">
      <c r="A281" t="s">
        <v>287</v>
      </c>
      <c r="B281">
        <v>6068</v>
      </c>
    </row>
    <row r="282" spans="1:2">
      <c r="A282" t="s">
        <v>1329</v>
      </c>
      <c r="B282">
        <v>6066</v>
      </c>
    </row>
    <row r="283" spans="1:2">
      <c r="A283" t="s">
        <v>2117</v>
      </c>
      <c r="B283">
        <v>6069</v>
      </c>
    </row>
    <row r="284" spans="1:2">
      <c r="A284" t="s">
        <v>698</v>
      </c>
      <c r="B284">
        <v>4045</v>
      </c>
    </row>
    <row r="285" spans="1:2">
      <c r="A285" t="s">
        <v>485</v>
      </c>
      <c r="B285">
        <v>6068</v>
      </c>
    </row>
    <row r="286" spans="1:2">
      <c r="A286" t="s">
        <v>1179</v>
      </c>
      <c r="B286">
        <v>8090</v>
      </c>
    </row>
    <row r="287" spans="1:2">
      <c r="A287" t="s">
        <v>811</v>
      </c>
      <c r="B287">
        <v>8090</v>
      </c>
    </row>
    <row r="288" spans="1:2">
      <c r="A288" t="s">
        <v>1760</v>
      </c>
      <c r="B288">
        <v>6066</v>
      </c>
    </row>
    <row r="289" spans="1:2">
      <c r="A289" t="s">
        <v>1448</v>
      </c>
      <c r="B289">
        <v>8090</v>
      </c>
    </row>
    <row r="290" spans="1:2">
      <c r="A290" t="s">
        <v>2211</v>
      </c>
      <c r="B290">
        <v>4046</v>
      </c>
    </row>
    <row r="291" spans="1:2">
      <c r="A291" t="s">
        <v>1497</v>
      </c>
      <c r="B291">
        <v>8090</v>
      </c>
    </row>
    <row r="292" spans="1:2">
      <c r="A292" t="s">
        <v>2158</v>
      </c>
      <c r="B292">
        <v>6069</v>
      </c>
    </row>
    <row r="293" spans="1:2">
      <c r="A293" t="s">
        <v>1973</v>
      </c>
      <c r="B293">
        <v>6069</v>
      </c>
    </row>
    <row r="294" spans="1:2">
      <c r="A294" t="s">
        <v>927</v>
      </c>
      <c r="B294">
        <v>8090</v>
      </c>
    </row>
    <row r="295" spans="1:2">
      <c r="A295" t="s">
        <v>828</v>
      </c>
      <c r="B295">
        <v>4043</v>
      </c>
    </row>
    <row r="296" spans="1:2">
      <c r="A296" t="s">
        <v>365</v>
      </c>
      <c r="B296">
        <v>6068</v>
      </c>
    </row>
    <row r="297" spans="1:2">
      <c r="A297" t="s">
        <v>514</v>
      </c>
      <c r="B297">
        <v>6068</v>
      </c>
    </row>
    <row r="298" spans="1:2">
      <c r="A298" t="s">
        <v>1076</v>
      </c>
      <c r="B298">
        <v>8090</v>
      </c>
    </row>
    <row r="299" spans="1:2">
      <c r="A299" t="s">
        <v>2284</v>
      </c>
      <c r="B299">
        <v>4045</v>
      </c>
    </row>
    <row r="300" spans="1:2">
      <c r="A300" t="s">
        <v>1106</v>
      </c>
      <c r="B300">
        <v>8090</v>
      </c>
    </row>
    <row r="301" spans="1:2">
      <c r="A301" t="s">
        <v>682</v>
      </c>
      <c r="B301">
        <v>8090</v>
      </c>
    </row>
    <row r="302" spans="1:2">
      <c r="A302" t="s">
        <v>585</v>
      </c>
      <c r="B302">
        <v>8090</v>
      </c>
    </row>
    <row r="303" spans="1:2">
      <c r="A303" t="s">
        <v>1395</v>
      </c>
      <c r="B303">
        <v>4045</v>
      </c>
    </row>
    <row r="304" spans="1:2">
      <c r="A304" t="s">
        <v>1664</v>
      </c>
      <c r="B304">
        <v>2021</v>
      </c>
    </row>
    <row r="305" spans="1:2">
      <c r="A305" t="s">
        <v>2113</v>
      </c>
      <c r="B305">
        <v>6069</v>
      </c>
    </row>
    <row r="306" spans="1:2">
      <c r="A306" t="s">
        <v>626</v>
      </c>
      <c r="B306">
        <v>6068</v>
      </c>
    </row>
    <row r="307" spans="1:2">
      <c r="A307" t="s">
        <v>239</v>
      </c>
      <c r="B307">
        <v>8090</v>
      </c>
    </row>
    <row r="308" spans="1:2">
      <c r="A308" t="s">
        <v>877</v>
      </c>
      <c r="B308">
        <v>6066</v>
      </c>
    </row>
    <row r="309" spans="1:2">
      <c r="A309" t="s">
        <v>782</v>
      </c>
      <c r="B309">
        <v>4043</v>
      </c>
    </row>
    <row r="310" spans="1:2">
      <c r="A310" t="s">
        <v>1523</v>
      </c>
      <c r="B310">
        <v>8090</v>
      </c>
    </row>
    <row r="311" spans="1:2">
      <c r="A311" t="s">
        <v>2345</v>
      </c>
      <c r="B311">
        <v>2022</v>
      </c>
    </row>
    <row r="312" spans="1:2">
      <c r="A312" t="s">
        <v>648</v>
      </c>
      <c r="B312">
        <v>6068</v>
      </c>
    </row>
    <row r="313" spans="1:2">
      <c r="A313" t="s">
        <v>460</v>
      </c>
      <c r="B313">
        <v>4044</v>
      </c>
    </row>
    <row r="314" spans="1:2">
      <c r="A314" t="s">
        <v>711</v>
      </c>
      <c r="B314">
        <v>8090</v>
      </c>
    </row>
    <row r="315" spans="1:2">
      <c r="A315" t="s">
        <v>187</v>
      </c>
      <c r="B315">
        <v>6067</v>
      </c>
    </row>
    <row r="316" spans="1:2">
      <c r="A316" t="s">
        <v>472</v>
      </c>
      <c r="B316">
        <v>4043</v>
      </c>
    </row>
    <row r="317" spans="1:2">
      <c r="A317" t="s">
        <v>1922</v>
      </c>
      <c r="B317">
        <v>6069</v>
      </c>
    </row>
    <row r="318" spans="1:2">
      <c r="A318" t="s">
        <v>230</v>
      </c>
      <c r="B318">
        <v>6067</v>
      </c>
    </row>
    <row r="319" spans="1:2">
      <c r="A319" t="s">
        <v>663</v>
      </c>
      <c r="B319">
        <v>4043</v>
      </c>
    </row>
    <row r="320" spans="1:2">
      <c r="A320" t="s">
        <v>2441</v>
      </c>
      <c r="B320">
        <v>4047</v>
      </c>
    </row>
    <row r="321" spans="1:2">
      <c r="A321" t="s">
        <v>628</v>
      </c>
      <c r="B321">
        <v>6067</v>
      </c>
    </row>
    <row r="322" spans="1:2">
      <c r="A322" t="s">
        <v>1690</v>
      </c>
      <c r="B322">
        <v>6067</v>
      </c>
    </row>
    <row r="323" spans="1:2">
      <c r="A323" t="s">
        <v>594</v>
      </c>
      <c r="B323">
        <v>6067</v>
      </c>
    </row>
    <row r="324" spans="1:2">
      <c r="A324" t="s">
        <v>994</v>
      </c>
      <c r="B324">
        <v>8090</v>
      </c>
    </row>
    <row r="325" spans="1:2">
      <c r="A325" t="s">
        <v>2015</v>
      </c>
      <c r="B325">
        <v>6069</v>
      </c>
    </row>
    <row r="326" spans="1:2">
      <c r="A326" t="s">
        <v>815</v>
      </c>
      <c r="B326">
        <v>8090</v>
      </c>
    </row>
    <row r="327" spans="1:2">
      <c r="A327" t="s">
        <v>889</v>
      </c>
      <c r="B327">
        <v>6066</v>
      </c>
    </row>
    <row r="328" spans="1:2">
      <c r="A328" t="s">
        <v>1454</v>
      </c>
      <c r="B328">
        <v>6066</v>
      </c>
    </row>
    <row r="329" spans="1:2">
      <c r="A329" t="s">
        <v>2273</v>
      </c>
      <c r="B329">
        <v>6069</v>
      </c>
    </row>
    <row r="330" spans="1:2">
      <c r="A330" t="s">
        <v>2465</v>
      </c>
      <c r="B330">
        <v>4047</v>
      </c>
    </row>
    <row r="331" spans="1:2">
      <c r="A331" t="s">
        <v>1345</v>
      </c>
      <c r="B331">
        <v>8090</v>
      </c>
    </row>
    <row r="332" spans="1:2">
      <c r="A332" t="s">
        <v>2279</v>
      </c>
      <c r="B332">
        <v>6069</v>
      </c>
    </row>
    <row r="333" spans="1:2">
      <c r="A333" t="s">
        <v>724</v>
      </c>
      <c r="B333">
        <v>4044</v>
      </c>
    </row>
    <row r="334" spans="1:2">
      <c r="A334" t="s">
        <v>1192</v>
      </c>
      <c r="B334">
        <v>2021</v>
      </c>
    </row>
    <row r="335" spans="1:2">
      <c r="A335" t="s">
        <v>1469</v>
      </c>
      <c r="B335">
        <v>8090</v>
      </c>
    </row>
    <row r="336" spans="1:2">
      <c r="A336" t="s">
        <v>102</v>
      </c>
      <c r="B336">
        <v>4044</v>
      </c>
    </row>
    <row r="337" spans="1:2">
      <c r="A337" t="s">
        <v>127</v>
      </c>
      <c r="B337">
        <v>4044</v>
      </c>
    </row>
    <row r="338" spans="1:2">
      <c r="A338" t="s">
        <v>1805</v>
      </c>
      <c r="B338">
        <v>6066</v>
      </c>
    </row>
    <row r="339" spans="1:2">
      <c r="A339" t="s">
        <v>1487</v>
      </c>
      <c r="B339">
        <v>6066</v>
      </c>
    </row>
    <row r="340" spans="1:2">
      <c r="A340" t="s">
        <v>1044</v>
      </c>
      <c r="B340">
        <v>8090</v>
      </c>
    </row>
    <row r="341" spans="1:2">
      <c r="A341" t="s">
        <v>1348</v>
      </c>
      <c r="B341">
        <v>4043</v>
      </c>
    </row>
    <row r="342" spans="1:2">
      <c r="A342" t="s">
        <v>967</v>
      </c>
      <c r="B342">
        <v>6068</v>
      </c>
    </row>
    <row r="343" spans="1:2">
      <c r="A343" t="s">
        <v>31</v>
      </c>
      <c r="B343">
        <v>6068</v>
      </c>
    </row>
    <row r="344" spans="1:2">
      <c r="A344" t="s">
        <v>744</v>
      </c>
      <c r="B344">
        <v>8090</v>
      </c>
    </row>
    <row r="345" spans="1:2">
      <c r="A345" t="s">
        <v>1879</v>
      </c>
      <c r="B345">
        <v>6066</v>
      </c>
    </row>
    <row r="346" spans="1:2">
      <c r="A346" t="s">
        <v>1625</v>
      </c>
      <c r="B346">
        <v>8090</v>
      </c>
    </row>
    <row r="347" spans="1:2">
      <c r="A347" t="s">
        <v>940</v>
      </c>
      <c r="B347">
        <v>6066</v>
      </c>
    </row>
    <row r="348" spans="1:2">
      <c r="A348" t="s">
        <v>2050</v>
      </c>
      <c r="B348">
        <v>4045</v>
      </c>
    </row>
    <row r="349" spans="1:2">
      <c r="A349" t="s">
        <v>716</v>
      </c>
      <c r="B349">
        <v>8090</v>
      </c>
    </row>
    <row r="350" spans="1:2">
      <c r="A350" t="s">
        <v>2474</v>
      </c>
      <c r="B350">
        <v>4047</v>
      </c>
    </row>
    <row r="351" spans="1:2">
      <c r="A351" t="s">
        <v>1169</v>
      </c>
      <c r="B351">
        <v>6066</v>
      </c>
    </row>
    <row r="352" spans="1:2">
      <c r="A352" t="s">
        <v>424</v>
      </c>
      <c r="B352">
        <v>6066</v>
      </c>
    </row>
    <row r="353" spans="1:2">
      <c r="A353" t="s">
        <v>297</v>
      </c>
      <c r="B353">
        <v>6068</v>
      </c>
    </row>
    <row r="354" spans="1:2">
      <c r="A354" t="s">
        <v>2452</v>
      </c>
      <c r="B354">
        <v>2023</v>
      </c>
    </row>
    <row r="355" spans="1:2">
      <c r="A355" t="s">
        <v>1673</v>
      </c>
      <c r="B355">
        <v>6068</v>
      </c>
    </row>
    <row r="356" spans="1:2">
      <c r="A356" t="s">
        <v>150</v>
      </c>
      <c r="B356">
        <v>4044</v>
      </c>
    </row>
    <row r="357" spans="1:2">
      <c r="A357" t="s">
        <v>2296</v>
      </c>
      <c r="B357">
        <v>6069</v>
      </c>
    </row>
    <row r="358" spans="1:2">
      <c r="A358" t="s">
        <v>507</v>
      </c>
      <c r="B358">
        <v>8090</v>
      </c>
    </row>
    <row r="359" spans="1:2">
      <c r="A359" t="s">
        <v>2692</v>
      </c>
      <c r="B359">
        <v>2024</v>
      </c>
    </row>
    <row r="360" spans="1:2">
      <c r="A360" t="s">
        <v>1297</v>
      </c>
      <c r="B360">
        <v>8090</v>
      </c>
    </row>
    <row r="361" spans="1:2">
      <c r="A361" t="s">
        <v>831</v>
      </c>
      <c r="B361">
        <v>4043</v>
      </c>
    </row>
    <row r="362" spans="1:2">
      <c r="A362" t="s">
        <v>225</v>
      </c>
      <c r="B362">
        <v>2021</v>
      </c>
    </row>
    <row r="363" spans="1:2">
      <c r="A363" t="s">
        <v>1939</v>
      </c>
      <c r="B363">
        <v>4045</v>
      </c>
    </row>
    <row r="364" spans="1:2">
      <c r="A364" t="s">
        <v>1163</v>
      </c>
      <c r="B364">
        <v>8090</v>
      </c>
    </row>
    <row r="365" spans="1:2">
      <c r="A365" t="s">
        <v>1953</v>
      </c>
      <c r="B365">
        <v>6069</v>
      </c>
    </row>
    <row r="366" spans="1:2">
      <c r="A366" t="s">
        <v>1489</v>
      </c>
      <c r="B366">
        <v>8090</v>
      </c>
    </row>
    <row r="367" spans="1:2">
      <c r="A367" t="s">
        <v>1619</v>
      </c>
      <c r="B367">
        <v>6068</v>
      </c>
    </row>
    <row r="368" spans="1:2">
      <c r="A368" t="s">
        <v>1147</v>
      </c>
      <c r="B368">
        <v>6066</v>
      </c>
    </row>
    <row r="369" spans="1:2">
      <c r="A369" t="s">
        <v>1290</v>
      </c>
      <c r="B369">
        <v>6066</v>
      </c>
    </row>
    <row r="370" spans="1:2">
      <c r="A370" t="s">
        <v>1959</v>
      </c>
      <c r="B370">
        <v>4046</v>
      </c>
    </row>
    <row r="371" spans="1:2">
      <c r="A371" t="s">
        <v>1450</v>
      </c>
      <c r="B371">
        <v>6066</v>
      </c>
    </row>
    <row r="372" spans="1:2">
      <c r="A372" t="s">
        <v>2488</v>
      </c>
      <c r="B372">
        <v>2023</v>
      </c>
    </row>
    <row r="373" spans="1:2">
      <c r="A373" t="s">
        <v>251</v>
      </c>
      <c r="B373">
        <v>6066</v>
      </c>
    </row>
    <row r="374" spans="1:2">
      <c r="A374" t="s">
        <v>1468</v>
      </c>
      <c r="B374">
        <v>8090</v>
      </c>
    </row>
    <row r="375" spans="1:2">
      <c r="A375" t="s">
        <v>751</v>
      </c>
      <c r="B375">
        <v>4043</v>
      </c>
    </row>
    <row r="376" spans="1:2">
      <c r="A376" t="s">
        <v>1334</v>
      </c>
      <c r="B376">
        <v>6067</v>
      </c>
    </row>
    <row r="377" spans="1:2">
      <c r="A377" t="s">
        <v>497</v>
      </c>
      <c r="B377">
        <v>4044</v>
      </c>
    </row>
    <row r="378" spans="1:2">
      <c r="A378" t="s">
        <v>2413</v>
      </c>
      <c r="B378">
        <v>4045</v>
      </c>
    </row>
    <row r="379" spans="1:2">
      <c r="A379" t="s">
        <v>2550</v>
      </c>
      <c r="B379">
        <v>4047</v>
      </c>
    </row>
    <row r="380" spans="1:2">
      <c r="A380" t="s">
        <v>1175</v>
      </c>
      <c r="B380">
        <v>8090</v>
      </c>
    </row>
    <row r="381" spans="1:2">
      <c r="A381" t="s">
        <v>1654</v>
      </c>
      <c r="B381">
        <v>8090</v>
      </c>
    </row>
    <row r="382" spans="1:2">
      <c r="A382" t="s">
        <v>859</v>
      </c>
      <c r="B382">
        <v>8090</v>
      </c>
    </row>
    <row r="383" spans="1:2">
      <c r="A383" t="s">
        <v>2282</v>
      </c>
      <c r="B383">
        <v>2022</v>
      </c>
    </row>
    <row r="384" spans="1:2">
      <c r="A384" t="s">
        <v>1303</v>
      </c>
      <c r="B384">
        <v>8090</v>
      </c>
    </row>
    <row r="385" spans="1:2">
      <c r="A385" t="s">
        <v>1996</v>
      </c>
      <c r="B385">
        <v>6069</v>
      </c>
    </row>
    <row r="386" spans="1:2">
      <c r="A386" t="s">
        <v>464</v>
      </c>
      <c r="B386">
        <v>8090</v>
      </c>
    </row>
    <row r="387" spans="1:2">
      <c r="A387" t="s">
        <v>683</v>
      </c>
      <c r="B387">
        <v>6067</v>
      </c>
    </row>
    <row r="388" spans="1:2">
      <c r="A388" t="s">
        <v>539</v>
      </c>
      <c r="B388">
        <v>8090</v>
      </c>
    </row>
    <row r="389" spans="1:2">
      <c r="A389" t="s">
        <v>1006</v>
      </c>
      <c r="B389">
        <v>6066</v>
      </c>
    </row>
    <row r="390" spans="1:2">
      <c r="A390" t="s">
        <v>1663</v>
      </c>
      <c r="B390">
        <v>8090</v>
      </c>
    </row>
    <row r="391" spans="1:2">
      <c r="A391" t="s">
        <v>505</v>
      </c>
      <c r="B391">
        <v>6066</v>
      </c>
    </row>
    <row r="392" spans="1:2">
      <c r="A392" t="s">
        <v>389</v>
      </c>
      <c r="B392">
        <v>6066</v>
      </c>
    </row>
    <row r="393" spans="1:2">
      <c r="A393" t="s">
        <v>2114</v>
      </c>
      <c r="B393">
        <v>6069</v>
      </c>
    </row>
    <row r="394" spans="1:2">
      <c r="A394" t="s">
        <v>1754</v>
      </c>
      <c r="B394">
        <v>4043</v>
      </c>
    </row>
    <row r="395" spans="1:2">
      <c r="A395" t="s">
        <v>607</v>
      </c>
      <c r="B395">
        <v>6066</v>
      </c>
    </row>
    <row r="396" spans="1:2">
      <c r="A396" t="s">
        <v>2199</v>
      </c>
      <c r="B396">
        <v>6069</v>
      </c>
    </row>
    <row r="397" spans="1:2">
      <c r="A397" t="s">
        <v>1322</v>
      </c>
      <c r="B397">
        <v>6068</v>
      </c>
    </row>
    <row r="398" spans="1:2">
      <c r="A398" t="s">
        <v>1104</v>
      </c>
      <c r="B398">
        <v>6066</v>
      </c>
    </row>
    <row r="399" spans="1:2">
      <c r="A399" t="s">
        <v>2431</v>
      </c>
      <c r="B399">
        <v>4047</v>
      </c>
    </row>
    <row r="400" spans="1:2">
      <c r="A400" t="s">
        <v>1435</v>
      </c>
      <c r="B400">
        <v>4045</v>
      </c>
    </row>
    <row r="401" spans="1:2">
      <c r="A401" t="s">
        <v>227</v>
      </c>
      <c r="B401">
        <v>6068</v>
      </c>
    </row>
    <row r="402" spans="1:2">
      <c r="A402" t="s">
        <v>2059</v>
      </c>
      <c r="B402">
        <v>4045</v>
      </c>
    </row>
    <row r="403" spans="1:2">
      <c r="A403" t="s">
        <v>1375</v>
      </c>
      <c r="B403">
        <v>6067</v>
      </c>
    </row>
    <row r="404" spans="1:2">
      <c r="A404" t="s">
        <v>1968</v>
      </c>
      <c r="B404">
        <v>4045</v>
      </c>
    </row>
    <row r="405" spans="1:2">
      <c r="A405" t="s">
        <v>2041</v>
      </c>
      <c r="B405">
        <v>2022</v>
      </c>
    </row>
    <row r="406" spans="1:2">
      <c r="A406" t="s">
        <v>1657</v>
      </c>
      <c r="B406">
        <v>4043</v>
      </c>
    </row>
    <row r="407" spans="1:2">
      <c r="A407" t="s">
        <v>1549</v>
      </c>
      <c r="B407">
        <v>8090</v>
      </c>
    </row>
    <row r="408" spans="1:2">
      <c r="A408" t="s">
        <v>1371</v>
      </c>
      <c r="B408">
        <v>8090</v>
      </c>
    </row>
    <row r="409" spans="1:2">
      <c r="A409" t="s">
        <v>1637</v>
      </c>
      <c r="B409">
        <v>8090</v>
      </c>
    </row>
    <row r="410" spans="1:2">
      <c r="A410" t="s">
        <v>2643</v>
      </c>
      <c r="B410">
        <v>2023</v>
      </c>
    </row>
    <row r="411" spans="1:2">
      <c r="A411" t="s">
        <v>2081</v>
      </c>
      <c r="B411">
        <v>4045</v>
      </c>
    </row>
    <row r="412" spans="1:2">
      <c r="A412" t="s">
        <v>601</v>
      </c>
      <c r="B412">
        <v>8090</v>
      </c>
    </row>
    <row r="413" spans="1:2">
      <c r="A413" t="s">
        <v>2254</v>
      </c>
      <c r="B413">
        <v>4045</v>
      </c>
    </row>
    <row r="414" spans="1:2">
      <c r="A414" t="s">
        <v>2149</v>
      </c>
      <c r="B414">
        <v>4045</v>
      </c>
    </row>
    <row r="415" spans="1:2">
      <c r="A415" t="s">
        <v>429</v>
      </c>
      <c r="B415">
        <v>8090</v>
      </c>
    </row>
    <row r="416" spans="1:2">
      <c r="A416" t="s">
        <v>1244</v>
      </c>
      <c r="B416">
        <v>6066</v>
      </c>
    </row>
    <row r="417" spans="1:2">
      <c r="A417" t="s">
        <v>1600</v>
      </c>
      <c r="B417">
        <v>6066</v>
      </c>
    </row>
    <row r="418" spans="1:2">
      <c r="A418" t="s">
        <v>1387</v>
      </c>
      <c r="B418">
        <v>6068</v>
      </c>
    </row>
    <row r="419" spans="1:2">
      <c r="A419" t="s">
        <v>1900</v>
      </c>
      <c r="B419">
        <v>4046</v>
      </c>
    </row>
    <row r="420" spans="1:2">
      <c r="A420" t="s">
        <v>1180</v>
      </c>
      <c r="B420">
        <v>8090</v>
      </c>
    </row>
    <row r="421" spans="1:2">
      <c r="A421" t="s">
        <v>435</v>
      </c>
      <c r="B421">
        <v>6068</v>
      </c>
    </row>
    <row r="422" spans="1:2">
      <c r="A422" t="s">
        <v>1209</v>
      </c>
      <c r="B422">
        <v>6067</v>
      </c>
    </row>
    <row r="423" spans="1:2">
      <c r="A423" t="s">
        <v>598</v>
      </c>
      <c r="B423">
        <v>6068</v>
      </c>
    </row>
    <row r="424" spans="1:2">
      <c r="A424" t="s">
        <v>975</v>
      </c>
      <c r="B424">
        <v>8090</v>
      </c>
    </row>
    <row r="425" spans="1:2">
      <c r="A425" t="s">
        <v>1738</v>
      </c>
      <c r="B425">
        <v>6067</v>
      </c>
    </row>
    <row r="426" spans="1:2">
      <c r="A426" t="s">
        <v>2349</v>
      </c>
      <c r="B426">
        <v>2022</v>
      </c>
    </row>
    <row r="427" spans="1:2">
      <c r="A427" t="s">
        <v>447</v>
      </c>
      <c r="B427">
        <v>6066</v>
      </c>
    </row>
    <row r="428" spans="1:2">
      <c r="A428" t="s">
        <v>2214</v>
      </c>
      <c r="B428">
        <v>6069</v>
      </c>
    </row>
    <row r="429" spans="1:2">
      <c r="A429" t="s">
        <v>521</v>
      </c>
      <c r="B429">
        <v>4043</v>
      </c>
    </row>
    <row r="430" spans="1:2">
      <c r="A430" t="s">
        <v>1256</v>
      </c>
      <c r="B430">
        <v>6066</v>
      </c>
    </row>
    <row r="431" spans="1:2">
      <c r="A431" t="s">
        <v>279</v>
      </c>
      <c r="B431">
        <v>8090</v>
      </c>
    </row>
    <row r="432" spans="1:2">
      <c r="A432" t="s">
        <v>1396</v>
      </c>
      <c r="B432">
        <v>8090</v>
      </c>
    </row>
    <row r="433" spans="1:2">
      <c r="A433" t="s">
        <v>1123</v>
      </c>
      <c r="B433">
        <v>4043</v>
      </c>
    </row>
    <row r="434" spans="1:2">
      <c r="A434" t="s">
        <v>285</v>
      </c>
      <c r="B434">
        <v>8090</v>
      </c>
    </row>
    <row r="435" spans="1:2">
      <c r="A435" t="s">
        <v>2310</v>
      </c>
      <c r="B435">
        <v>4045</v>
      </c>
    </row>
    <row r="436" spans="1:2">
      <c r="A436" t="s">
        <v>819</v>
      </c>
      <c r="B436">
        <v>6068</v>
      </c>
    </row>
    <row r="437" spans="1:2">
      <c r="A437" t="s">
        <v>1414</v>
      </c>
      <c r="B437">
        <v>4043</v>
      </c>
    </row>
    <row r="438" spans="1:2">
      <c r="A438" t="s">
        <v>454</v>
      </c>
      <c r="B438">
        <v>8090</v>
      </c>
    </row>
    <row r="439" spans="1:2">
      <c r="A439" t="s">
        <v>1868</v>
      </c>
      <c r="B439">
        <v>6066</v>
      </c>
    </row>
    <row r="440" spans="1:2">
      <c r="A440" t="s">
        <v>2244</v>
      </c>
      <c r="B440">
        <v>6069</v>
      </c>
    </row>
    <row r="441" spans="1:2">
      <c r="A441" t="s">
        <v>1540</v>
      </c>
      <c r="B441">
        <v>6066</v>
      </c>
    </row>
    <row r="442" spans="1:2">
      <c r="A442" t="s">
        <v>1014</v>
      </c>
      <c r="B442">
        <v>8090</v>
      </c>
    </row>
    <row r="443" spans="1:2">
      <c r="A443" t="s">
        <v>1824</v>
      </c>
      <c r="B443">
        <v>6066</v>
      </c>
    </row>
    <row r="444" spans="1:2">
      <c r="A444" t="s">
        <v>1785</v>
      </c>
      <c r="B444">
        <v>6068</v>
      </c>
    </row>
    <row r="445" spans="1:2">
      <c r="A445" t="s">
        <v>359</v>
      </c>
      <c r="B445">
        <v>8090</v>
      </c>
    </row>
    <row r="446" spans="1:2">
      <c r="A446" t="s">
        <v>241</v>
      </c>
      <c r="B446">
        <v>8090</v>
      </c>
    </row>
    <row r="447" spans="1:2">
      <c r="A447" t="s">
        <v>407</v>
      </c>
      <c r="B447">
        <v>6066</v>
      </c>
    </row>
    <row r="448" spans="1:2">
      <c r="A448" t="s">
        <v>2575</v>
      </c>
      <c r="B448">
        <v>4047</v>
      </c>
    </row>
    <row r="449" spans="1:2">
      <c r="A449" t="s">
        <v>1358</v>
      </c>
      <c r="B449">
        <v>4045</v>
      </c>
    </row>
    <row r="450" spans="1:2">
      <c r="A450" t="s">
        <v>1202</v>
      </c>
      <c r="B450">
        <v>4043</v>
      </c>
    </row>
    <row r="451" spans="1:2">
      <c r="A451" t="s">
        <v>595</v>
      </c>
      <c r="B451">
        <v>8090</v>
      </c>
    </row>
    <row r="452" spans="1:2">
      <c r="A452" t="s">
        <v>564</v>
      </c>
      <c r="B452">
        <v>6068</v>
      </c>
    </row>
    <row r="453" spans="1:2">
      <c r="A453" t="s">
        <v>734</v>
      </c>
      <c r="B453">
        <v>8090</v>
      </c>
    </row>
    <row r="454" spans="1:2">
      <c r="A454" t="s">
        <v>745</v>
      </c>
      <c r="B454">
        <v>4044</v>
      </c>
    </row>
    <row r="455" spans="1:2">
      <c r="A455" t="s">
        <v>592</v>
      </c>
      <c r="B455">
        <v>6067</v>
      </c>
    </row>
    <row r="456" spans="1:2">
      <c r="A456" t="s">
        <v>2558</v>
      </c>
      <c r="B456">
        <v>2023</v>
      </c>
    </row>
    <row r="457" spans="1:2">
      <c r="A457" t="s">
        <v>2062</v>
      </c>
      <c r="B457">
        <v>6069</v>
      </c>
    </row>
    <row r="458" spans="1:2">
      <c r="A458" t="s">
        <v>569</v>
      </c>
      <c r="B458">
        <v>8090</v>
      </c>
    </row>
    <row r="459" spans="1:2">
      <c r="A459" t="s">
        <v>1140</v>
      </c>
      <c r="B459">
        <v>8090</v>
      </c>
    </row>
    <row r="460" spans="1:2">
      <c r="A460" t="s">
        <v>1081</v>
      </c>
      <c r="B460">
        <v>6066</v>
      </c>
    </row>
    <row r="461" spans="1:2">
      <c r="A461" t="s">
        <v>214</v>
      </c>
      <c r="B461">
        <v>6068</v>
      </c>
    </row>
    <row r="462" spans="1:2">
      <c r="A462" t="s">
        <v>2044</v>
      </c>
      <c r="B462">
        <v>6069</v>
      </c>
    </row>
    <row r="463" spans="1:2">
      <c r="A463" t="s">
        <v>1924</v>
      </c>
      <c r="B463">
        <v>4045</v>
      </c>
    </row>
    <row r="464" spans="1:2">
      <c r="A464" t="s">
        <v>1499</v>
      </c>
      <c r="B464">
        <v>6066</v>
      </c>
    </row>
    <row r="465" spans="1:2">
      <c r="A465" t="s">
        <v>2512</v>
      </c>
      <c r="B465">
        <v>4047</v>
      </c>
    </row>
    <row r="466" spans="1:2">
      <c r="A466" t="s">
        <v>1407</v>
      </c>
      <c r="B466">
        <v>4044</v>
      </c>
    </row>
    <row r="467" spans="1:2">
      <c r="A467" t="s">
        <v>1243</v>
      </c>
      <c r="B467">
        <v>8090</v>
      </c>
    </row>
    <row r="468" spans="1:2">
      <c r="A468" t="s">
        <v>1232</v>
      </c>
      <c r="B468">
        <v>8090</v>
      </c>
    </row>
    <row r="469" spans="1:2">
      <c r="A469" t="s">
        <v>156</v>
      </c>
      <c r="B469">
        <v>4044</v>
      </c>
    </row>
    <row r="470" spans="1:2">
      <c r="A470" t="s">
        <v>880</v>
      </c>
      <c r="B470">
        <v>6066</v>
      </c>
    </row>
    <row r="471" spans="1:2">
      <c r="A471" t="s">
        <v>873</v>
      </c>
      <c r="B471">
        <v>6068</v>
      </c>
    </row>
    <row r="472" spans="1:2">
      <c r="A472" t="s">
        <v>2542</v>
      </c>
      <c r="B472">
        <v>4047</v>
      </c>
    </row>
    <row r="473" spans="1:2">
      <c r="A473" t="s">
        <v>762</v>
      </c>
      <c r="B473">
        <v>6066</v>
      </c>
    </row>
    <row r="474" spans="1:2">
      <c r="A474" t="s">
        <v>1277</v>
      </c>
      <c r="B474">
        <v>6068</v>
      </c>
    </row>
    <row r="475" spans="1:2">
      <c r="A475" t="s">
        <v>1265</v>
      </c>
      <c r="B475">
        <v>6066</v>
      </c>
    </row>
    <row r="476" spans="1:2">
      <c r="A476" t="s">
        <v>1780</v>
      </c>
      <c r="B476">
        <v>6066</v>
      </c>
    </row>
    <row r="477" spans="1:2">
      <c r="A477" t="s">
        <v>1914</v>
      </c>
      <c r="B477">
        <v>4046</v>
      </c>
    </row>
    <row r="478" spans="1:2">
      <c r="A478" t="s">
        <v>1029</v>
      </c>
      <c r="B478">
        <v>8090</v>
      </c>
    </row>
    <row r="479" spans="1:2">
      <c r="A479" t="s">
        <v>1485</v>
      </c>
      <c r="B479">
        <v>6068</v>
      </c>
    </row>
    <row r="480" spans="1:2">
      <c r="A480" t="s">
        <v>1288</v>
      </c>
      <c r="B480">
        <v>6068</v>
      </c>
    </row>
    <row r="481" spans="1:2">
      <c r="A481" t="s">
        <v>28</v>
      </c>
      <c r="B481">
        <v>4043</v>
      </c>
    </row>
    <row r="482" spans="1:2">
      <c r="A482" t="s">
        <v>1477</v>
      </c>
      <c r="B482">
        <v>6066</v>
      </c>
    </row>
    <row r="483" spans="1:2">
      <c r="A483" t="s">
        <v>738</v>
      </c>
      <c r="B483">
        <v>6068</v>
      </c>
    </row>
    <row r="484" spans="1:2">
      <c r="A484" t="s">
        <v>1253</v>
      </c>
      <c r="B484">
        <v>6066</v>
      </c>
    </row>
    <row r="485" spans="1:2">
      <c r="A485" t="s">
        <v>578</v>
      </c>
      <c r="B485">
        <v>8090</v>
      </c>
    </row>
    <row r="486" spans="1:2">
      <c r="A486" t="s">
        <v>1086</v>
      </c>
      <c r="B486">
        <v>8090</v>
      </c>
    </row>
    <row r="487" spans="1:2">
      <c r="A487" t="s">
        <v>34</v>
      </c>
      <c r="B487">
        <v>8090</v>
      </c>
    </row>
    <row r="488" spans="1:2">
      <c r="A488" t="s">
        <v>2328</v>
      </c>
      <c r="B488">
        <v>6069</v>
      </c>
    </row>
    <row r="489" spans="1:2">
      <c r="A489" t="s">
        <v>1573</v>
      </c>
      <c r="B489">
        <v>8090</v>
      </c>
    </row>
    <row r="490" spans="1:2">
      <c r="A490" t="s">
        <v>1260</v>
      </c>
      <c r="B490">
        <v>8090</v>
      </c>
    </row>
    <row r="491" spans="1:2">
      <c r="A491" t="s">
        <v>2300</v>
      </c>
      <c r="B491">
        <v>6069</v>
      </c>
    </row>
    <row r="492" spans="1:2">
      <c r="A492" t="s">
        <v>199</v>
      </c>
      <c r="B492">
        <v>8090</v>
      </c>
    </row>
    <row r="493" spans="1:2">
      <c r="A493" t="s">
        <v>1618</v>
      </c>
      <c r="B493">
        <v>6068</v>
      </c>
    </row>
    <row r="494" spans="1:2">
      <c r="A494" t="s">
        <v>750</v>
      </c>
      <c r="B494">
        <v>6066</v>
      </c>
    </row>
    <row r="495" spans="1:2">
      <c r="A495" t="s">
        <v>172</v>
      </c>
      <c r="B495">
        <v>4044</v>
      </c>
    </row>
    <row r="496" spans="1:2">
      <c r="A496" t="s">
        <v>937</v>
      </c>
      <c r="B496">
        <v>8090</v>
      </c>
    </row>
    <row r="497" spans="1:2">
      <c r="A497" t="s">
        <v>415</v>
      </c>
      <c r="B497">
        <v>6066</v>
      </c>
    </row>
    <row r="498" spans="1:2">
      <c r="A498" t="s">
        <v>109</v>
      </c>
      <c r="B498">
        <v>8090</v>
      </c>
    </row>
    <row r="499" spans="1:2">
      <c r="A499" t="s">
        <v>1950</v>
      </c>
      <c r="B499">
        <v>4046</v>
      </c>
    </row>
    <row r="500" spans="1:2">
      <c r="A500" t="s">
        <v>1716</v>
      </c>
      <c r="B500">
        <v>4044</v>
      </c>
    </row>
    <row r="501" spans="1:2">
      <c r="A501" t="s">
        <v>452</v>
      </c>
      <c r="B501">
        <v>8090</v>
      </c>
    </row>
    <row r="502" spans="1:2">
      <c r="A502" t="s">
        <v>1564</v>
      </c>
      <c r="B502">
        <v>6066</v>
      </c>
    </row>
    <row r="503" spans="1:2">
      <c r="A503" t="s">
        <v>1211</v>
      </c>
      <c r="B503">
        <v>4045</v>
      </c>
    </row>
    <row r="504" spans="1:2">
      <c r="A504" t="s">
        <v>1090</v>
      </c>
      <c r="B504">
        <v>6066</v>
      </c>
    </row>
    <row r="505" spans="1:2">
      <c r="A505" t="s">
        <v>1740</v>
      </c>
      <c r="B505">
        <v>8090</v>
      </c>
    </row>
    <row r="506" spans="1:2">
      <c r="A506" t="s">
        <v>691</v>
      </c>
      <c r="B506">
        <v>4044</v>
      </c>
    </row>
    <row r="507" spans="1:2">
      <c r="A507" t="s">
        <v>348</v>
      </c>
      <c r="B507">
        <v>8090</v>
      </c>
    </row>
    <row r="508" spans="1:2">
      <c r="A508" t="s">
        <v>2382</v>
      </c>
      <c r="B508">
        <v>6069</v>
      </c>
    </row>
    <row r="509" spans="1:2">
      <c r="A509" t="s">
        <v>1722</v>
      </c>
      <c r="B509">
        <v>6068</v>
      </c>
    </row>
    <row r="510" spans="1:2">
      <c r="A510" t="s">
        <v>1101</v>
      </c>
      <c r="B510">
        <v>6068</v>
      </c>
    </row>
    <row r="511" spans="1:2">
      <c r="A511" t="s">
        <v>1869</v>
      </c>
      <c r="B511">
        <v>4044</v>
      </c>
    </row>
    <row r="512" spans="1:2">
      <c r="A512" t="s">
        <v>1507</v>
      </c>
      <c r="B512">
        <v>6067</v>
      </c>
    </row>
    <row r="513" spans="1:2">
      <c r="A513" t="s">
        <v>1844</v>
      </c>
      <c r="B513">
        <v>6066</v>
      </c>
    </row>
    <row r="514" spans="1:2">
      <c r="A514" t="s">
        <v>382</v>
      </c>
      <c r="B514">
        <v>6066</v>
      </c>
    </row>
    <row r="515" spans="1:2">
      <c r="A515" t="s">
        <v>947</v>
      </c>
      <c r="B515">
        <v>8090</v>
      </c>
    </row>
    <row r="516" spans="1:2">
      <c r="A516" t="s">
        <v>2109</v>
      </c>
      <c r="B516">
        <v>6069</v>
      </c>
    </row>
    <row r="517" spans="1:2">
      <c r="A517" t="s">
        <v>2582</v>
      </c>
      <c r="B517">
        <v>4047</v>
      </c>
    </row>
    <row r="518" spans="1:2">
      <c r="A518" t="s">
        <v>904</v>
      </c>
      <c r="B518">
        <v>8090</v>
      </c>
    </row>
    <row r="519" spans="1:2">
      <c r="A519" t="s">
        <v>729</v>
      </c>
      <c r="B519">
        <v>6066</v>
      </c>
    </row>
    <row r="520" spans="1:2">
      <c r="A520" t="s">
        <v>2250</v>
      </c>
      <c r="B520">
        <v>6069</v>
      </c>
    </row>
    <row r="521" spans="1:2">
      <c r="A521" t="s">
        <v>2321</v>
      </c>
      <c r="B521">
        <v>6069</v>
      </c>
    </row>
    <row r="522" spans="1:2">
      <c r="A522" t="s">
        <v>52</v>
      </c>
      <c r="B522">
        <v>6066</v>
      </c>
    </row>
    <row r="523" spans="1:2">
      <c r="A523" t="s">
        <v>906</v>
      </c>
      <c r="B523">
        <v>4044</v>
      </c>
    </row>
    <row r="524" spans="1:2">
      <c r="A524" t="s">
        <v>1736</v>
      </c>
      <c r="B524">
        <v>4045</v>
      </c>
    </row>
    <row r="525" spans="1:2">
      <c r="A525" t="s">
        <v>222</v>
      </c>
      <c r="B525">
        <v>6066</v>
      </c>
    </row>
    <row r="526" spans="1:2">
      <c r="A526" t="s">
        <v>1865</v>
      </c>
      <c r="B526">
        <v>8090</v>
      </c>
    </row>
    <row r="527" spans="1:2">
      <c r="A527" t="s">
        <v>1659</v>
      </c>
      <c r="B527">
        <v>8090</v>
      </c>
    </row>
    <row r="528" spans="1:2">
      <c r="A528" t="s">
        <v>79</v>
      </c>
      <c r="B528">
        <v>8090</v>
      </c>
    </row>
    <row r="529" spans="1:2">
      <c r="A529" t="s">
        <v>206</v>
      </c>
      <c r="B529">
        <v>6068</v>
      </c>
    </row>
    <row r="530" spans="1:2">
      <c r="A530" t="s">
        <v>1993</v>
      </c>
      <c r="B530">
        <v>4046</v>
      </c>
    </row>
    <row r="531" spans="1:2">
      <c r="A531" t="s">
        <v>2035</v>
      </c>
      <c r="B531">
        <v>6069</v>
      </c>
    </row>
    <row r="532" spans="1:2">
      <c r="A532" t="s">
        <v>894</v>
      </c>
      <c r="B532">
        <v>4043</v>
      </c>
    </row>
    <row r="533" spans="1:2">
      <c r="A533" t="s">
        <v>1340</v>
      </c>
      <c r="B533">
        <v>8090</v>
      </c>
    </row>
    <row r="534" spans="1:2">
      <c r="A534" t="s">
        <v>991</v>
      </c>
      <c r="B534">
        <v>4043</v>
      </c>
    </row>
    <row r="535" spans="1:2">
      <c r="A535" t="s">
        <v>923</v>
      </c>
      <c r="B535">
        <v>6067</v>
      </c>
    </row>
    <row r="536" spans="1:2">
      <c r="A536" t="s">
        <v>2663</v>
      </c>
      <c r="B536">
        <v>2024</v>
      </c>
    </row>
    <row r="537" spans="1:2">
      <c r="A537" t="s">
        <v>516</v>
      </c>
      <c r="B537">
        <v>6067</v>
      </c>
    </row>
    <row r="538" spans="1:2">
      <c r="A538" t="s">
        <v>1377</v>
      </c>
      <c r="B538">
        <v>8090</v>
      </c>
    </row>
    <row r="539" spans="1:2">
      <c r="A539" t="s">
        <v>24</v>
      </c>
      <c r="B539">
        <v>6068</v>
      </c>
    </row>
    <row r="540" spans="1:2">
      <c r="A540" t="s">
        <v>833</v>
      </c>
      <c r="B540">
        <v>6066</v>
      </c>
    </row>
    <row r="541" spans="1:2">
      <c r="A541" t="s">
        <v>2587</v>
      </c>
      <c r="B541">
        <v>4047</v>
      </c>
    </row>
    <row r="542" spans="1:2">
      <c r="A542" t="s">
        <v>1332</v>
      </c>
      <c r="B542">
        <v>6066</v>
      </c>
    </row>
    <row r="543" spans="1:2">
      <c r="A543" t="s">
        <v>405</v>
      </c>
      <c r="B543">
        <v>6067</v>
      </c>
    </row>
    <row r="544" spans="1:2">
      <c r="A544" t="s">
        <v>1803</v>
      </c>
      <c r="B544">
        <v>6068</v>
      </c>
    </row>
    <row r="545" spans="1:2">
      <c r="A545" t="s">
        <v>403</v>
      </c>
      <c r="B545">
        <v>8090</v>
      </c>
    </row>
    <row r="546" spans="1:2">
      <c r="A546" t="s">
        <v>153</v>
      </c>
      <c r="B546">
        <v>6066</v>
      </c>
    </row>
    <row r="547" spans="1:2">
      <c r="A547" t="s">
        <v>2671</v>
      </c>
      <c r="B547">
        <v>2024</v>
      </c>
    </row>
    <row r="548" spans="1:2">
      <c r="A548" t="s">
        <v>1174</v>
      </c>
      <c r="B548">
        <v>6066</v>
      </c>
    </row>
    <row r="549" spans="1:2">
      <c r="A549" t="s">
        <v>694</v>
      </c>
      <c r="B549">
        <v>2021</v>
      </c>
    </row>
    <row r="550" spans="1:2">
      <c r="A550" t="s">
        <v>1312</v>
      </c>
      <c r="B550">
        <v>4043</v>
      </c>
    </row>
    <row r="551" spans="1:2">
      <c r="A551" t="s">
        <v>2097</v>
      </c>
      <c r="B551">
        <v>2022</v>
      </c>
    </row>
    <row r="552" spans="1:2">
      <c r="A552" t="s">
        <v>121</v>
      </c>
      <c r="B552">
        <v>8090</v>
      </c>
    </row>
    <row r="553" spans="1:2">
      <c r="A553" t="s">
        <v>580</v>
      </c>
      <c r="B553">
        <v>6068</v>
      </c>
    </row>
    <row r="554" spans="1:2">
      <c r="A554" t="s">
        <v>1537</v>
      </c>
      <c r="B554">
        <v>6066</v>
      </c>
    </row>
    <row r="555" spans="1:2">
      <c r="A555" t="s">
        <v>669</v>
      </c>
      <c r="B555">
        <v>4043</v>
      </c>
    </row>
    <row r="556" spans="1:2">
      <c r="A556" t="s">
        <v>419</v>
      </c>
      <c r="B556">
        <v>8090</v>
      </c>
    </row>
    <row r="557" spans="1:2">
      <c r="A557" t="s">
        <v>1698</v>
      </c>
      <c r="B557">
        <v>6067</v>
      </c>
    </row>
    <row r="558" spans="1:2">
      <c r="A558" t="s">
        <v>71</v>
      </c>
      <c r="B558">
        <v>8090</v>
      </c>
    </row>
    <row r="559" spans="1:2">
      <c r="A559" t="s">
        <v>184</v>
      </c>
      <c r="B559">
        <v>8090</v>
      </c>
    </row>
    <row r="560" spans="1:2">
      <c r="A560" t="s">
        <v>850</v>
      </c>
      <c r="B560">
        <v>8090</v>
      </c>
    </row>
    <row r="561" spans="1:2">
      <c r="A561" t="s">
        <v>609</v>
      </c>
      <c r="B561">
        <v>6066</v>
      </c>
    </row>
    <row r="562" spans="1:2">
      <c r="A562" t="s">
        <v>1689</v>
      </c>
      <c r="B562">
        <v>4043</v>
      </c>
    </row>
    <row r="563" spans="1:2">
      <c r="A563" t="s">
        <v>182</v>
      </c>
      <c r="B563">
        <v>6067</v>
      </c>
    </row>
    <row r="564" spans="1:2">
      <c r="A564" t="s">
        <v>173</v>
      </c>
      <c r="B564">
        <v>6067</v>
      </c>
    </row>
    <row r="565" spans="1:2">
      <c r="A565" t="s">
        <v>307</v>
      </c>
      <c r="B565">
        <v>6066</v>
      </c>
    </row>
    <row r="566" spans="1:2">
      <c r="A566" t="s">
        <v>2085</v>
      </c>
      <c r="B566">
        <v>6069</v>
      </c>
    </row>
    <row r="567" spans="1:2">
      <c r="A567" t="s">
        <v>2633</v>
      </c>
      <c r="B567">
        <v>4047</v>
      </c>
    </row>
    <row r="568" spans="1:2">
      <c r="A568" t="s">
        <v>2232</v>
      </c>
      <c r="B568">
        <v>6069</v>
      </c>
    </row>
    <row r="569" spans="1:2">
      <c r="A569" t="s">
        <v>1011</v>
      </c>
      <c r="B569">
        <v>6068</v>
      </c>
    </row>
    <row r="570" spans="1:2">
      <c r="A570" t="s">
        <v>791</v>
      </c>
      <c r="B570">
        <v>6068</v>
      </c>
    </row>
    <row r="571" spans="1:2">
      <c r="A571" t="s">
        <v>1048</v>
      </c>
      <c r="B571">
        <v>8090</v>
      </c>
    </row>
    <row r="572" spans="1:2">
      <c r="A572" t="s">
        <v>1383</v>
      </c>
      <c r="B572">
        <v>2021</v>
      </c>
    </row>
    <row r="573" spans="1:2">
      <c r="A573" t="s">
        <v>547</v>
      </c>
      <c r="B573">
        <v>6067</v>
      </c>
    </row>
    <row r="574" spans="1:2">
      <c r="A574" t="s">
        <v>243</v>
      </c>
      <c r="B574">
        <v>8090</v>
      </c>
    </row>
    <row r="575" spans="1:2">
      <c r="A575" t="s">
        <v>1521</v>
      </c>
      <c r="B575">
        <v>8090</v>
      </c>
    </row>
    <row r="576" spans="1:2">
      <c r="A576" t="s">
        <v>875</v>
      </c>
      <c r="B576">
        <v>8090</v>
      </c>
    </row>
    <row r="577" spans="1:2">
      <c r="A577" t="s">
        <v>1750</v>
      </c>
      <c r="B577">
        <v>6066</v>
      </c>
    </row>
    <row r="578" spans="1:2">
      <c r="A578" t="s">
        <v>1928</v>
      </c>
      <c r="B578">
        <v>4045</v>
      </c>
    </row>
    <row r="579" spans="1:2">
      <c r="A579" t="s">
        <v>270</v>
      </c>
      <c r="B579">
        <v>6066</v>
      </c>
    </row>
    <row r="580" spans="1:2">
      <c r="A580" t="s">
        <v>1213</v>
      </c>
      <c r="B580">
        <v>6068</v>
      </c>
    </row>
    <row r="581" spans="1:2">
      <c r="A581" t="s">
        <v>1291</v>
      </c>
      <c r="B581">
        <v>6066</v>
      </c>
    </row>
    <row r="582" spans="1:2">
      <c r="A582" t="s">
        <v>2039</v>
      </c>
      <c r="B582">
        <v>6069</v>
      </c>
    </row>
    <row r="583" spans="1:2">
      <c r="A583" t="s">
        <v>1873</v>
      </c>
      <c r="B583">
        <v>4044</v>
      </c>
    </row>
    <row r="584" spans="1:2">
      <c r="A584" t="s">
        <v>822</v>
      </c>
      <c r="B584">
        <v>8090</v>
      </c>
    </row>
    <row r="585" spans="1:2">
      <c r="A585" t="s">
        <v>2178</v>
      </c>
      <c r="B585">
        <v>6069</v>
      </c>
    </row>
    <row r="586" spans="1:2">
      <c r="A586" t="s">
        <v>2348</v>
      </c>
      <c r="B586">
        <v>4045</v>
      </c>
    </row>
    <row r="587" spans="1:2">
      <c r="A587" t="s">
        <v>637</v>
      </c>
      <c r="B587">
        <v>6066</v>
      </c>
    </row>
    <row r="588" spans="1:2">
      <c r="A588" t="s">
        <v>736</v>
      </c>
      <c r="B588">
        <v>8090</v>
      </c>
    </row>
    <row r="589" spans="1:2">
      <c r="A589" t="s">
        <v>1548</v>
      </c>
      <c r="B589">
        <v>8090</v>
      </c>
    </row>
    <row r="590" spans="1:2">
      <c r="A590" t="s">
        <v>375</v>
      </c>
      <c r="B590">
        <v>6068</v>
      </c>
    </row>
    <row r="591" spans="1:2">
      <c r="A591" t="s">
        <v>1214</v>
      </c>
      <c r="B591">
        <v>6067</v>
      </c>
    </row>
    <row r="592" spans="1:2">
      <c r="A592" t="s">
        <v>653</v>
      </c>
      <c r="B592">
        <v>8090</v>
      </c>
    </row>
    <row r="593" spans="1:2">
      <c r="A593" t="s">
        <v>448</v>
      </c>
      <c r="B593">
        <v>4044</v>
      </c>
    </row>
    <row r="594" spans="1:2">
      <c r="A594" t="s">
        <v>1543</v>
      </c>
      <c r="B594">
        <v>6068</v>
      </c>
    </row>
    <row r="595" spans="1:2">
      <c r="A595" t="s">
        <v>612</v>
      </c>
      <c r="B595">
        <v>6066</v>
      </c>
    </row>
    <row r="596" spans="1:2">
      <c r="A596" t="s">
        <v>1183</v>
      </c>
      <c r="B596">
        <v>8090</v>
      </c>
    </row>
    <row r="597" spans="1:2">
      <c r="A597" t="s">
        <v>535</v>
      </c>
      <c r="B597">
        <v>8090</v>
      </c>
    </row>
    <row r="598" spans="1:2">
      <c r="A598" t="s">
        <v>949</v>
      </c>
      <c r="B598">
        <v>6068</v>
      </c>
    </row>
    <row r="599" spans="1:2">
      <c r="A599" t="s">
        <v>502</v>
      </c>
      <c r="B599">
        <v>4043</v>
      </c>
    </row>
    <row r="600" spans="1:2">
      <c r="A600" t="s">
        <v>489</v>
      </c>
      <c r="B600">
        <v>8090</v>
      </c>
    </row>
    <row r="601" spans="1:2">
      <c r="A601" t="s">
        <v>673</v>
      </c>
      <c r="B601">
        <v>8090</v>
      </c>
    </row>
    <row r="602" spans="1:2">
      <c r="A602" t="s">
        <v>1813</v>
      </c>
      <c r="B602">
        <v>8090</v>
      </c>
    </row>
    <row r="603" spans="1:2">
      <c r="A603" t="s">
        <v>676</v>
      </c>
      <c r="B603">
        <v>6066</v>
      </c>
    </row>
    <row r="604" spans="1:2">
      <c r="A604" t="s">
        <v>1595</v>
      </c>
      <c r="B604">
        <v>6068</v>
      </c>
    </row>
    <row r="605" spans="1:2">
      <c r="A605" t="s">
        <v>1281</v>
      </c>
      <c r="B605">
        <v>6068</v>
      </c>
    </row>
    <row r="606" spans="1:2">
      <c r="A606" t="s">
        <v>1627</v>
      </c>
      <c r="B606">
        <v>4044</v>
      </c>
    </row>
    <row r="607" spans="1:2">
      <c r="A607" t="s">
        <v>620</v>
      </c>
      <c r="B607">
        <v>4043</v>
      </c>
    </row>
    <row r="608" spans="1:2">
      <c r="A608" t="s">
        <v>2407</v>
      </c>
      <c r="B608">
        <v>4045</v>
      </c>
    </row>
    <row r="609" spans="1:2">
      <c r="A609" t="s">
        <v>955</v>
      </c>
      <c r="B609">
        <v>6066</v>
      </c>
    </row>
    <row r="610" spans="1:2">
      <c r="A610" t="s">
        <v>1336</v>
      </c>
      <c r="B610">
        <v>8090</v>
      </c>
    </row>
    <row r="611" spans="1:2">
      <c r="A611" t="s">
        <v>2190</v>
      </c>
      <c r="B611">
        <v>6069</v>
      </c>
    </row>
    <row r="612" spans="1:2">
      <c r="A612" t="s">
        <v>16</v>
      </c>
      <c r="B612">
        <v>4043</v>
      </c>
    </row>
    <row r="613" spans="1:2">
      <c r="A613" t="s">
        <v>1684</v>
      </c>
      <c r="B613">
        <v>4044</v>
      </c>
    </row>
    <row r="614" spans="1:2">
      <c r="A614" t="s">
        <v>2560</v>
      </c>
      <c r="B614">
        <v>2023</v>
      </c>
    </row>
    <row r="615" spans="1:2">
      <c r="A615" t="s">
        <v>1645</v>
      </c>
      <c r="B615">
        <v>6066</v>
      </c>
    </row>
    <row r="616" spans="1:2">
      <c r="A616" t="s">
        <v>336</v>
      </c>
      <c r="B616">
        <v>8090</v>
      </c>
    </row>
    <row r="617" spans="1:2">
      <c r="A617" t="s">
        <v>1491</v>
      </c>
      <c r="B617">
        <v>6066</v>
      </c>
    </row>
    <row r="618" spans="1:2">
      <c r="A618" t="s">
        <v>1783</v>
      </c>
      <c r="B618">
        <v>8090</v>
      </c>
    </row>
    <row r="619" spans="1:2">
      <c r="A619" t="s">
        <v>2168</v>
      </c>
      <c r="B619">
        <v>2022</v>
      </c>
    </row>
    <row r="620" spans="1:2">
      <c r="A620" t="s">
        <v>2629</v>
      </c>
      <c r="B620">
        <v>2023</v>
      </c>
    </row>
    <row r="621" spans="1:2">
      <c r="A621" t="s">
        <v>1643</v>
      </c>
      <c r="B621">
        <v>2021</v>
      </c>
    </row>
    <row r="622" spans="1:2">
      <c r="A622" t="s">
        <v>686</v>
      </c>
      <c r="B622">
        <v>6066</v>
      </c>
    </row>
    <row r="623" spans="1:2">
      <c r="A623" t="s">
        <v>2476</v>
      </c>
      <c r="B623">
        <v>4047</v>
      </c>
    </row>
    <row r="624" spans="1:2">
      <c r="A624" t="s">
        <v>657</v>
      </c>
      <c r="B624">
        <v>8090</v>
      </c>
    </row>
    <row r="625" spans="1:2">
      <c r="A625" t="s">
        <v>714</v>
      </c>
      <c r="B625">
        <v>8090</v>
      </c>
    </row>
    <row r="626" spans="1:2">
      <c r="A626" t="s">
        <v>1867</v>
      </c>
      <c r="B626">
        <v>2021</v>
      </c>
    </row>
    <row r="627" spans="1:2">
      <c r="A627" t="s">
        <v>1072</v>
      </c>
      <c r="B627">
        <v>6068</v>
      </c>
    </row>
    <row r="628" spans="1:2">
      <c r="A628" t="s">
        <v>291</v>
      </c>
      <c r="B628">
        <v>4043</v>
      </c>
    </row>
    <row r="629" spans="1:2">
      <c r="A629" t="s">
        <v>773</v>
      </c>
      <c r="B629">
        <v>8090</v>
      </c>
    </row>
    <row r="630" spans="1:2">
      <c r="A630" t="s">
        <v>303</v>
      </c>
      <c r="B630">
        <v>6068</v>
      </c>
    </row>
    <row r="631" spans="1:2">
      <c r="A631" t="s">
        <v>796</v>
      </c>
      <c r="B631">
        <v>8090</v>
      </c>
    </row>
    <row r="632" spans="1:2">
      <c r="A632" t="s">
        <v>1150</v>
      </c>
      <c r="B632">
        <v>6067</v>
      </c>
    </row>
    <row r="633" spans="1:2">
      <c r="A633" t="s">
        <v>1631</v>
      </c>
      <c r="B633">
        <v>6066</v>
      </c>
    </row>
    <row r="634" spans="1:2">
      <c r="A634" t="s">
        <v>1262</v>
      </c>
      <c r="B634">
        <v>8090</v>
      </c>
    </row>
    <row r="635" spans="1:2">
      <c r="A635" t="s">
        <v>1909</v>
      </c>
      <c r="B635">
        <v>4046</v>
      </c>
    </row>
    <row r="636" spans="1:2">
      <c r="A636" t="s">
        <v>2380</v>
      </c>
      <c r="B636">
        <v>4045</v>
      </c>
    </row>
    <row r="637" spans="1:2">
      <c r="A637" t="s">
        <v>2505</v>
      </c>
      <c r="B637">
        <v>4047</v>
      </c>
    </row>
    <row r="638" spans="1:2">
      <c r="A638" t="s">
        <v>439</v>
      </c>
      <c r="B638">
        <v>8090</v>
      </c>
    </row>
    <row r="639" spans="1:2">
      <c r="A639" t="s">
        <v>2139</v>
      </c>
      <c r="B639">
        <v>4045</v>
      </c>
    </row>
    <row r="640" spans="1:2">
      <c r="A640" t="s">
        <v>1753</v>
      </c>
      <c r="B640">
        <v>8090</v>
      </c>
    </row>
    <row r="641" spans="1:2">
      <c r="A641" t="s">
        <v>885</v>
      </c>
      <c r="B641">
        <v>6068</v>
      </c>
    </row>
    <row r="642" spans="1:2">
      <c r="A642" t="s">
        <v>1153</v>
      </c>
      <c r="B642">
        <v>6066</v>
      </c>
    </row>
    <row r="643" spans="1:2">
      <c r="A643" t="s">
        <v>2013</v>
      </c>
      <c r="B643">
        <v>4045</v>
      </c>
    </row>
    <row r="644" spans="1:2">
      <c r="A644" t="s">
        <v>1622</v>
      </c>
      <c r="B644">
        <v>4043</v>
      </c>
    </row>
    <row r="645" spans="1:2">
      <c r="A645" t="s">
        <v>2536</v>
      </c>
      <c r="B645">
        <v>4047</v>
      </c>
    </row>
    <row r="646" spans="1:2">
      <c r="A646" t="s">
        <v>2208</v>
      </c>
      <c r="B646">
        <v>2022</v>
      </c>
    </row>
    <row r="647" spans="1:2">
      <c r="A647" t="s">
        <v>985</v>
      </c>
      <c r="B647">
        <v>8090</v>
      </c>
    </row>
    <row r="648" spans="1:2">
      <c r="A648" t="s">
        <v>1078</v>
      </c>
      <c r="B648">
        <v>8090</v>
      </c>
    </row>
    <row r="649" spans="1:2">
      <c r="A649" t="s">
        <v>2659</v>
      </c>
      <c r="B649">
        <v>2024</v>
      </c>
    </row>
    <row r="650" spans="1:2">
      <c r="A650" t="s">
        <v>492</v>
      </c>
      <c r="B650">
        <v>6067</v>
      </c>
    </row>
    <row r="651" spans="1:2">
      <c r="A651" t="s">
        <v>2073</v>
      </c>
      <c r="B651">
        <v>4045</v>
      </c>
    </row>
    <row r="652" spans="1:2">
      <c r="A652" t="s">
        <v>771</v>
      </c>
      <c r="B652">
        <v>8090</v>
      </c>
    </row>
    <row r="653" spans="1:2">
      <c r="A653" t="s">
        <v>1515</v>
      </c>
      <c r="B653">
        <v>6068</v>
      </c>
    </row>
    <row r="654" spans="1:2">
      <c r="A654" t="s">
        <v>1749</v>
      </c>
      <c r="B654">
        <v>4044</v>
      </c>
    </row>
    <row r="655" spans="1:2">
      <c r="A655" t="s">
        <v>1612</v>
      </c>
      <c r="B655">
        <v>8090</v>
      </c>
    </row>
    <row r="656" spans="1:2">
      <c r="A656" t="s">
        <v>470</v>
      </c>
      <c r="B656">
        <v>8090</v>
      </c>
    </row>
    <row r="657" spans="1:2">
      <c r="A657" t="s">
        <v>2543</v>
      </c>
      <c r="B657">
        <v>2023</v>
      </c>
    </row>
    <row r="658" spans="1:2">
      <c r="A658" t="s">
        <v>500</v>
      </c>
      <c r="B658">
        <v>6066</v>
      </c>
    </row>
    <row r="659" spans="1:2">
      <c r="A659" t="s">
        <v>467</v>
      </c>
      <c r="B659">
        <v>6066</v>
      </c>
    </row>
    <row r="660" spans="1:2">
      <c r="A660" t="s">
        <v>891</v>
      </c>
      <c r="B660">
        <v>8090</v>
      </c>
    </row>
    <row r="661" spans="1:2">
      <c r="A661" t="s">
        <v>1431</v>
      </c>
      <c r="B661">
        <v>6067</v>
      </c>
    </row>
    <row r="662" spans="1:2">
      <c r="A662" t="s">
        <v>1195</v>
      </c>
      <c r="B662">
        <v>6067</v>
      </c>
    </row>
    <row r="663" spans="1:2">
      <c r="A663" t="s">
        <v>1166</v>
      </c>
      <c r="B663">
        <v>4044</v>
      </c>
    </row>
    <row r="664" spans="1:2">
      <c r="A664" t="s">
        <v>1773</v>
      </c>
      <c r="B664">
        <v>8090</v>
      </c>
    </row>
    <row r="665" spans="1:2">
      <c r="A665" t="s">
        <v>2641</v>
      </c>
      <c r="B665">
        <v>4047</v>
      </c>
    </row>
    <row r="666" spans="1:2">
      <c r="A666" t="s">
        <v>1686</v>
      </c>
      <c r="B666">
        <v>4044</v>
      </c>
    </row>
    <row r="667" spans="1:2">
      <c r="A667" t="s">
        <v>254</v>
      </c>
      <c r="B667">
        <v>4043</v>
      </c>
    </row>
    <row r="668" spans="1:2">
      <c r="A668" t="s">
        <v>1225</v>
      </c>
      <c r="B668">
        <v>8090</v>
      </c>
    </row>
    <row r="669" spans="1:2">
      <c r="A669" t="s">
        <v>345</v>
      </c>
      <c r="B669">
        <v>8090</v>
      </c>
    </row>
    <row r="670" spans="1:2">
      <c r="A670" t="s">
        <v>1275</v>
      </c>
      <c r="B670">
        <v>8090</v>
      </c>
    </row>
    <row r="671" spans="1:2">
      <c r="A671" t="s">
        <v>2308</v>
      </c>
      <c r="B671">
        <v>2022</v>
      </c>
    </row>
    <row r="672" spans="1:2">
      <c r="A672" t="s">
        <v>195</v>
      </c>
      <c r="B672">
        <v>8090</v>
      </c>
    </row>
    <row r="673" spans="1:2">
      <c r="A673" t="s">
        <v>511</v>
      </c>
      <c r="B673">
        <v>8090</v>
      </c>
    </row>
    <row r="674" spans="1:2">
      <c r="A674" t="s">
        <v>2261</v>
      </c>
      <c r="B674">
        <v>6069</v>
      </c>
    </row>
    <row r="675" spans="1:2">
      <c r="A675" t="s">
        <v>1682</v>
      </c>
      <c r="B675">
        <v>8090</v>
      </c>
    </row>
    <row r="676" spans="1:2">
      <c r="A676" t="s">
        <v>1359</v>
      </c>
      <c r="B676">
        <v>6066</v>
      </c>
    </row>
    <row r="677" spans="1:2">
      <c r="A677" t="s">
        <v>786</v>
      </c>
      <c r="B677">
        <v>4045</v>
      </c>
    </row>
    <row r="678" spans="1:2">
      <c r="A678" t="s">
        <v>1343</v>
      </c>
      <c r="B678">
        <v>6067</v>
      </c>
    </row>
    <row r="679" spans="1:2">
      <c r="A679" t="s">
        <v>1830</v>
      </c>
      <c r="B679">
        <v>8090</v>
      </c>
    </row>
    <row r="680" spans="1:2">
      <c r="A680" t="s">
        <v>1918</v>
      </c>
      <c r="B680">
        <v>6069</v>
      </c>
    </row>
    <row r="681" spans="1:2">
      <c r="A681" t="s">
        <v>2539</v>
      </c>
      <c r="B681">
        <v>4047</v>
      </c>
    </row>
    <row r="682" spans="1:2">
      <c r="A682" t="s">
        <v>979</v>
      </c>
      <c r="B682">
        <v>8090</v>
      </c>
    </row>
    <row r="683" spans="1:2">
      <c r="A683" t="s">
        <v>477</v>
      </c>
      <c r="B683">
        <v>6067</v>
      </c>
    </row>
    <row r="684" spans="1:2">
      <c r="A684" t="s">
        <v>277</v>
      </c>
      <c r="B684">
        <v>6068</v>
      </c>
    </row>
    <row r="685" spans="1:2">
      <c r="A685" t="s">
        <v>639</v>
      </c>
      <c r="B685">
        <v>6066</v>
      </c>
    </row>
    <row r="686" spans="1:2">
      <c r="A686" t="s">
        <v>1801</v>
      </c>
      <c r="B686">
        <v>8090</v>
      </c>
    </row>
    <row r="687" spans="1:2">
      <c r="A687" t="s">
        <v>338</v>
      </c>
      <c r="B687">
        <v>6067</v>
      </c>
    </row>
    <row r="688" spans="1:2">
      <c r="A688" t="s">
        <v>2286</v>
      </c>
      <c r="B688">
        <v>4046</v>
      </c>
    </row>
    <row r="689" spans="1:2">
      <c r="A689" t="s">
        <v>2484</v>
      </c>
      <c r="B689">
        <v>4047</v>
      </c>
    </row>
    <row r="690" spans="1:2">
      <c r="A690" t="s">
        <v>60</v>
      </c>
      <c r="B690">
        <v>8090</v>
      </c>
    </row>
    <row r="691" spans="1:2">
      <c r="A691" t="s">
        <v>235</v>
      </c>
      <c r="B691">
        <v>8090</v>
      </c>
    </row>
    <row r="692" spans="1:2">
      <c r="A692" t="s">
        <v>1550</v>
      </c>
      <c r="B692">
        <v>8090</v>
      </c>
    </row>
    <row r="693" spans="1:2">
      <c r="A693" t="s">
        <v>742</v>
      </c>
      <c r="B693">
        <v>4043</v>
      </c>
    </row>
    <row r="694" spans="1:2">
      <c r="A694" t="s">
        <v>817</v>
      </c>
      <c r="B694">
        <v>4045</v>
      </c>
    </row>
    <row r="695" spans="1:2">
      <c r="A695" t="s">
        <v>2201</v>
      </c>
      <c r="B695">
        <v>2022</v>
      </c>
    </row>
    <row r="696" spans="1:2">
      <c r="A696" t="s">
        <v>2128</v>
      </c>
      <c r="B696">
        <v>6069</v>
      </c>
    </row>
    <row r="697" spans="1:2">
      <c r="A697" t="s">
        <v>1025</v>
      </c>
      <c r="B697">
        <v>8090</v>
      </c>
    </row>
    <row r="698" spans="1:2">
      <c r="A698" t="s">
        <v>133</v>
      </c>
      <c r="B698">
        <v>8090</v>
      </c>
    </row>
    <row r="699" spans="1:2">
      <c r="A699" t="s">
        <v>1200</v>
      </c>
      <c r="B699">
        <v>6068</v>
      </c>
    </row>
    <row r="700" spans="1:2">
      <c r="A700" t="s">
        <v>959</v>
      </c>
      <c r="B700">
        <v>6066</v>
      </c>
    </row>
    <row r="701" spans="1:2">
      <c r="A701" t="s">
        <v>197</v>
      </c>
      <c r="B701">
        <v>6067</v>
      </c>
    </row>
    <row r="702" spans="1:2">
      <c r="A702" t="s">
        <v>1465</v>
      </c>
      <c r="B702">
        <v>6068</v>
      </c>
    </row>
    <row r="703" spans="1:2">
      <c r="A703" t="s">
        <v>2119</v>
      </c>
      <c r="B703">
        <v>6069</v>
      </c>
    </row>
    <row r="704" spans="1:2">
      <c r="A704" t="s">
        <v>824</v>
      </c>
      <c r="B704">
        <v>6067</v>
      </c>
    </row>
    <row r="705" spans="1:2">
      <c r="A705" t="s">
        <v>1069</v>
      </c>
      <c r="B705">
        <v>6066</v>
      </c>
    </row>
    <row r="706" spans="1:2">
      <c r="A706" t="s">
        <v>130</v>
      </c>
      <c r="B706">
        <v>6067</v>
      </c>
    </row>
    <row r="707" spans="1:2">
      <c r="A707" t="s">
        <v>1251</v>
      </c>
      <c r="B707">
        <v>8090</v>
      </c>
    </row>
    <row r="708" spans="1:2">
      <c r="A708" t="s">
        <v>1800</v>
      </c>
      <c r="B708">
        <v>4043</v>
      </c>
    </row>
    <row r="709" spans="1:2">
      <c r="A709" t="s">
        <v>538</v>
      </c>
      <c r="B709">
        <v>6066</v>
      </c>
    </row>
    <row r="710" spans="1:2">
      <c r="A710" t="s">
        <v>2383</v>
      </c>
      <c r="B710">
        <v>6069</v>
      </c>
    </row>
    <row r="711" spans="1:2">
      <c r="A711" t="s">
        <v>1674</v>
      </c>
      <c r="B711">
        <v>8090</v>
      </c>
    </row>
    <row r="712" spans="1:2">
      <c r="A712" t="s">
        <v>1799</v>
      </c>
      <c r="B712">
        <v>8090</v>
      </c>
    </row>
    <row r="713" spans="1:2">
      <c r="A713" t="s">
        <v>630</v>
      </c>
      <c r="B713">
        <v>6066</v>
      </c>
    </row>
    <row r="714" spans="1:2">
      <c r="A714" t="s">
        <v>770</v>
      </c>
      <c r="B714">
        <v>8090</v>
      </c>
    </row>
    <row r="715" spans="1:2">
      <c r="A715" t="s">
        <v>217</v>
      </c>
      <c r="B715">
        <v>8090</v>
      </c>
    </row>
    <row r="716" spans="1:2">
      <c r="A716" t="s">
        <v>1552</v>
      </c>
      <c r="B716">
        <v>4044</v>
      </c>
    </row>
    <row r="717" spans="1:2">
      <c r="A717" t="s">
        <v>2126</v>
      </c>
      <c r="B717">
        <v>6069</v>
      </c>
    </row>
    <row r="718" spans="1:2">
      <c r="A718" t="s">
        <v>525</v>
      </c>
      <c r="B718">
        <v>8090</v>
      </c>
    </row>
    <row r="719" spans="1:2">
      <c r="A719" t="s">
        <v>2390</v>
      </c>
      <c r="B719">
        <v>6069</v>
      </c>
    </row>
    <row r="720" spans="1:2">
      <c r="A720" t="s">
        <v>2066</v>
      </c>
      <c r="B720">
        <v>4045</v>
      </c>
    </row>
    <row r="721" spans="1:2">
      <c r="A721" t="s">
        <v>220</v>
      </c>
      <c r="B721">
        <v>8090</v>
      </c>
    </row>
    <row r="722" spans="1:2">
      <c r="A722" t="s">
        <v>2626</v>
      </c>
      <c r="B722">
        <v>4047</v>
      </c>
    </row>
    <row r="723" spans="1:2">
      <c r="A723" t="s">
        <v>1793</v>
      </c>
      <c r="B723">
        <v>8090</v>
      </c>
    </row>
    <row r="724" spans="1:2">
      <c r="A724" t="s">
        <v>1787</v>
      </c>
      <c r="B724">
        <v>6066</v>
      </c>
    </row>
    <row r="725" spans="1:2">
      <c r="A725" t="s">
        <v>412</v>
      </c>
      <c r="B725">
        <v>6068</v>
      </c>
    </row>
    <row r="726" spans="1:2">
      <c r="A726" t="s">
        <v>2509</v>
      </c>
      <c r="B726">
        <v>2023</v>
      </c>
    </row>
    <row r="727" spans="1:2">
      <c r="A727" t="s">
        <v>1679</v>
      </c>
      <c r="B727">
        <v>6068</v>
      </c>
    </row>
    <row r="728" spans="1:2">
      <c r="A728" t="s">
        <v>2468</v>
      </c>
      <c r="B728">
        <v>4047</v>
      </c>
    </row>
    <row r="729" spans="1:2">
      <c r="A729" t="s">
        <v>1403</v>
      </c>
      <c r="B729">
        <v>8090</v>
      </c>
    </row>
    <row r="730" spans="1:2">
      <c r="A730" t="s">
        <v>1504</v>
      </c>
      <c r="B730">
        <v>8090</v>
      </c>
    </row>
    <row r="731" spans="1:2">
      <c r="A731" t="s">
        <v>1578</v>
      </c>
      <c r="B731">
        <v>6066</v>
      </c>
    </row>
    <row r="732" spans="1:2">
      <c r="A732" t="s">
        <v>685</v>
      </c>
      <c r="B732">
        <v>8090</v>
      </c>
    </row>
    <row r="733" spans="1:2">
      <c r="A733" t="s">
        <v>219</v>
      </c>
      <c r="B733">
        <v>6067</v>
      </c>
    </row>
    <row r="734" spans="1:2">
      <c r="A734" t="s">
        <v>1828</v>
      </c>
      <c r="B734">
        <v>8090</v>
      </c>
    </row>
    <row r="735" spans="1:2">
      <c r="A735" t="s">
        <v>1445</v>
      </c>
      <c r="B735">
        <v>6066</v>
      </c>
    </row>
    <row r="736" spans="1:2">
      <c r="A736" t="s">
        <v>2552</v>
      </c>
      <c r="B736">
        <v>4047</v>
      </c>
    </row>
    <row r="737" spans="1:2">
      <c r="A737" t="s">
        <v>679</v>
      </c>
      <c r="B737">
        <v>6066</v>
      </c>
    </row>
    <row r="738" spans="1:2">
      <c r="A738" t="s">
        <v>2166</v>
      </c>
      <c r="B738">
        <v>4046</v>
      </c>
    </row>
    <row r="739" spans="1:2">
      <c r="A739" t="s">
        <v>1394</v>
      </c>
      <c r="B739">
        <v>8090</v>
      </c>
    </row>
    <row r="740" spans="1:2">
      <c r="A740" t="s">
        <v>1370</v>
      </c>
      <c r="B740">
        <v>4044</v>
      </c>
    </row>
    <row r="741" spans="1:2">
      <c r="A741" t="s">
        <v>2023</v>
      </c>
      <c r="B741">
        <v>6069</v>
      </c>
    </row>
    <row r="742" spans="1:2">
      <c r="A742" t="s">
        <v>562</v>
      </c>
      <c r="B742">
        <v>6066</v>
      </c>
    </row>
    <row r="743" spans="1:2">
      <c r="A743" t="s">
        <v>1762</v>
      </c>
      <c r="B743">
        <v>4044</v>
      </c>
    </row>
    <row r="744" spans="1:2">
      <c r="A744" t="s">
        <v>1848</v>
      </c>
      <c r="B744">
        <v>4043</v>
      </c>
    </row>
    <row r="745" spans="1:2">
      <c r="A745" t="s">
        <v>357</v>
      </c>
      <c r="B745">
        <v>6068</v>
      </c>
    </row>
    <row r="746" spans="1:2">
      <c r="A746" t="s">
        <v>1373</v>
      </c>
      <c r="B746">
        <v>8090</v>
      </c>
    </row>
    <row r="747" spans="1:2">
      <c r="A747" t="s">
        <v>1570</v>
      </c>
      <c r="B747">
        <v>6068</v>
      </c>
    </row>
    <row r="748" spans="1:2">
      <c r="A748" t="s">
        <v>1764</v>
      </c>
      <c r="B748">
        <v>8090</v>
      </c>
    </row>
    <row r="749" spans="1:2">
      <c r="A749" t="s">
        <v>2192</v>
      </c>
      <c r="B749">
        <v>4045</v>
      </c>
    </row>
    <row r="750" spans="1:2">
      <c r="A750" t="s">
        <v>855</v>
      </c>
      <c r="B750">
        <v>4044</v>
      </c>
    </row>
    <row r="751" spans="1:2">
      <c r="A751" t="s">
        <v>1473</v>
      </c>
      <c r="B751">
        <v>6068</v>
      </c>
    </row>
    <row r="752" spans="1:2">
      <c r="A752" t="s">
        <v>1947</v>
      </c>
      <c r="B752">
        <v>6069</v>
      </c>
    </row>
    <row r="753" spans="1:2">
      <c r="A753" t="s">
        <v>1729</v>
      </c>
      <c r="B753">
        <v>6068</v>
      </c>
    </row>
    <row r="754" spans="1:2">
      <c r="A754" t="s">
        <v>96</v>
      </c>
      <c r="B754">
        <v>6067</v>
      </c>
    </row>
    <row r="755" spans="1:2">
      <c r="A755" t="s">
        <v>2437</v>
      </c>
      <c r="B755">
        <v>4047</v>
      </c>
    </row>
    <row r="756" spans="1:2">
      <c r="A756" t="s">
        <v>1516</v>
      </c>
      <c r="B756">
        <v>6067</v>
      </c>
    </row>
    <row r="757" spans="1:2">
      <c r="A757" t="s">
        <v>1284</v>
      </c>
      <c r="B757">
        <v>6068</v>
      </c>
    </row>
    <row r="758" spans="1:2">
      <c r="A758" t="s">
        <v>124</v>
      </c>
      <c r="B758">
        <v>6068</v>
      </c>
    </row>
    <row r="759" spans="1:2">
      <c r="A759" t="s">
        <v>2367</v>
      </c>
      <c r="B759">
        <v>6069</v>
      </c>
    </row>
    <row r="760" spans="1:2">
      <c r="A760" t="s">
        <v>1040</v>
      </c>
      <c r="B760">
        <v>6068</v>
      </c>
    </row>
    <row r="761" spans="1:2">
      <c r="A761" t="s">
        <v>2387</v>
      </c>
      <c r="B761">
        <v>6069</v>
      </c>
    </row>
    <row r="762" spans="1:2">
      <c r="A762" t="s">
        <v>1678</v>
      </c>
      <c r="B762">
        <v>8090</v>
      </c>
    </row>
    <row r="763" spans="1:2">
      <c r="A763" t="s">
        <v>2667</v>
      </c>
      <c r="B763">
        <v>2024</v>
      </c>
    </row>
    <row r="764" spans="1:2">
      <c r="A764" t="s">
        <v>1815</v>
      </c>
      <c r="B764">
        <v>6068</v>
      </c>
    </row>
    <row r="765" spans="1:2">
      <c r="A765" t="s">
        <v>1479</v>
      </c>
      <c r="B765">
        <v>8090</v>
      </c>
    </row>
    <row r="766" spans="1:2">
      <c r="A766" t="s">
        <v>1559</v>
      </c>
      <c r="B766">
        <v>6066</v>
      </c>
    </row>
    <row r="767" spans="1:2">
      <c r="A767" t="s">
        <v>458</v>
      </c>
      <c r="B767">
        <v>6067</v>
      </c>
    </row>
    <row r="768" spans="1:2">
      <c r="A768" t="s">
        <v>1933</v>
      </c>
      <c r="B768">
        <v>6069</v>
      </c>
    </row>
    <row r="769" spans="1:2">
      <c r="A769" t="s">
        <v>1597</v>
      </c>
      <c r="B769">
        <v>6066</v>
      </c>
    </row>
    <row r="770" spans="1:2">
      <c r="A770" t="s">
        <v>210</v>
      </c>
      <c r="B770">
        <v>6068</v>
      </c>
    </row>
    <row r="771" spans="1:2">
      <c r="A771" t="s">
        <v>1131</v>
      </c>
      <c r="B771">
        <v>6068</v>
      </c>
    </row>
    <row r="772" spans="1:2">
      <c r="A772" t="s">
        <v>1079</v>
      </c>
      <c r="B772">
        <v>8090</v>
      </c>
    </row>
    <row r="773" spans="1:2">
      <c r="A773" t="s">
        <v>431</v>
      </c>
      <c r="B773">
        <v>4043</v>
      </c>
    </row>
    <row r="774" spans="1:2">
      <c r="A774" t="s">
        <v>1912</v>
      </c>
      <c r="B774">
        <v>6069</v>
      </c>
    </row>
    <row r="775" spans="1:2">
      <c r="A775" t="s">
        <v>1057</v>
      </c>
      <c r="B775">
        <v>6066</v>
      </c>
    </row>
    <row r="776" spans="1:2">
      <c r="A776" t="s">
        <v>494</v>
      </c>
      <c r="B776">
        <v>8090</v>
      </c>
    </row>
    <row r="777" spans="1:2">
      <c r="A777" t="s">
        <v>788</v>
      </c>
      <c r="B777">
        <v>4043</v>
      </c>
    </row>
    <row r="778" spans="1:2">
      <c r="A778" t="s">
        <v>232</v>
      </c>
      <c r="B778">
        <v>4045</v>
      </c>
    </row>
    <row r="779" spans="1:2">
      <c r="A779" t="s">
        <v>2147</v>
      </c>
      <c r="B779">
        <v>4046</v>
      </c>
    </row>
    <row r="780" spans="1:2">
      <c r="A780" t="s">
        <v>2164</v>
      </c>
      <c r="B780">
        <v>6069</v>
      </c>
    </row>
    <row r="781" spans="1:2">
      <c r="A781" t="s">
        <v>1216</v>
      </c>
      <c r="B781">
        <v>6066</v>
      </c>
    </row>
    <row r="782" spans="1:2">
      <c r="A782" t="s">
        <v>661</v>
      </c>
      <c r="B782">
        <v>8090</v>
      </c>
    </row>
    <row r="783" spans="1:2">
      <c r="A783" t="s">
        <v>1095</v>
      </c>
      <c r="B783">
        <v>6068</v>
      </c>
    </row>
    <row r="784" spans="1:2">
      <c r="A784" t="s">
        <v>1361</v>
      </c>
      <c r="B784">
        <v>6068</v>
      </c>
    </row>
    <row r="785" spans="1:2">
      <c r="A785" t="s">
        <v>48</v>
      </c>
      <c r="B785">
        <v>8090</v>
      </c>
    </row>
    <row r="786" spans="1:2">
      <c r="A786" t="s">
        <v>374</v>
      </c>
      <c r="B786">
        <v>4044</v>
      </c>
    </row>
    <row r="787" spans="1:2">
      <c r="A787" t="s">
        <v>1565</v>
      </c>
      <c r="B787">
        <v>8090</v>
      </c>
    </row>
    <row r="788" spans="1:2">
      <c r="A788" t="s">
        <v>111</v>
      </c>
      <c r="B788">
        <v>6066</v>
      </c>
    </row>
    <row r="789" spans="1:2">
      <c r="A789" t="s">
        <v>1893</v>
      </c>
      <c r="B789">
        <v>4046</v>
      </c>
    </row>
    <row r="790" spans="1:2">
      <c r="A790" t="s">
        <v>1640</v>
      </c>
      <c r="B790">
        <v>6066</v>
      </c>
    </row>
    <row r="791" spans="1:2">
      <c r="A791" t="s">
        <v>1461</v>
      </c>
      <c r="B791">
        <v>8090</v>
      </c>
    </row>
    <row r="792" spans="1:2">
      <c r="A792" t="s">
        <v>1185</v>
      </c>
      <c r="B792">
        <v>6068</v>
      </c>
    </row>
    <row r="793" spans="1:2">
      <c r="A793" t="s">
        <v>2712</v>
      </c>
      <c r="B793">
        <v>4690087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DATA_1</vt:lpstr>
      <vt:lpstr>Sheet2</vt:lpstr>
      <vt:lpstr>DATA_2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Academy Training</cp:lastModifiedBy>
  <dcterms:created xsi:type="dcterms:W3CDTF">2025-11-07T12:45:26Z</dcterms:created>
  <dcterms:modified xsi:type="dcterms:W3CDTF">2026-01-14T09:21:08Z</dcterms:modified>
</cp:coreProperties>
</file>